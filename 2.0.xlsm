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fileSharing readOnlyRecommended="1"/>
  <workbookPr updateLinks="never"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faurecia-my.sharepoint.com/personal/haibin_zuo_external_forvia_com/Documents/Microsoft Teams 聊天文件/"/>
    </mc:Choice>
  </mc:AlternateContent>
  <xr:revisionPtr revIDLastSave="7" documentId="13_ncr:1_{390D06C4-3E11-4C72-985D-E4A406F55217}" xr6:coauthVersionLast="47" xr6:coauthVersionMax="47" xr10:uidLastSave="{104B2948-D1D9-4ABA-940F-A30C1C3816AC}"/>
  <bookViews>
    <workbookView xWindow="-110" yWindow="-110" windowWidth="19420" windowHeight="11500" tabRatio="580" firstSheet="3" activeTab="4" xr2:uid="{00000000-000D-0000-FFFF-FFFF00000000}"/>
  </bookViews>
  <sheets>
    <sheet name="Cover" sheetId="149" r:id="rId1"/>
    <sheet name="Modification log" sheetId="6" r:id="rId2"/>
    <sheet name="How to use" sheetId="1" r:id="rId3"/>
    <sheet name="Project information" sheetId="2" r:id="rId4"/>
    <sheet name="D&amp;D cost quotation" sheetId="5" r:id="rId5"/>
    <sheet name="Eng Cost for CBU_2026-07-20" sheetId="152" state="veryHidden" r:id="rId6"/>
    <sheet name="Eng Cost for CBU_2026-7-20" sheetId="151" state="veryHidden" r:id="rId7"/>
    <sheet name="D&amp;D Cost for plant with margin" sheetId="147" r:id="rId8"/>
    <sheet name="For Finance Control" sheetId="12" r:id="rId9"/>
    <sheet name="Dropdown list" sheetId="7" state="veryHidden" r:id="rId10"/>
    <sheet name="Coeff" sheetId="9" state="veryHidden" r:id="rId11"/>
    <sheet name="Standard hourly rate" sheetId="4" state="veryHidden" r:id="rId12"/>
    <sheet name="Exchange rate" sheetId="10" state="veryHidden" r:id="rId13"/>
    <sheet name="Standard working hours - CT" sheetId="127" state="veryHidden" r:id="rId14"/>
    <sheet name="Standard working hours - CAE" sheetId="128" state="veryHidden" r:id="rId15"/>
    <sheet name="Standard cost - Prototype" sheetId="129" state="veryHidden" r:id="rId16"/>
    <sheet name="Standard cost - Testing" sheetId="130" state="veryHidden" r:id="rId17"/>
    <sheet name="VBA更新需求整理" sheetId="150" state="veryHidden" r:id="rId18"/>
  </sheets>
  <functionGroups builtInGroupCount="19"/>
  <definedNames>
    <definedName name="_xlnm._FilterDatabase" localSheetId="9" hidden="1">'Dropdown list'!$G$1:$J$1</definedName>
    <definedName name="_xlnm._FilterDatabase" localSheetId="16" hidden="1">'Standard cost - Testing'!$A$1:$O$270</definedName>
    <definedName name="_xlnm._FilterDatabase" localSheetId="14" hidden="1">'Standard working hours - CAE'!$A$1:$J$79</definedName>
    <definedName name="Base">'Dropdown list'!$E$10:$E$12</definedName>
    <definedName name="CVI">'Dropdown list'!$E$2:$E$6</definedName>
    <definedName name="_xlnm.Print_Area" localSheetId="5">'Eng Cost for CBU_2026-07-20'!$B:$M</definedName>
    <definedName name="_xlnm.Print_Area" localSheetId="6">'Eng Cost for CBU_2026-7-20'!$B:$M</definedName>
    <definedName name="_xlnm.Print_Area" localSheetId="3">'Project information'!$A$3:$F$14</definedName>
    <definedName name="z">'Project information'!$J$11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5" i="5" l="1"/>
  <c r="H2" i="130" l="1"/>
  <c r="I2" i="130"/>
  <c r="H3" i="130"/>
  <c r="I3" i="130"/>
  <c r="H4" i="130"/>
  <c r="I4" i="130"/>
  <c r="H5" i="130"/>
  <c r="I5" i="130"/>
  <c r="H6" i="130"/>
  <c r="I6" i="130"/>
  <c r="H7" i="130"/>
  <c r="I7" i="130"/>
  <c r="H8" i="130"/>
  <c r="I8" i="130"/>
  <c r="H9" i="130"/>
  <c r="I9" i="130"/>
  <c r="H10" i="130"/>
  <c r="I10" i="130"/>
  <c r="H11" i="130"/>
  <c r="I11" i="130"/>
  <c r="H12" i="130"/>
  <c r="I12" i="130"/>
  <c r="H13" i="130"/>
  <c r="I13" i="130"/>
  <c r="H14" i="130"/>
  <c r="I14" i="130"/>
  <c r="H15" i="130"/>
  <c r="I15" i="130"/>
  <c r="H16" i="130"/>
  <c r="I16" i="130"/>
  <c r="H17" i="130"/>
  <c r="I17" i="130"/>
  <c r="H18" i="130"/>
  <c r="I18" i="130"/>
  <c r="H19" i="130"/>
  <c r="I19" i="130"/>
  <c r="H20" i="130"/>
  <c r="I20" i="130"/>
  <c r="H21" i="130"/>
  <c r="I21" i="130"/>
  <c r="H22" i="130"/>
  <c r="I22" i="130"/>
  <c r="H23" i="130"/>
  <c r="I23" i="130"/>
  <c r="H24" i="130"/>
  <c r="I24" i="130"/>
  <c r="H25" i="130"/>
  <c r="I25" i="130"/>
  <c r="H26" i="130"/>
  <c r="I26" i="130"/>
  <c r="H27" i="130"/>
  <c r="I27" i="130"/>
  <c r="H28" i="130"/>
  <c r="I28" i="130"/>
  <c r="H29" i="130"/>
  <c r="I29" i="130"/>
  <c r="H30" i="130"/>
  <c r="I30" i="130"/>
  <c r="H31" i="130"/>
  <c r="I31" i="130"/>
  <c r="H32" i="130"/>
  <c r="I32" i="130"/>
  <c r="H33" i="130"/>
  <c r="I33" i="130"/>
  <c r="H34" i="130"/>
  <c r="I34" i="130"/>
  <c r="H35" i="130"/>
  <c r="I35" i="130"/>
  <c r="H36" i="130"/>
  <c r="I36" i="130"/>
  <c r="H37" i="130"/>
  <c r="I37" i="130"/>
  <c r="H38" i="130"/>
  <c r="I38" i="130"/>
  <c r="H39" i="130"/>
  <c r="I39" i="130"/>
  <c r="H40" i="130"/>
  <c r="I40" i="130"/>
  <c r="H41" i="130"/>
  <c r="I41" i="130"/>
  <c r="H42" i="130"/>
  <c r="I42" i="130"/>
  <c r="H43" i="130"/>
  <c r="I43" i="130"/>
  <c r="H44" i="130"/>
  <c r="I44" i="130"/>
  <c r="H45" i="130"/>
  <c r="I45" i="130"/>
  <c r="H46" i="130"/>
  <c r="I46" i="130"/>
  <c r="H47" i="130"/>
  <c r="I47" i="130"/>
  <c r="H48" i="130"/>
  <c r="I48" i="130"/>
  <c r="H49" i="130"/>
  <c r="I49" i="130"/>
  <c r="H50" i="130"/>
  <c r="I50" i="130"/>
  <c r="H51" i="130"/>
  <c r="I51" i="130"/>
  <c r="H52" i="130"/>
  <c r="I52" i="130"/>
  <c r="H53" i="130"/>
  <c r="I53" i="130"/>
  <c r="H54" i="130"/>
  <c r="I54" i="130"/>
  <c r="H55" i="130"/>
  <c r="I55" i="130"/>
  <c r="H56" i="130"/>
  <c r="I56" i="130"/>
  <c r="H57" i="130"/>
  <c r="I57" i="130"/>
  <c r="H58" i="130"/>
  <c r="I58" i="130"/>
  <c r="H59" i="130"/>
  <c r="I59" i="130"/>
  <c r="H60" i="130"/>
  <c r="I60" i="130"/>
  <c r="H61" i="130"/>
  <c r="I61" i="130"/>
  <c r="H62" i="130"/>
  <c r="I62" i="130"/>
  <c r="H63" i="130"/>
  <c r="I63" i="130"/>
  <c r="H64" i="130"/>
  <c r="I64" i="130"/>
  <c r="H65" i="130"/>
  <c r="I65" i="130"/>
  <c r="H66" i="130"/>
  <c r="I66" i="130"/>
  <c r="H67" i="130"/>
  <c r="I67" i="130"/>
  <c r="H68" i="130"/>
  <c r="I68" i="130"/>
  <c r="H69" i="130"/>
  <c r="I69" i="130"/>
  <c r="H70" i="130"/>
  <c r="I70" i="130"/>
  <c r="H71" i="130"/>
  <c r="I71" i="130"/>
  <c r="H72" i="130"/>
  <c r="I72" i="130"/>
  <c r="H73" i="130"/>
  <c r="I73" i="130"/>
  <c r="H74" i="130"/>
  <c r="I74" i="130"/>
  <c r="H75" i="130"/>
  <c r="I75" i="130"/>
  <c r="H76" i="130"/>
  <c r="I76" i="130"/>
  <c r="H77" i="130"/>
  <c r="I77" i="130"/>
  <c r="H78" i="130"/>
  <c r="I78" i="130"/>
  <c r="H79" i="130"/>
  <c r="I79" i="130"/>
  <c r="H80" i="130"/>
  <c r="I80" i="130"/>
  <c r="H81" i="130"/>
  <c r="I81" i="130"/>
  <c r="H82" i="130"/>
  <c r="I82" i="130"/>
  <c r="H83" i="130"/>
  <c r="I83" i="130"/>
  <c r="H84" i="130"/>
  <c r="I84" i="130"/>
  <c r="H85" i="130"/>
  <c r="I85" i="130"/>
  <c r="H86" i="130"/>
  <c r="I86" i="130"/>
  <c r="H87" i="130"/>
  <c r="I87" i="130"/>
  <c r="H88" i="130"/>
  <c r="I88" i="130"/>
  <c r="H89" i="130"/>
  <c r="I89" i="130"/>
  <c r="H90" i="130"/>
  <c r="I90" i="130"/>
  <c r="H91" i="130"/>
  <c r="I91" i="130"/>
  <c r="H92" i="130"/>
  <c r="I92" i="130"/>
  <c r="H93" i="130"/>
  <c r="I93" i="130"/>
  <c r="H94" i="130"/>
  <c r="I94" i="130"/>
  <c r="H95" i="130"/>
  <c r="I95" i="130"/>
  <c r="H96" i="130"/>
  <c r="I96" i="130"/>
  <c r="H97" i="130"/>
  <c r="I97" i="130"/>
  <c r="H98" i="130"/>
  <c r="I98" i="130"/>
  <c r="H99" i="130"/>
  <c r="I99" i="130"/>
  <c r="H100" i="130"/>
  <c r="I100" i="130"/>
  <c r="H101" i="130"/>
  <c r="I101" i="130"/>
  <c r="H102" i="130"/>
  <c r="I102" i="130"/>
  <c r="H103" i="130"/>
  <c r="I103" i="130"/>
  <c r="H104" i="130"/>
  <c r="I104" i="130"/>
  <c r="H105" i="130"/>
  <c r="I105" i="130"/>
  <c r="H106" i="130"/>
  <c r="I106" i="130"/>
  <c r="H107" i="130"/>
  <c r="I107" i="130"/>
  <c r="H108" i="130"/>
  <c r="I108" i="130"/>
  <c r="H109" i="130"/>
  <c r="I109" i="130"/>
  <c r="H110" i="130"/>
  <c r="I110" i="130"/>
  <c r="H111" i="130"/>
  <c r="I111" i="130"/>
  <c r="H112" i="130"/>
  <c r="I112" i="130"/>
  <c r="H113" i="130"/>
  <c r="I113" i="130"/>
  <c r="H114" i="130"/>
  <c r="I114" i="130"/>
  <c r="H115" i="130"/>
  <c r="I115" i="130"/>
  <c r="H116" i="130"/>
  <c r="I116" i="130"/>
  <c r="H117" i="130"/>
  <c r="I117" i="130"/>
  <c r="H118" i="130"/>
  <c r="I118" i="130"/>
  <c r="H119" i="130"/>
  <c r="I119" i="130"/>
  <c r="H120" i="130"/>
  <c r="I120" i="130"/>
  <c r="H121" i="130"/>
  <c r="I121" i="130"/>
  <c r="H122" i="130"/>
  <c r="I122" i="130"/>
  <c r="H123" i="130"/>
  <c r="I123" i="130"/>
  <c r="H124" i="130"/>
  <c r="I124" i="130"/>
  <c r="H125" i="130"/>
  <c r="I125" i="130"/>
  <c r="H126" i="130"/>
  <c r="I126" i="130"/>
  <c r="H127" i="130"/>
  <c r="I127" i="130"/>
  <c r="H128" i="130"/>
  <c r="I128" i="130"/>
  <c r="H129" i="130"/>
  <c r="I129" i="130"/>
  <c r="H130" i="130"/>
  <c r="I130" i="130"/>
  <c r="H131" i="130"/>
  <c r="I131" i="130"/>
  <c r="H132" i="130"/>
  <c r="I132" i="130"/>
  <c r="H133" i="130"/>
  <c r="I133" i="130"/>
  <c r="H134" i="130"/>
  <c r="I134" i="130"/>
  <c r="H135" i="130"/>
  <c r="I135" i="130"/>
  <c r="H136" i="130"/>
  <c r="I136" i="130"/>
  <c r="H137" i="130"/>
  <c r="I137" i="130"/>
  <c r="H138" i="130"/>
  <c r="I138" i="130"/>
  <c r="H139" i="130"/>
  <c r="I139" i="130"/>
  <c r="H140" i="130"/>
  <c r="I140" i="130"/>
  <c r="H141" i="130"/>
  <c r="I141" i="130"/>
  <c r="H142" i="130"/>
  <c r="I142" i="130"/>
  <c r="H143" i="130"/>
  <c r="I143" i="130"/>
  <c r="H144" i="130"/>
  <c r="I144" i="130"/>
  <c r="H145" i="130"/>
  <c r="I145" i="130"/>
  <c r="H146" i="130"/>
  <c r="I146" i="130"/>
  <c r="H147" i="130"/>
  <c r="I147" i="130"/>
  <c r="H148" i="130"/>
  <c r="I148" i="130"/>
  <c r="H149" i="130"/>
  <c r="I149" i="130"/>
  <c r="H150" i="130"/>
  <c r="I150" i="130"/>
  <c r="H151" i="130"/>
  <c r="I151" i="130"/>
  <c r="H152" i="130"/>
  <c r="I152" i="130"/>
  <c r="H153" i="130"/>
  <c r="I153" i="130"/>
  <c r="H154" i="130"/>
  <c r="I154" i="130"/>
  <c r="H155" i="130"/>
  <c r="I155" i="130"/>
  <c r="H156" i="130"/>
  <c r="I156" i="130"/>
  <c r="H157" i="130"/>
  <c r="I157" i="130"/>
  <c r="H158" i="130"/>
  <c r="I158" i="130"/>
  <c r="H159" i="130"/>
  <c r="I159" i="130"/>
  <c r="H160" i="130"/>
  <c r="I160" i="130"/>
  <c r="H161" i="130"/>
  <c r="I161" i="130"/>
  <c r="H162" i="130"/>
  <c r="I162" i="130"/>
  <c r="H163" i="130"/>
  <c r="I163" i="130"/>
  <c r="H164" i="130"/>
  <c r="I164" i="130"/>
  <c r="H165" i="130"/>
  <c r="I165" i="130"/>
  <c r="H166" i="130"/>
  <c r="I166" i="130"/>
  <c r="H167" i="130"/>
  <c r="I167" i="130"/>
  <c r="H168" i="130"/>
  <c r="I168" i="130"/>
  <c r="H169" i="130"/>
  <c r="I169" i="130"/>
  <c r="H170" i="130"/>
  <c r="I170" i="130"/>
  <c r="H171" i="130"/>
  <c r="I171" i="130"/>
  <c r="H172" i="130"/>
  <c r="I172" i="130"/>
  <c r="H173" i="130"/>
  <c r="I173" i="130"/>
  <c r="H174" i="130"/>
  <c r="I174" i="130"/>
  <c r="H175" i="130"/>
  <c r="I175" i="130"/>
  <c r="H176" i="130"/>
  <c r="I176" i="130"/>
  <c r="H177" i="130"/>
  <c r="I177" i="130"/>
  <c r="H178" i="130"/>
  <c r="I178" i="130"/>
  <c r="H179" i="130"/>
  <c r="I179" i="130"/>
  <c r="H180" i="130"/>
  <c r="I180" i="130"/>
  <c r="H181" i="130"/>
  <c r="I181" i="130"/>
  <c r="H182" i="130"/>
  <c r="I182" i="130"/>
  <c r="H183" i="130"/>
  <c r="I183" i="130"/>
  <c r="H184" i="130"/>
  <c r="I184" i="130"/>
  <c r="H185" i="130"/>
  <c r="I185" i="130"/>
  <c r="H186" i="130"/>
  <c r="I186" i="130"/>
  <c r="H187" i="130"/>
  <c r="I187" i="130"/>
  <c r="H188" i="130"/>
  <c r="I188" i="130"/>
  <c r="H189" i="130"/>
  <c r="I189" i="130"/>
  <c r="H190" i="130"/>
  <c r="I190" i="130"/>
  <c r="H191" i="130"/>
  <c r="I191" i="130"/>
  <c r="H192" i="130"/>
  <c r="I192" i="130"/>
  <c r="H193" i="130"/>
  <c r="I193" i="130"/>
  <c r="H194" i="130"/>
  <c r="I194" i="130"/>
  <c r="H195" i="130"/>
  <c r="I195" i="130"/>
  <c r="H196" i="130"/>
  <c r="I196" i="130"/>
  <c r="H197" i="130"/>
  <c r="I197" i="130"/>
  <c r="H198" i="130"/>
  <c r="I198" i="130"/>
  <c r="H199" i="130"/>
  <c r="I199" i="130"/>
  <c r="H200" i="130"/>
  <c r="I200" i="130"/>
  <c r="H201" i="130"/>
  <c r="I201" i="130"/>
  <c r="H202" i="130"/>
  <c r="I202" i="130"/>
  <c r="H203" i="130"/>
  <c r="I203" i="130"/>
  <c r="H204" i="130"/>
  <c r="I204" i="130"/>
  <c r="H205" i="130"/>
  <c r="I205" i="130"/>
  <c r="H206" i="130"/>
  <c r="I206" i="130"/>
  <c r="H207" i="130"/>
  <c r="I207" i="130"/>
  <c r="H208" i="130"/>
  <c r="I208" i="130"/>
  <c r="H209" i="130"/>
  <c r="I209" i="130"/>
  <c r="H210" i="130"/>
  <c r="I210" i="130"/>
  <c r="H211" i="130"/>
  <c r="I211" i="130"/>
  <c r="H212" i="130"/>
  <c r="I212" i="130"/>
  <c r="H213" i="130"/>
  <c r="I213" i="130"/>
  <c r="H214" i="130"/>
  <c r="I214" i="130"/>
  <c r="H215" i="130"/>
  <c r="I215" i="130"/>
  <c r="H216" i="130"/>
  <c r="I216" i="130"/>
  <c r="H217" i="130"/>
  <c r="I217" i="130"/>
  <c r="H218" i="130"/>
  <c r="I218" i="130"/>
  <c r="H219" i="130"/>
  <c r="I219" i="130"/>
  <c r="H220" i="130"/>
  <c r="I220" i="130"/>
  <c r="H221" i="130"/>
  <c r="I221" i="130"/>
  <c r="H222" i="130"/>
  <c r="I222" i="130"/>
  <c r="H223" i="130"/>
  <c r="I223" i="130"/>
  <c r="H224" i="130"/>
  <c r="I224" i="130"/>
  <c r="H225" i="130"/>
  <c r="I225" i="130"/>
  <c r="H226" i="130"/>
  <c r="I226" i="130"/>
  <c r="H227" i="130"/>
  <c r="I227" i="130"/>
  <c r="H228" i="130"/>
  <c r="I228" i="130"/>
  <c r="H229" i="130"/>
  <c r="I229" i="130"/>
  <c r="H230" i="130"/>
  <c r="I230" i="130"/>
  <c r="H231" i="130"/>
  <c r="I231" i="130"/>
  <c r="H232" i="130"/>
  <c r="I232" i="130"/>
  <c r="H233" i="130"/>
  <c r="I233" i="130"/>
  <c r="H234" i="130"/>
  <c r="I234" i="130"/>
  <c r="H235" i="130"/>
  <c r="I235" i="130"/>
  <c r="H236" i="130"/>
  <c r="I236" i="130"/>
  <c r="H237" i="130"/>
  <c r="I237" i="130"/>
  <c r="H238" i="130"/>
  <c r="I238" i="130"/>
  <c r="H239" i="130"/>
  <c r="I239" i="130"/>
  <c r="H240" i="130"/>
  <c r="I240" i="130"/>
  <c r="H241" i="130"/>
  <c r="I241" i="130"/>
  <c r="H242" i="130"/>
  <c r="I242" i="130"/>
  <c r="H243" i="130"/>
  <c r="I243" i="130"/>
  <c r="H244" i="130"/>
  <c r="I244" i="130"/>
  <c r="H245" i="130"/>
  <c r="I245" i="130"/>
  <c r="H246" i="130"/>
  <c r="I246" i="130"/>
  <c r="H247" i="130"/>
  <c r="I247" i="130"/>
  <c r="H248" i="130"/>
  <c r="I248" i="130"/>
  <c r="H249" i="130"/>
  <c r="I249" i="130"/>
  <c r="H250" i="130"/>
  <c r="I250" i="130"/>
  <c r="H251" i="130"/>
  <c r="I251" i="130"/>
  <c r="H252" i="130"/>
  <c r="I252" i="130"/>
  <c r="H253" i="130"/>
  <c r="I253" i="130"/>
  <c r="H254" i="130"/>
  <c r="I254" i="130"/>
  <c r="H255" i="130"/>
  <c r="I255" i="130"/>
  <c r="H256" i="130"/>
  <c r="I256" i="130"/>
  <c r="H257" i="130"/>
  <c r="I257" i="130"/>
  <c r="H258" i="130"/>
  <c r="I258" i="130"/>
  <c r="H259" i="130"/>
  <c r="I259" i="130"/>
  <c r="H260" i="130"/>
  <c r="I260" i="130"/>
  <c r="H261" i="130"/>
  <c r="I261" i="130"/>
  <c r="H262" i="130"/>
  <c r="I262" i="130"/>
  <c r="H263" i="130"/>
  <c r="I263" i="130"/>
  <c r="H264" i="130"/>
  <c r="I264" i="130"/>
  <c r="B1" i="127"/>
  <c r="N1" i="127" s="1"/>
  <c r="Z1" i="127" s="1"/>
  <c r="AL1" i="127" s="1"/>
  <c r="B2" i="127" a="1"/>
  <c r="B2" i="127" s="1"/>
  <c r="M2" i="127"/>
  <c r="O2" i="127"/>
  <c r="P2" i="127"/>
  <c r="Q2" i="127"/>
  <c r="R2" i="127"/>
  <c r="S2" i="127"/>
  <c r="Y2" i="127"/>
  <c r="AA2" i="127"/>
  <c r="AB2" i="127"/>
  <c r="AC2" i="127"/>
  <c r="AD2" i="127"/>
  <c r="AE2" i="127"/>
  <c r="AK2" i="127"/>
  <c r="AM2" i="127"/>
  <c r="AN2" i="127"/>
  <c r="AO2" i="127"/>
  <c r="AP2" i="127"/>
  <c r="AQ2" i="127"/>
  <c r="BE2" i="127"/>
  <c r="B3" i="127" a="1"/>
  <c r="B3" i="127" s="1"/>
  <c r="M3" i="127"/>
  <c r="O3" i="127"/>
  <c r="P3" i="127"/>
  <c r="Q3" i="127"/>
  <c r="R3" i="127"/>
  <c r="S3" i="127"/>
  <c r="Y3" i="127"/>
  <c r="AA3" i="127"/>
  <c r="AB3" i="127"/>
  <c r="AC3" i="127"/>
  <c r="AD3" i="127"/>
  <c r="AE3" i="127"/>
  <c r="AK3" i="127"/>
  <c r="AM3" i="127"/>
  <c r="AN3" i="127"/>
  <c r="AO3" i="127"/>
  <c r="AP3" i="127"/>
  <c r="AQ3" i="127"/>
  <c r="B4" i="127" a="1"/>
  <c r="B4" i="127" s="1"/>
  <c r="M4" i="127"/>
  <c r="O4" i="127"/>
  <c r="P4" i="127"/>
  <c r="Q4" i="127"/>
  <c r="R4" i="127"/>
  <c r="S4" i="127"/>
  <c r="Y4" i="127"/>
  <c r="AA4" i="127"/>
  <c r="AB4" i="127"/>
  <c r="AC4" i="127"/>
  <c r="AD4" i="127"/>
  <c r="AE4" i="127"/>
  <c r="AK4" i="127"/>
  <c r="AM4" i="127"/>
  <c r="AN4" i="127"/>
  <c r="AO4" i="127"/>
  <c r="AP4" i="127"/>
  <c r="AQ4" i="127"/>
  <c r="BE4" i="127"/>
  <c r="B5" i="127" a="1"/>
  <c r="B5" i="127" s="1"/>
  <c r="F5" i="127" s="1"/>
  <c r="M5" i="127"/>
  <c r="O5" i="127"/>
  <c r="P5" i="127"/>
  <c r="Q5" i="127"/>
  <c r="R5" i="127"/>
  <c r="S5" i="127"/>
  <c r="Y5" i="127"/>
  <c r="AA5" i="127"/>
  <c r="AB5" i="127"/>
  <c r="AC5" i="127"/>
  <c r="AD5" i="127"/>
  <c r="AE5" i="127"/>
  <c r="AK5" i="127"/>
  <c r="AM5" i="127"/>
  <c r="AN5" i="127"/>
  <c r="AO5" i="127"/>
  <c r="AP5" i="127"/>
  <c r="AQ5" i="127"/>
  <c r="BE5" i="127"/>
  <c r="B6" i="127" a="1"/>
  <c r="B6" i="127" s="1"/>
  <c r="M6" i="127"/>
  <c r="O6" i="127"/>
  <c r="P6" i="127"/>
  <c r="Q6" i="127"/>
  <c r="R6" i="127"/>
  <c r="S6" i="127"/>
  <c r="Y6" i="127"/>
  <c r="AA6" i="127"/>
  <c r="AB6" i="127"/>
  <c r="AC6" i="127"/>
  <c r="AD6" i="127"/>
  <c r="AE6" i="127"/>
  <c r="AK6" i="127"/>
  <c r="AM6" i="127"/>
  <c r="AN6" i="127"/>
  <c r="AO6" i="127"/>
  <c r="AP6" i="127"/>
  <c r="AQ6" i="127"/>
  <c r="BE6" i="127"/>
  <c r="B7" i="127" a="1"/>
  <c r="B7" i="127" s="1"/>
  <c r="M7" i="127"/>
  <c r="O7" i="127"/>
  <c r="P7" i="127"/>
  <c r="Q7" i="127"/>
  <c r="R7" i="127"/>
  <c r="S7" i="127"/>
  <c r="Y7" i="127"/>
  <c r="AA7" i="127"/>
  <c r="AB7" i="127"/>
  <c r="AC7" i="127"/>
  <c r="AD7" i="127"/>
  <c r="AE7" i="127"/>
  <c r="AK7" i="127"/>
  <c r="AM7" i="127"/>
  <c r="AN7" i="127"/>
  <c r="AO7" i="127"/>
  <c r="AP7" i="127"/>
  <c r="AQ7" i="127"/>
  <c r="BE7" i="127"/>
  <c r="B8" i="127" a="1"/>
  <c r="B8" i="127" s="1"/>
  <c r="M8" i="127"/>
  <c r="O8" i="127"/>
  <c r="P8" i="127"/>
  <c r="Q8" i="127"/>
  <c r="R8" i="127"/>
  <c r="S8" i="127"/>
  <c r="Y8" i="127"/>
  <c r="AA8" i="127"/>
  <c r="AB8" i="127"/>
  <c r="AC8" i="127"/>
  <c r="AD8" i="127"/>
  <c r="AE8" i="127"/>
  <c r="AK8" i="127"/>
  <c r="AM8" i="127"/>
  <c r="AN8" i="127"/>
  <c r="AO8" i="127"/>
  <c r="AP8" i="127"/>
  <c r="AQ8" i="127"/>
  <c r="BE8" i="127"/>
  <c r="B9" i="127" a="1"/>
  <c r="B9" i="127" s="1"/>
  <c r="F9" i="127" s="1"/>
  <c r="M9" i="127"/>
  <c r="O9" i="127"/>
  <c r="P9" i="127"/>
  <c r="Q9" i="127"/>
  <c r="R9" i="127"/>
  <c r="S9" i="127"/>
  <c r="Y9" i="127"/>
  <c r="AA9" i="127"/>
  <c r="AB9" i="127"/>
  <c r="AC9" i="127"/>
  <c r="AD9" i="127"/>
  <c r="AE9" i="127"/>
  <c r="AK9" i="127"/>
  <c r="AM9" i="127"/>
  <c r="AN9" i="127"/>
  <c r="AO9" i="127"/>
  <c r="AP9" i="127"/>
  <c r="AQ9" i="127"/>
  <c r="B10" i="127" a="1"/>
  <c r="B10" i="127" s="1"/>
  <c r="G10" i="127" s="1"/>
  <c r="M10" i="127"/>
  <c r="O10" i="127"/>
  <c r="P10" i="127"/>
  <c r="Q10" i="127"/>
  <c r="R10" i="127"/>
  <c r="S10" i="127"/>
  <c r="Y10" i="127"/>
  <c r="AA10" i="127"/>
  <c r="AB10" i="127"/>
  <c r="AC10" i="127"/>
  <c r="AD10" i="127"/>
  <c r="AE10" i="127"/>
  <c r="AK10" i="127"/>
  <c r="AM10" i="127"/>
  <c r="AN10" i="127"/>
  <c r="AO10" i="127"/>
  <c r="AP10" i="127"/>
  <c r="AQ10" i="127"/>
  <c r="BE10" i="127"/>
  <c r="B11" i="127" a="1"/>
  <c r="B11" i="127" s="1"/>
  <c r="E11" i="127" s="1"/>
  <c r="M11" i="127"/>
  <c r="O11" i="127"/>
  <c r="P11" i="127"/>
  <c r="Q11" i="127"/>
  <c r="R11" i="127"/>
  <c r="S11" i="127"/>
  <c r="Y11" i="127"/>
  <c r="AA11" i="127"/>
  <c r="AB11" i="127"/>
  <c r="AC11" i="127"/>
  <c r="AD11" i="127"/>
  <c r="AE11" i="127"/>
  <c r="AK11" i="127"/>
  <c r="AM11" i="127"/>
  <c r="AN11" i="127"/>
  <c r="AO11" i="127"/>
  <c r="AP11" i="127"/>
  <c r="AQ11" i="127"/>
  <c r="BE11" i="127"/>
  <c r="B12" i="127" a="1"/>
  <c r="B12" i="127" s="1"/>
  <c r="M12" i="127"/>
  <c r="O12" i="127"/>
  <c r="P12" i="127"/>
  <c r="Q12" i="127"/>
  <c r="R12" i="127"/>
  <c r="S12" i="127"/>
  <c r="Y12" i="127"/>
  <c r="AA12" i="127"/>
  <c r="AB12" i="127"/>
  <c r="AC12" i="127"/>
  <c r="AD12" i="127"/>
  <c r="AE12" i="127"/>
  <c r="AK12" i="127"/>
  <c r="AM12" i="127"/>
  <c r="AN12" i="127"/>
  <c r="AO12" i="127"/>
  <c r="AP12" i="127"/>
  <c r="AQ12" i="127"/>
  <c r="B13" i="127" a="1"/>
  <c r="B13" i="127" s="1"/>
  <c r="M13" i="127"/>
  <c r="O13" i="127"/>
  <c r="P13" i="127"/>
  <c r="Q13" i="127"/>
  <c r="R13" i="127"/>
  <c r="S13" i="127"/>
  <c r="Y13" i="127"/>
  <c r="AA13" i="127"/>
  <c r="AB13" i="127"/>
  <c r="AC13" i="127"/>
  <c r="AD13" i="127"/>
  <c r="AE13" i="127"/>
  <c r="AK13" i="127"/>
  <c r="AM13" i="127"/>
  <c r="AN13" i="127"/>
  <c r="AO13" i="127"/>
  <c r="AP13" i="127"/>
  <c r="AQ13" i="127"/>
  <c r="B14" i="127" a="1"/>
  <c r="B14" i="127" s="1"/>
  <c r="M14" i="127"/>
  <c r="O14" i="127"/>
  <c r="P14" i="127"/>
  <c r="Q14" i="127"/>
  <c r="R14" i="127"/>
  <c r="S14" i="127"/>
  <c r="Y14" i="127"/>
  <c r="AA14" i="127"/>
  <c r="AB14" i="127"/>
  <c r="AC14" i="127"/>
  <c r="AD14" i="127"/>
  <c r="AE14" i="127"/>
  <c r="AK14" i="127"/>
  <c r="AM14" i="127"/>
  <c r="AN14" i="127"/>
  <c r="AO14" i="127"/>
  <c r="AP14" i="127"/>
  <c r="AQ14" i="127"/>
  <c r="B15" i="127" a="1"/>
  <c r="B15" i="127" s="1"/>
  <c r="F15" i="127" s="1"/>
  <c r="M15" i="127"/>
  <c r="O15" i="127"/>
  <c r="P15" i="127"/>
  <c r="Q15" i="127"/>
  <c r="R15" i="127"/>
  <c r="S15" i="127"/>
  <c r="Y15" i="127"/>
  <c r="AA15" i="127"/>
  <c r="AB15" i="127"/>
  <c r="AC15" i="127"/>
  <c r="AD15" i="127"/>
  <c r="AE15" i="127"/>
  <c r="AK15" i="127"/>
  <c r="AM15" i="127"/>
  <c r="AN15" i="127"/>
  <c r="AO15" i="127"/>
  <c r="AP15" i="127"/>
  <c r="AQ15" i="127"/>
  <c r="B16" i="127" a="1"/>
  <c r="B16" i="127" s="1"/>
  <c r="M16" i="127"/>
  <c r="O16" i="127"/>
  <c r="P16" i="127"/>
  <c r="Q16" i="127"/>
  <c r="R16" i="127"/>
  <c r="S16" i="127"/>
  <c r="Y16" i="127"/>
  <c r="AA16" i="127"/>
  <c r="AB16" i="127"/>
  <c r="AC16" i="127"/>
  <c r="AD16" i="127"/>
  <c r="AE16" i="127"/>
  <c r="AK16" i="127"/>
  <c r="AM16" i="127"/>
  <c r="AN16" i="127"/>
  <c r="AO16" i="127"/>
  <c r="AP16" i="127"/>
  <c r="AQ16" i="127"/>
  <c r="B17" i="127" a="1"/>
  <c r="B17" i="127" s="1"/>
  <c r="G17" i="127" a="1"/>
  <c r="G17" i="127" s="1"/>
  <c r="M17" i="127"/>
  <c r="O17" i="127"/>
  <c r="P17" i="127"/>
  <c r="Q17" i="127"/>
  <c r="R17" i="127"/>
  <c r="S17" i="127"/>
  <c r="Y17" i="127"/>
  <c r="AA17" i="127"/>
  <c r="AB17" i="127"/>
  <c r="AC17" i="127"/>
  <c r="AD17" i="127"/>
  <c r="AE17" i="127"/>
  <c r="AK17" i="127"/>
  <c r="AM17" i="127"/>
  <c r="AN17" i="127"/>
  <c r="AO17" i="127"/>
  <c r="AP17" i="127"/>
  <c r="AQ17" i="127"/>
  <c r="B18" i="127" a="1"/>
  <c r="B18" i="127" s="1"/>
  <c r="M18" i="127"/>
  <c r="O18" i="127"/>
  <c r="P18" i="127"/>
  <c r="Q18" i="127"/>
  <c r="R18" i="127"/>
  <c r="S18" i="127"/>
  <c r="AA18" i="127"/>
  <c r="AB18" i="127"/>
  <c r="AC18" i="127"/>
  <c r="AD18" i="127"/>
  <c r="AE18" i="127"/>
  <c r="AM18" i="127"/>
  <c r="AN18" i="127"/>
  <c r="AO18" i="127"/>
  <c r="AP18" i="127"/>
  <c r="AQ18" i="127"/>
  <c r="N19" i="127"/>
  <c r="Z19" i="127" s="1"/>
  <c r="AL19" i="127" s="1"/>
  <c r="C20" i="127"/>
  <c r="D20" i="127"/>
  <c r="E20" i="127"/>
  <c r="F20" i="127"/>
  <c r="G20" i="127"/>
  <c r="M20" i="127"/>
  <c r="O20" i="127"/>
  <c r="P20" i="127"/>
  <c r="Q20" i="127"/>
  <c r="R20" i="127"/>
  <c r="S20" i="127"/>
  <c r="Y20" i="127"/>
  <c r="AA20" i="127"/>
  <c r="AB20" i="127"/>
  <c r="AC20" i="127"/>
  <c r="AD20" i="127"/>
  <c r="AE20" i="127"/>
  <c r="AK20" i="127"/>
  <c r="AM20" i="127"/>
  <c r="AN20" i="127"/>
  <c r="AO20" i="127"/>
  <c r="AP20" i="127"/>
  <c r="AQ20" i="127"/>
  <c r="C21" i="127"/>
  <c r="D21" i="127"/>
  <c r="E21" i="127"/>
  <c r="F21" i="127"/>
  <c r="G21" i="127"/>
  <c r="M21" i="127"/>
  <c r="O21" i="127"/>
  <c r="P21" i="127"/>
  <c r="Q21" i="127"/>
  <c r="R21" i="127"/>
  <c r="S21" i="127"/>
  <c r="Y21" i="127"/>
  <c r="AA21" i="127"/>
  <c r="AB21" i="127"/>
  <c r="AC21" i="127"/>
  <c r="AD21" i="127"/>
  <c r="AE21" i="127"/>
  <c r="AK21" i="127"/>
  <c r="AM21" i="127"/>
  <c r="AN21" i="127"/>
  <c r="AO21" i="127"/>
  <c r="AP21" i="127"/>
  <c r="AQ21" i="127"/>
  <c r="C22" i="127"/>
  <c r="D22" i="127"/>
  <c r="E22" i="127"/>
  <c r="F22" i="127"/>
  <c r="G22" i="127"/>
  <c r="M22" i="127"/>
  <c r="O22" i="127"/>
  <c r="P22" i="127"/>
  <c r="Q22" i="127"/>
  <c r="R22" i="127"/>
  <c r="S22" i="127"/>
  <c r="Y22" i="127"/>
  <c r="AA22" i="127"/>
  <c r="AB22" i="127"/>
  <c r="AC22" i="127"/>
  <c r="AD22" i="127"/>
  <c r="AE22" i="127"/>
  <c r="AK22" i="127"/>
  <c r="AM22" i="127"/>
  <c r="AN22" i="127"/>
  <c r="AO22" i="127"/>
  <c r="AP22" i="127"/>
  <c r="AQ22" i="127"/>
  <c r="C23" i="127"/>
  <c r="D23" i="127"/>
  <c r="E23" i="127"/>
  <c r="F23" i="127"/>
  <c r="G23" i="127"/>
  <c r="M23" i="127"/>
  <c r="O23" i="127"/>
  <c r="P23" i="127"/>
  <c r="Q23" i="127"/>
  <c r="R23" i="127"/>
  <c r="S23" i="127"/>
  <c r="Y23" i="127"/>
  <c r="AA23" i="127"/>
  <c r="AB23" i="127"/>
  <c r="AC23" i="127"/>
  <c r="AD23" i="127"/>
  <c r="AE23" i="127"/>
  <c r="AK23" i="127"/>
  <c r="AM23" i="127"/>
  <c r="AN23" i="127"/>
  <c r="AO23" i="127"/>
  <c r="AP23" i="127"/>
  <c r="AQ23" i="127"/>
  <c r="C24" i="127"/>
  <c r="D24" i="127"/>
  <c r="E24" i="127"/>
  <c r="F24" i="127"/>
  <c r="G24" i="127"/>
  <c r="M24" i="127"/>
  <c r="O24" i="127"/>
  <c r="P24" i="127"/>
  <c r="Q24" i="127"/>
  <c r="R24" i="127"/>
  <c r="S24" i="127"/>
  <c r="Y24" i="127"/>
  <c r="AA24" i="127"/>
  <c r="AB24" i="127"/>
  <c r="AC24" i="127"/>
  <c r="AD24" i="127"/>
  <c r="AE24" i="127"/>
  <c r="AK24" i="127"/>
  <c r="AM24" i="127"/>
  <c r="AN24" i="127"/>
  <c r="AO24" i="127"/>
  <c r="AP24" i="127"/>
  <c r="AQ24" i="127"/>
  <c r="C25" i="127"/>
  <c r="D25" i="127"/>
  <c r="E25" i="127"/>
  <c r="F25" i="127"/>
  <c r="G25" i="127"/>
  <c r="M25" i="127"/>
  <c r="O25" i="127"/>
  <c r="P25" i="127"/>
  <c r="Q25" i="127"/>
  <c r="R25" i="127"/>
  <c r="S25" i="127"/>
  <c r="Y25" i="127"/>
  <c r="AA25" i="127"/>
  <c r="AB25" i="127"/>
  <c r="AC25" i="127"/>
  <c r="AD25" i="127"/>
  <c r="AE25" i="127"/>
  <c r="AK25" i="127"/>
  <c r="AM25" i="127"/>
  <c r="AN25" i="127"/>
  <c r="AO25" i="127"/>
  <c r="AP25" i="127"/>
  <c r="AQ25" i="127"/>
  <c r="C26" i="127"/>
  <c r="D26" i="127"/>
  <c r="E26" i="127"/>
  <c r="F26" i="127"/>
  <c r="G26" i="127"/>
  <c r="M26" i="127"/>
  <c r="O26" i="127"/>
  <c r="P26" i="127"/>
  <c r="Q26" i="127"/>
  <c r="R26" i="127"/>
  <c r="S26" i="127"/>
  <c r="Y26" i="127"/>
  <c r="AA26" i="127"/>
  <c r="AB26" i="127"/>
  <c r="AC26" i="127"/>
  <c r="AD26" i="127"/>
  <c r="AE26" i="127"/>
  <c r="AK26" i="127"/>
  <c r="AM26" i="127"/>
  <c r="AN26" i="127"/>
  <c r="AO26" i="127"/>
  <c r="AP26" i="127"/>
  <c r="AQ26" i="127"/>
  <c r="C27" i="127"/>
  <c r="D27" i="127"/>
  <c r="E27" i="127"/>
  <c r="F27" i="127"/>
  <c r="G27" i="127"/>
  <c r="M27" i="127"/>
  <c r="O27" i="127"/>
  <c r="P27" i="127"/>
  <c r="Q27" i="127"/>
  <c r="R27" i="127"/>
  <c r="S27" i="127"/>
  <c r="Y27" i="127"/>
  <c r="AA27" i="127"/>
  <c r="AB27" i="127"/>
  <c r="AC27" i="127"/>
  <c r="AD27" i="127"/>
  <c r="AE27" i="127"/>
  <c r="AK27" i="127"/>
  <c r="AM27" i="127"/>
  <c r="AN27" i="127"/>
  <c r="AO27" i="127"/>
  <c r="AP27" i="127"/>
  <c r="AQ27" i="127"/>
  <c r="C28" i="127"/>
  <c r="D28" i="127"/>
  <c r="E28" i="127"/>
  <c r="F28" i="127"/>
  <c r="G28" i="127"/>
  <c r="M28" i="127"/>
  <c r="O28" i="127"/>
  <c r="P28" i="127"/>
  <c r="Q28" i="127"/>
  <c r="R28" i="127"/>
  <c r="S28" i="127"/>
  <c r="Y28" i="127"/>
  <c r="AA28" i="127"/>
  <c r="AB28" i="127"/>
  <c r="AC28" i="127"/>
  <c r="AD28" i="127"/>
  <c r="AE28" i="127"/>
  <c r="AK28" i="127"/>
  <c r="AM28" i="127"/>
  <c r="AN28" i="127"/>
  <c r="AO28" i="127"/>
  <c r="AP28" i="127"/>
  <c r="AQ28" i="127"/>
  <c r="C29" i="127"/>
  <c r="D29" i="127"/>
  <c r="E29" i="127"/>
  <c r="F29" i="127"/>
  <c r="G29" i="127"/>
  <c r="M29" i="127"/>
  <c r="O29" i="127"/>
  <c r="P29" i="127"/>
  <c r="Q29" i="127"/>
  <c r="R29" i="127"/>
  <c r="S29" i="127"/>
  <c r="Y29" i="127"/>
  <c r="AA29" i="127"/>
  <c r="AB29" i="127"/>
  <c r="AC29" i="127"/>
  <c r="AD29" i="127"/>
  <c r="AE29" i="127"/>
  <c r="AK29" i="127"/>
  <c r="AM29" i="127"/>
  <c r="AN29" i="127"/>
  <c r="AO29" i="127"/>
  <c r="AP29" i="127"/>
  <c r="AQ29" i="127"/>
  <c r="C30" i="127"/>
  <c r="D30" i="127"/>
  <c r="E30" i="127"/>
  <c r="F30" i="127"/>
  <c r="G30" i="127"/>
  <c r="M30" i="127"/>
  <c r="O30" i="127"/>
  <c r="P30" i="127"/>
  <c r="Q30" i="127"/>
  <c r="R30" i="127"/>
  <c r="S30" i="127"/>
  <c r="Y30" i="127"/>
  <c r="AA30" i="127"/>
  <c r="AB30" i="127"/>
  <c r="AC30" i="127"/>
  <c r="AD30" i="127"/>
  <c r="AE30" i="127"/>
  <c r="AK30" i="127"/>
  <c r="AM30" i="127"/>
  <c r="AN30" i="127"/>
  <c r="AO30" i="127"/>
  <c r="AP30" i="127"/>
  <c r="AQ30" i="127"/>
  <c r="C31" i="127"/>
  <c r="D31" i="127"/>
  <c r="E31" i="127"/>
  <c r="F31" i="127"/>
  <c r="G31" i="127"/>
  <c r="M31" i="127"/>
  <c r="O31" i="127"/>
  <c r="P31" i="127"/>
  <c r="Q31" i="127"/>
  <c r="R31" i="127"/>
  <c r="S31" i="127"/>
  <c r="Y31" i="127"/>
  <c r="AA31" i="127"/>
  <c r="AB31" i="127"/>
  <c r="AC31" i="127"/>
  <c r="AD31" i="127"/>
  <c r="AE31" i="127"/>
  <c r="AK31" i="127"/>
  <c r="AM31" i="127"/>
  <c r="AN31" i="127"/>
  <c r="AO31" i="127"/>
  <c r="AP31" i="127"/>
  <c r="AQ31" i="127"/>
  <c r="C32" i="127"/>
  <c r="D32" i="127"/>
  <c r="E32" i="127"/>
  <c r="F32" i="127"/>
  <c r="G32" i="127"/>
  <c r="M32" i="127"/>
  <c r="O32" i="127"/>
  <c r="P32" i="127"/>
  <c r="Q32" i="127"/>
  <c r="R32" i="127"/>
  <c r="S32" i="127"/>
  <c r="Y32" i="127"/>
  <c r="AA32" i="127"/>
  <c r="AB32" i="127"/>
  <c r="AC32" i="127"/>
  <c r="AD32" i="127"/>
  <c r="AE32" i="127"/>
  <c r="AK32" i="127"/>
  <c r="AM32" i="127"/>
  <c r="AN32" i="127"/>
  <c r="AO32" i="127"/>
  <c r="AP32" i="127"/>
  <c r="AQ32" i="127"/>
  <c r="C33" i="127"/>
  <c r="D33" i="127"/>
  <c r="E33" i="127"/>
  <c r="F33" i="127"/>
  <c r="G33" i="127"/>
  <c r="M33" i="127"/>
  <c r="O33" i="127"/>
  <c r="P33" i="127"/>
  <c r="Q33" i="127"/>
  <c r="R33" i="127"/>
  <c r="S33" i="127"/>
  <c r="Y33" i="127"/>
  <c r="AA33" i="127"/>
  <c r="AB33" i="127"/>
  <c r="AC33" i="127"/>
  <c r="AD33" i="127"/>
  <c r="AE33" i="127"/>
  <c r="AK33" i="127"/>
  <c r="AM33" i="127"/>
  <c r="AN33" i="127"/>
  <c r="AO33" i="127"/>
  <c r="AP33" i="127"/>
  <c r="AQ33" i="127"/>
  <c r="C34" i="127"/>
  <c r="D34" i="127"/>
  <c r="E34" i="127"/>
  <c r="F34" i="127"/>
  <c r="G34" i="127"/>
  <c r="M34" i="127"/>
  <c r="O34" i="127"/>
  <c r="P34" i="127"/>
  <c r="Q34" i="127"/>
  <c r="R34" i="127"/>
  <c r="S34" i="127"/>
  <c r="Y34" i="127"/>
  <c r="AA34" i="127"/>
  <c r="AB34" i="127"/>
  <c r="AC34" i="127"/>
  <c r="AD34" i="127"/>
  <c r="AE34" i="127"/>
  <c r="AK34" i="127"/>
  <c r="AM34" i="127"/>
  <c r="AN34" i="127"/>
  <c r="AO34" i="127"/>
  <c r="AP34" i="127"/>
  <c r="AQ34" i="127"/>
  <c r="C35" i="127"/>
  <c r="D35" i="127"/>
  <c r="E35" i="127"/>
  <c r="F35" i="127"/>
  <c r="G35" i="127"/>
  <c r="M35" i="127"/>
  <c r="O35" i="127"/>
  <c r="P35" i="127"/>
  <c r="Q35" i="127"/>
  <c r="R35" i="127"/>
  <c r="S35" i="127"/>
  <c r="Y35" i="127"/>
  <c r="AA35" i="127"/>
  <c r="AB35" i="127"/>
  <c r="AC35" i="127"/>
  <c r="AD35" i="127"/>
  <c r="AE35" i="127"/>
  <c r="AK35" i="127"/>
  <c r="AM35" i="127"/>
  <c r="AN35" i="127"/>
  <c r="AO35" i="127"/>
  <c r="AP35" i="127"/>
  <c r="AQ35" i="127"/>
  <c r="C36" i="127"/>
  <c r="D36" i="127"/>
  <c r="E36" i="127"/>
  <c r="F36" i="127"/>
  <c r="G36" i="127"/>
  <c r="M36" i="127"/>
  <c r="O36" i="127"/>
  <c r="P36" i="127"/>
  <c r="Q36" i="127"/>
  <c r="R36" i="127"/>
  <c r="S36" i="127"/>
  <c r="AA36" i="127"/>
  <c r="AB36" i="127"/>
  <c r="AC36" i="127"/>
  <c r="AD36" i="127"/>
  <c r="AE36" i="127"/>
  <c r="AM36" i="127"/>
  <c r="AN36" i="127"/>
  <c r="AO36" i="127"/>
  <c r="AP36" i="127"/>
  <c r="AQ36" i="127"/>
  <c r="N37" i="127"/>
  <c r="Z37" i="127" s="1"/>
  <c r="AL37" i="127" s="1"/>
  <c r="B38" i="127" a="1"/>
  <c r="B38" i="127" s="1"/>
  <c r="M38" i="127"/>
  <c r="O38" i="127"/>
  <c r="P38" i="127"/>
  <c r="Q38" i="127"/>
  <c r="R38" i="127"/>
  <c r="S38" i="127"/>
  <c r="Y38" i="127"/>
  <c r="AA38" i="127"/>
  <c r="AB38" i="127"/>
  <c r="AC38" i="127"/>
  <c r="AD38" i="127"/>
  <c r="AE38" i="127"/>
  <c r="AK38" i="127"/>
  <c r="AM38" i="127"/>
  <c r="AN38" i="127"/>
  <c r="AO38" i="127"/>
  <c r="AP38" i="127"/>
  <c r="AQ38" i="127"/>
  <c r="B39" i="127" a="1"/>
  <c r="B39" i="127" s="1"/>
  <c r="F39" i="127" s="1"/>
  <c r="M39" i="127"/>
  <c r="O39" i="127"/>
  <c r="P39" i="127"/>
  <c r="Q39" i="127"/>
  <c r="R39" i="127"/>
  <c r="S39" i="127"/>
  <c r="Y39" i="127"/>
  <c r="AA39" i="127"/>
  <c r="AB39" i="127"/>
  <c r="AC39" i="127"/>
  <c r="AD39" i="127"/>
  <c r="AE39" i="127"/>
  <c r="AK39" i="127"/>
  <c r="AM39" i="127"/>
  <c r="AN39" i="127"/>
  <c r="AO39" i="127"/>
  <c r="AP39" i="127"/>
  <c r="AQ39" i="127"/>
  <c r="B40" i="127" a="1"/>
  <c r="B40" i="127" s="1"/>
  <c r="G40" i="127" s="1"/>
  <c r="M40" i="127"/>
  <c r="O40" i="127"/>
  <c r="P40" i="127"/>
  <c r="Q40" i="127"/>
  <c r="R40" i="127"/>
  <c r="S40" i="127"/>
  <c r="Y40" i="127"/>
  <c r="AA40" i="127"/>
  <c r="AB40" i="127"/>
  <c r="AC40" i="127"/>
  <c r="AD40" i="127"/>
  <c r="AE40" i="127"/>
  <c r="AK40" i="127"/>
  <c r="AM40" i="127"/>
  <c r="AN40" i="127"/>
  <c r="AO40" i="127"/>
  <c r="AP40" i="127"/>
  <c r="AQ40" i="127"/>
  <c r="B41" i="127" a="1"/>
  <c r="B41" i="127" s="1"/>
  <c r="M41" i="127"/>
  <c r="O41" i="127"/>
  <c r="P41" i="127"/>
  <c r="Q41" i="127"/>
  <c r="R41" i="127"/>
  <c r="S41" i="127"/>
  <c r="Y41" i="127"/>
  <c r="AA41" i="127"/>
  <c r="AB41" i="127"/>
  <c r="AC41" i="127"/>
  <c r="AD41" i="127"/>
  <c r="AE41" i="127"/>
  <c r="AK41" i="127"/>
  <c r="AM41" i="127"/>
  <c r="AN41" i="127"/>
  <c r="AO41" i="127"/>
  <c r="AP41" i="127"/>
  <c r="AQ41" i="127"/>
  <c r="B42" i="127" a="1"/>
  <c r="B42" i="127" s="1"/>
  <c r="M42" i="127"/>
  <c r="O42" i="127"/>
  <c r="P42" i="127"/>
  <c r="Q42" i="127"/>
  <c r="R42" i="127"/>
  <c r="S42" i="127"/>
  <c r="Y42" i="127"/>
  <c r="AA42" i="127"/>
  <c r="AB42" i="127"/>
  <c r="AC42" i="127"/>
  <c r="AD42" i="127"/>
  <c r="AE42" i="127"/>
  <c r="AK42" i="127"/>
  <c r="AM42" i="127"/>
  <c r="AN42" i="127"/>
  <c r="AO42" i="127"/>
  <c r="AP42" i="127"/>
  <c r="AQ42" i="127"/>
  <c r="B43" i="127" a="1"/>
  <c r="B43" i="127" s="1"/>
  <c r="M43" i="127"/>
  <c r="O43" i="127"/>
  <c r="P43" i="127"/>
  <c r="Q43" i="127"/>
  <c r="R43" i="127"/>
  <c r="S43" i="127"/>
  <c r="Y43" i="127"/>
  <c r="AA43" i="127"/>
  <c r="AB43" i="127"/>
  <c r="AC43" i="127"/>
  <c r="AD43" i="127"/>
  <c r="AE43" i="127"/>
  <c r="AK43" i="127"/>
  <c r="AM43" i="127"/>
  <c r="AN43" i="127"/>
  <c r="AO43" i="127"/>
  <c r="AP43" i="127"/>
  <c r="AQ43" i="127"/>
  <c r="B44" i="127" a="1"/>
  <c r="B44" i="127" s="1"/>
  <c r="M44" i="127"/>
  <c r="O44" i="127"/>
  <c r="P44" i="127"/>
  <c r="Q44" i="127"/>
  <c r="R44" i="127"/>
  <c r="S44" i="127"/>
  <c r="Y44" i="127"/>
  <c r="AA44" i="127"/>
  <c r="AB44" i="127"/>
  <c r="AC44" i="127"/>
  <c r="AD44" i="127"/>
  <c r="AE44" i="127"/>
  <c r="AK44" i="127"/>
  <c r="AM44" i="127"/>
  <c r="AN44" i="127"/>
  <c r="AO44" i="127"/>
  <c r="AP44" i="127"/>
  <c r="AQ44" i="127"/>
  <c r="B45" i="127" a="1"/>
  <c r="B45" i="127" s="1"/>
  <c r="M45" i="127"/>
  <c r="O45" i="127"/>
  <c r="P45" i="127"/>
  <c r="Q45" i="127"/>
  <c r="R45" i="127"/>
  <c r="S45" i="127"/>
  <c r="Y45" i="127"/>
  <c r="AA45" i="127"/>
  <c r="AB45" i="127"/>
  <c r="AC45" i="127"/>
  <c r="AD45" i="127"/>
  <c r="AE45" i="127"/>
  <c r="AK45" i="127"/>
  <c r="AM45" i="127"/>
  <c r="AN45" i="127"/>
  <c r="AO45" i="127"/>
  <c r="AP45" i="127"/>
  <c r="AQ45" i="127"/>
  <c r="B46" i="127" a="1"/>
  <c r="B46" i="127" s="1"/>
  <c r="F46" i="127" s="1"/>
  <c r="M46" i="127"/>
  <c r="O46" i="127"/>
  <c r="P46" i="127"/>
  <c r="Q46" i="127"/>
  <c r="R46" i="127"/>
  <c r="S46" i="127"/>
  <c r="Y46" i="127"/>
  <c r="AA46" i="127"/>
  <c r="AB46" i="127"/>
  <c r="AC46" i="127"/>
  <c r="AD46" i="127"/>
  <c r="AE46" i="127"/>
  <c r="AK46" i="127"/>
  <c r="AM46" i="127"/>
  <c r="AN46" i="127"/>
  <c r="AO46" i="127"/>
  <c r="AP46" i="127"/>
  <c r="AQ46" i="127"/>
  <c r="B47" i="127" a="1"/>
  <c r="B47" i="127" s="1"/>
  <c r="M47" i="127"/>
  <c r="O47" i="127"/>
  <c r="P47" i="127"/>
  <c r="Q47" i="127"/>
  <c r="R47" i="127"/>
  <c r="S47" i="127"/>
  <c r="Y47" i="127"/>
  <c r="AA47" i="127"/>
  <c r="AB47" i="127"/>
  <c r="AC47" i="127"/>
  <c r="AD47" i="127"/>
  <c r="AE47" i="127"/>
  <c r="AK47" i="127"/>
  <c r="AM47" i="127"/>
  <c r="AN47" i="127"/>
  <c r="AO47" i="127"/>
  <c r="AP47" i="127"/>
  <c r="AQ47" i="127"/>
  <c r="B48" i="127" a="1"/>
  <c r="B48" i="127" s="1"/>
  <c r="G48" i="127" s="1"/>
  <c r="M48" i="127"/>
  <c r="O48" i="127"/>
  <c r="P48" i="127"/>
  <c r="Q48" i="127"/>
  <c r="R48" i="127"/>
  <c r="S48" i="127"/>
  <c r="Y48" i="127"/>
  <c r="AA48" i="127"/>
  <c r="AB48" i="127"/>
  <c r="AC48" i="127"/>
  <c r="AD48" i="127"/>
  <c r="AE48" i="127"/>
  <c r="AK48" i="127"/>
  <c r="AM48" i="127"/>
  <c r="AN48" i="127"/>
  <c r="AO48" i="127"/>
  <c r="AP48" i="127"/>
  <c r="AQ48" i="127"/>
  <c r="B49" i="127" a="1"/>
  <c r="B49" i="127" s="1"/>
  <c r="F49" i="127" s="1"/>
  <c r="M49" i="127"/>
  <c r="O49" i="127"/>
  <c r="P49" i="127"/>
  <c r="Q49" i="127"/>
  <c r="R49" i="127"/>
  <c r="S49" i="127"/>
  <c r="Y49" i="127"/>
  <c r="AA49" i="127"/>
  <c r="AB49" i="127"/>
  <c r="AC49" i="127"/>
  <c r="AD49" i="127"/>
  <c r="AE49" i="127"/>
  <c r="AK49" i="127"/>
  <c r="AM49" i="127"/>
  <c r="AN49" i="127"/>
  <c r="AO49" i="127"/>
  <c r="AP49" i="127"/>
  <c r="AQ49" i="127"/>
  <c r="B50" i="127" a="1"/>
  <c r="B50" i="127" s="1"/>
  <c r="M50" i="127"/>
  <c r="O50" i="127"/>
  <c r="P50" i="127"/>
  <c r="Q50" i="127"/>
  <c r="R50" i="127"/>
  <c r="S50" i="127"/>
  <c r="Y50" i="127"/>
  <c r="AA50" i="127"/>
  <c r="AB50" i="127"/>
  <c r="AC50" i="127"/>
  <c r="AD50" i="127"/>
  <c r="AE50" i="127"/>
  <c r="AK50" i="127"/>
  <c r="AM50" i="127"/>
  <c r="AN50" i="127"/>
  <c r="AO50" i="127"/>
  <c r="AP50" i="127"/>
  <c r="AQ50" i="127"/>
  <c r="B51" i="127" a="1"/>
  <c r="B51" i="127" s="1"/>
  <c r="F51" i="127" s="1"/>
  <c r="M51" i="127"/>
  <c r="O51" i="127"/>
  <c r="P51" i="127"/>
  <c r="Q51" i="127"/>
  <c r="R51" i="127"/>
  <c r="S51" i="127"/>
  <c r="Y51" i="127"/>
  <c r="AA51" i="127"/>
  <c r="AB51" i="127"/>
  <c r="AC51" i="127"/>
  <c r="AD51" i="127"/>
  <c r="AE51" i="127"/>
  <c r="AK51" i="127"/>
  <c r="AM51" i="127"/>
  <c r="AN51" i="127"/>
  <c r="AO51" i="127"/>
  <c r="AP51" i="127"/>
  <c r="AQ51" i="127"/>
  <c r="B52" i="127" a="1"/>
  <c r="B52" i="127" s="1"/>
  <c r="M52" i="127"/>
  <c r="O52" i="127"/>
  <c r="P52" i="127"/>
  <c r="Q52" i="127"/>
  <c r="R52" i="127"/>
  <c r="S52" i="127"/>
  <c r="Y52" i="127"/>
  <c r="AA52" i="127"/>
  <c r="AB52" i="127"/>
  <c r="AC52" i="127"/>
  <c r="AD52" i="127"/>
  <c r="AE52" i="127"/>
  <c r="AK52" i="127"/>
  <c r="AM52" i="127"/>
  <c r="AN52" i="127"/>
  <c r="AO52" i="127"/>
  <c r="AP52" i="127"/>
  <c r="AQ52" i="127"/>
  <c r="B53" i="127" a="1"/>
  <c r="B53" i="127" s="1"/>
  <c r="M53" i="127"/>
  <c r="O53" i="127"/>
  <c r="P53" i="127"/>
  <c r="Q53" i="127"/>
  <c r="R53" i="127"/>
  <c r="S53" i="127"/>
  <c r="Y53" i="127"/>
  <c r="AA53" i="127"/>
  <c r="AB53" i="127"/>
  <c r="AC53" i="127"/>
  <c r="AD53" i="127"/>
  <c r="AE53" i="127"/>
  <c r="AK53" i="127"/>
  <c r="AM53" i="127"/>
  <c r="AN53" i="127"/>
  <c r="AO53" i="127"/>
  <c r="AP53" i="127"/>
  <c r="AQ53" i="127"/>
  <c r="B54" i="127" a="1"/>
  <c r="B54" i="127" s="1"/>
  <c r="M54" i="127"/>
  <c r="O54" i="127"/>
  <c r="P54" i="127"/>
  <c r="Q54" i="127"/>
  <c r="R54" i="127"/>
  <c r="S54" i="127"/>
  <c r="AA54" i="127"/>
  <c r="AB54" i="127"/>
  <c r="AC54" i="127"/>
  <c r="AD54" i="127"/>
  <c r="AE54" i="127"/>
  <c r="AM54" i="127"/>
  <c r="AN54" i="127"/>
  <c r="AO54" i="127"/>
  <c r="AP54" i="127"/>
  <c r="AQ54" i="127"/>
  <c r="N55" i="127"/>
  <c r="Z55" i="127" s="1"/>
  <c r="AL55" i="127" s="1"/>
  <c r="M56" i="127"/>
  <c r="O56" i="127"/>
  <c r="P56" i="127"/>
  <c r="Q56" i="127"/>
  <c r="R56" i="127"/>
  <c r="S56" i="127"/>
  <c r="Y56" i="127"/>
  <c r="AA56" i="127"/>
  <c r="AB56" i="127"/>
  <c r="AC56" i="127"/>
  <c r="AD56" i="127"/>
  <c r="AE56" i="127"/>
  <c r="AK56" i="127"/>
  <c r="AM56" i="127"/>
  <c r="AN56" i="127"/>
  <c r="AO56" i="127"/>
  <c r="AP56" i="127"/>
  <c r="AQ56" i="127"/>
  <c r="AX56" i="127"/>
  <c r="B56" i="127" s="1" a="1"/>
  <c r="B56" i="127" s="1"/>
  <c r="F56" i="127" s="1"/>
  <c r="AY56" i="127"/>
  <c r="M57" i="127"/>
  <c r="O57" i="127"/>
  <c r="P57" i="127"/>
  <c r="Q57" i="127"/>
  <c r="R57" i="127"/>
  <c r="S57" i="127"/>
  <c r="Y57" i="127"/>
  <c r="AA57" i="127"/>
  <c r="AB57" i="127"/>
  <c r="AC57" i="127"/>
  <c r="AD57" i="127"/>
  <c r="AE57" i="127"/>
  <c r="AK57" i="127"/>
  <c r="AM57" i="127"/>
  <c r="AN57" i="127"/>
  <c r="AO57" i="127"/>
  <c r="AP57" i="127"/>
  <c r="AQ57" i="127"/>
  <c r="AX57" i="127"/>
  <c r="B57" i="127" s="1" a="1"/>
  <c r="B57" i="127" s="1"/>
  <c r="AY57" i="127"/>
  <c r="B58" i="127" a="1"/>
  <c r="B58" i="127" s="1"/>
  <c r="M58" i="127"/>
  <c r="O58" i="127"/>
  <c r="P58" i="127"/>
  <c r="Q58" i="127"/>
  <c r="R58" i="127"/>
  <c r="S58" i="127"/>
  <c r="Y58" i="127"/>
  <c r="AA58" i="127"/>
  <c r="AB58" i="127"/>
  <c r="AC58" i="127"/>
  <c r="AD58" i="127"/>
  <c r="AE58" i="127"/>
  <c r="AK58" i="127"/>
  <c r="AM58" i="127"/>
  <c r="AN58" i="127"/>
  <c r="AO58" i="127"/>
  <c r="AP58" i="127"/>
  <c r="AQ58" i="127"/>
  <c r="B59" i="127" a="1"/>
  <c r="B59" i="127" s="1"/>
  <c r="M59" i="127"/>
  <c r="O59" i="127"/>
  <c r="P59" i="127"/>
  <c r="Q59" i="127"/>
  <c r="R59" i="127"/>
  <c r="S59" i="127"/>
  <c r="Y59" i="127"/>
  <c r="AA59" i="127"/>
  <c r="AB59" i="127"/>
  <c r="AC59" i="127"/>
  <c r="AD59" i="127"/>
  <c r="AE59" i="127"/>
  <c r="AK59" i="127"/>
  <c r="AM59" i="127"/>
  <c r="AN59" i="127"/>
  <c r="AO59" i="127"/>
  <c r="AP59" i="127"/>
  <c r="AQ59" i="127"/>
  <c r="B60" i="127" a="1"/>
  <c r="B60" i="127" s="1"/>
  <c r="G60" i="127" s="1"/>
  <c r="M60" i="127"/>
  <c r="O60" i="127"/>
  <c r="P60" i="127"/>
  <c r="Q60" i="127"/>
  <c r="R60" i="127"/>
  <c r="S60" i="127"/>
  <c r="Y60" i="127"/>
  <c r="AA60" i="127"/>
  <c r="AB60" i="127"/>
  <c r="AC60" i="127"/>
  <c r="AD60" i="127"/>
  <c r="AE60" i="127"/>
  <c r="AK60" i="127"/>
  <c r="AM60" i="127"/>
  <c r="AN60" i="127"/>
  <c r="AO60" i="127"/>
  <c r="AP60" i="127"/>
  <c r="AQ60" i="127"/>
  <c r="B61" i="127" a="1"/>
  <c r="B61" i="127" s="1"/>
  <c r="M61" i="127"/>
  <c r="O61" i="127"/>
  <c r="P61" i="127"/>
  <c r="Q61" i="127"/>
  <c r="R61" i="127"/>
  <c r="S61" i="127"/>
  <c r="Y61" i="127"/>
  <c r="AA61" i="127"/>
  <c r="AB61" i="127"/>
  <c r="AC61" i="127"/>
  <c r="AD61" i="127"/>
  <c r="AE61" i="127"/>
  <c r="AK61" i="127"/>
  <c r="AM61" i="127"/>
  <c r="AN61" i="127"/>
  <c r="AO61" i="127"/>
  <c r="AP61" i="127"/>
  <c r="AQ61" i="127"/>
  <c r="B62" i="127" a="1"/>
  <c r="B62" i="127" s="1"/>
  <c r="M62" i="127"/>
  <c r="O62" i="127"/>
  <c r="P62" i="127"/>
  <c r="Q62" i="127"/>
  <c r="R62" i="127"/>
  <c r="S62" i="127"/>
  <c r="Y62" i="127"/>
  <c r="AA62" i="127"/>
  <c r="AB62" i="127"/>
  <c r="AC62" i="127"/>
  <c r="AD62" i="127"/>
  <c r="AE62" i="127"/>
  <c r="AK62" i="127"/>
  <c r="AM62" i="127"/>
  <c r="AN62" i="127"/>
  <c r="AO62" i="127"/>
  <c r="AP62" i="127"/>
  <c r="AQ62" i="127"/>
  <c r="B63" i="127" a="1"/>
  <c r="B63" i="127" s="1"/>
  <c r="M63" i="127"/>
  <c r="O63" i="127"/>
  <c r="P63" i="127"/>
  <c r="Q63" i="127"/>
  <c r="R63" i="127"/>
  <c r="S63" i="127"/>
  <c r="Y63" i="127"/>
  <c r="AA63" i="127"/>
  <c r="AB63" i="127"/>
  <c r="AC63" i="127"/>
  <c r="AD63" i="127"/>
  <c r="AE63" i="127"/>
  <c r="AK63" i="127"/>
  <c r="AM63" i="127"/>
  <c r="AN63" i="127"/>
  <c r="AO63" i="127"/>
  <c r="AP63" i="127"/>
  <c r="AQ63" i="127"/>
  <c r="B64" i="127" a="1"/>
  <c r="B64" i="127" s="1"/>
  <c r="M64" i="127"/>
  <c r="O64" i="127"/>
  <c r="P64" i="127"/>
  <c r="Q64" i="127"/>
  <c r="R64" i="127"/>
  <c r="S64" i="127"/>
  <c r="Y64" i="127"/>
  <c r="AA64" i="127"/>
  <c r="AB64" i="127"/>
  <c r="AC64" i="127"/>
  <c r="AD64" i="127"/>
  <c r="AE64" i="127"/>
  <c r="AK64" i="127"/>
  <c r="AM64" i="127"/>
  <c r="AN64" i="127"/>
  <c r="AO64" i="127"/>
  <c r="AP64" i="127"/>
  <c r="AQ64" i="127"/>
  <c r="B65" i="127" a="1"/>
  <c r="B65" i="127" s="1"/>
  <c r="M65" i="127"/>
  <c r="O65" i="127"/>
  <c r="P65" i="127"/>
  <c r="Q65" i="127"/>
  <c r="R65" i="127"/>
  <c r="S65" i="127"/>
  <c r="Y65" i="127"/>
  <c r="AA65" i="127"/>
  <c r="AB65" i="127"/>
  <c r="AC65" i="127"/>
  <c r="AD65" i="127"/>
  <c r="AE65" i="127"/>
  <c r="AK65" i="127"/>
  <c r="AM65" i="127"/>
  <c r="AN65" i="127"/>
  <c r="AO65" i="127"/>
  <c r="AP65" i="127"/>
  <c r="AQ65" i="127"/>
  <c r="B66" i="127" a="1"/>
  <c r="B66" i="127" s="1"/>
  <c r="F66" i="127" s="1"/>
  <c r="M66" i="127"/>
  <c r="O66" i="127"/>
  <c r="P66" i="127"/>
  <c r="Q66" i="127"/>
  <c r="R66" i="127"/>
  <c r="S66" i="127"/>
  <c r="Y66" i="127"/>
  <c r="AA66" i="127"/>
  <c r="AB66" i="127"/>
  <c r="AC66" i="127"/>
  <c r="AD66" i="127"/>
  <c r="AE66" i="127"/>
  <c r="AK66" i="127"/>
  <c r="AM66" i="127"/>
  <c r="AN66" i="127"/>
  <c r="AO66" i="127"/>
  <c r="AP66" i="127"/>
  <c r="AQ66" i="127"/>
  <c r="B67" i="127" a="1"/>
  <c r="B67" i="127" s="1"/>
  <c r="M67" i="127"/>
  <c r="O67" i="127"/>
  <c r="P67" i="127"/>
  <c r="Q67" i="127"/>
  <c r="R67" i="127"/>
  <c r="S67" i="127"/>
  <c r="Y67" i="127"/>
  <c r="AA67" i="127"/>
  <c r="AB67" i="127"/>
  <c r="AC67" i="127"/>
  <c r="AD67" i="127"/>
  <c r="AE67" i="127"/>
  <c r="AK67" i="127"/>
  <c r="AM67" i="127"/>
  <c r="AN67" i="127"/>
  <c r="AO67" i="127"/>
  <c r="AP67" i="127"/>
  <c r="AQ67" i="127"/>
  <c r="B68" i="127" a="1"/>
  <c r="B68" i="127" s="1"/>
  <c r="F68" i="127" s="1"/>
  <c r="M68" i="127"/>
  <c r="O68" i="127"/>
  <c r="P68" i="127"/>
  <c r="Q68" i="127"/>
  <c r="R68" i="127"/>
  <c r="S68" i="127"/>
  <c r="Y68" i="127"/>
  <c r="AA68" i="127"/>
  <c r="AB68" i="127"/>
  <c r="AC68" i="127"/>
  <c r="AD68" i="127"/>
  <c r="AE68" i="127"/>
  <c r="AK68" i="127"/>
  <c r="AM68" i="127"/>
  <c r="AN68" i="127"/>
  <c r="AO68" i="127"/>
  <c r="AP68" i="127"/>
  <c r="AQ68" i="127"/>
  <c r="B69" i="127" a="1"/>
  <c r="B69" i="127" s="1"/>
  <c r="M69" i="127"/>
  <c r="O69" i="127"/>
  <c r="P69" i="127"/>
  <c r="Q69" i="127"/>
  <c r="R69" i="127"/>
  <c r="S69" i="127"/>
  <c r="Y69" i="127"/>
  <c r="AA69" i="127"/>
  <c r="AB69" i="127"/>
  <c r="AC69" i="127"/>
  <c r="AD69" i="127"/>
  <c r="AE69" i="127"/>
  <c r="AK69" i="127"/>
  <c r="AM69" i="127"/>
  <c r="AN69" i="127"/>
  <c r="AO69" i="127"/>
  <c r="AP69" i="127"/>
  <c r="AQ69" i="127"/>
  <c r="B70" i="127" a="1"/>
  <c r="B70" i="127" s="1"/>
  <c r="M70" i="127"/>
  <c r="O70" i="127"/>
  <c r="P70" i="127"/>
  <c r="Q70" i="127"/>
  <c r="R70" i="127"/>
  <c r="S70" i="127"/>
  <c r="Y70" i="127"/>
  <c r="AA70" i="127"/>
  <c r="AB70" i="127"/>
  <c r="AC70" i="127"/>
  <c r="AD70" i="127"/>
  <c r="AE70" i="127"/>
  <c r="AK70" i="127"/>
  <c r="AM70" i="127"/>
  <c r="AN70" i="127"/>
  <c r="AO70" i="127"/>
  <c r="AP70" i="127"/>
  <c r="AQ70" i="127"/>
  <c r="B71" i="127" a="1"/>
  <c r="B71" i="127" s="1"/>
  <c r="M71" i="127"/>
  <c r="O71" i="127"/>
  <c r="P71" i="127"/>
  <c r="Q71" i="127"/>
  <c r="R71" i="127"/>
  <c r="S71" i="127"/>
  <c r="Y71" i="127"/>
  <c r="AA71" i="127"/>
  <c r="AB71" i="127"/>
  <c r="AC71" i="127"/>
  <c r="AD71" i="127"/>
  <c r="AE71" i="127"/>
  <c r="AK71" i="127"/>
  <c r="AM71" i="127"/>
  <c r="AN71" i="127"/>
  <c r="AO71" i="127"/>
  <c r="AP71" i="127"/>
  <c r="AQ71" i="127"/>
  <c r="B72" i="127" a="1"/>
  <c r="B72" i="127" s="1"/>
  <c r="F72" i="127" s="1"/>
  <c r="M72" i="127"/>
  <c r="O72" i="127"/>
  <c r="P72" i="127"/>
  <c r="Q72" i="127"/>
  <c r="R72" i="127"/>
  <c r="S72" i="127"/>
  <c r="AA72" i="127"/>
  <c r="AB72" i="127"/>
  <c r="AC72" i="127"/>
  <c r="AD72" i="127"/>
  <c r="AE72" i="127"/>
  <c r="AM72" i="127"/>
  <c r="AN72" i="127"/>
  <c r="AO72" i="127"/>
  <c r="AP72" i="127"/>
  <c r="AQ72" i="127"/>
  <c r="N73" i="127"/>
  <c r="Z73" i="127" s="1"/>
  <c r="AL73" i="127" s="1"/>
  <c r="B74" i="127" a="1"/>
  <c r="B74" i="127" s="1"/>
  <c r="M74" i="127"/>
  <c r="O74" i="127"/>
  <c r="P74" i="127"/>
  <c r="Q74" i="127"/>
  <c r="R74" i="127"/>
  <c r="S74" i="127"/>
  <c r="Y74" i="127"/>
  <c r="AA74" i="127"/>
  <c r="AB74" i="127"/>
  <c r="AC74" i="127"/>
  <c r="AD74" i="127"/>
  <c r="AE74" i="127"/>
  <c r="AK74" i="127"/>
  <c r="AM74" i="127"/>
  <c r="AN74" i="127"/>
  <c r="AO74" i="127"/>
  <c r="AP74" i="127"/>
  <c r="AQ74" i="127"/>
  <c r="B75" i="127" a="1"/>
  <c r="B75" i="127" s="1"/>
  <c r="M75" i="127"/>
  <c r="O75" i="127"/>
  <c r="P75" i="127"/>
  <c r="Q75" i="127"/>
  <c r="R75" i="127"/>
  <c r="S75" i="127"/>
  <c r="Y75" i="127"/>
  <c r="AA75" i="127"/>
  <c r="AB75" i="127"/>
  <c r="AC75" i="127"/>
  <c r="AD75" i="127"/>
  <c r="AE75" i="127"/>
  <c r="AK75" i="127"/>
  <c r="AM75" i="127"/>
  <c r="AN75" i="127"/>
  <c r="AO75" i="127"/>
  <c r="AP75" i="127"/>
  <c r="AQ75" i="127"/>
  <c r="B76" i="127" a="1"/>
  <c r="B76" i="127" s="1"/>
  <c r="G76" i="127" s="1"/>
  <c r="M76" i="127"/>
  <c r="O76" i="127"/>
  <c r="P76" i="127"/>
  <c r="Q76" i="127"/>
  <c r="R76" i="127"/>
  <c r="S76" i="127"/>
  <c r="Y76" i="127"/>
  <c r="AA76" i="127"/>
  <c r="AB76" i="127"/>
  <c r="AC76" i="127"/>
  <c r="AD76" i="127"/>
  <c r="AE76" i="127"/>
  <c r="AK76" i="127"/>
  <c r="AM76" i="127"/>
  <c r="AN76" i="127"/>
  <c r="AO76" i="127"/>
  <c r="AP76" i="127"/>
  <c r="AQ76" i="127"/>
  <c r="B77" i="127" a="1"/>
  <c r="B77" i="127" s="1"/>
  <c r="F77" i="127" s="1"/>
  <c r="M77" i="127"/>
  <c r="O77" i="127"/>
  <c r="P77" i="127"/>
  <c r="Q77" i="127"/>
  <c r="R77" i="127"/>
  <c r="S77" i="127"/>
  <c r="Y77" i="127"/>
  <c r="AA77" i="127"/>
  <c r="AB77" i="127"/>
  <c r="AC77" i="127"/>
  <c r="AD77" i="127"/>
  <c r="AE77" i="127"/>
  <c r="AK77" i="127"/>
  <c r="AM77" i="127"/>
  <c r="AN77" i="127"/>
  <c r="AO77" i="127"/>
  <c r="AP77" i="127"/>
  <c r="AQ77" i="127"/>
  <c r="B78" i="127" a="1"/>
  <c r="B78" i="127" s="1"/>
  <c r="E78" i="127" s="1"/>
  <c r="M78" i="127"/>
  <c r="O78" i="127"/>
  <c r="P78" i="127"/>
  <c r="Q78" i="127"/>
  <c r="R78" i="127"/>
  <c r="S78" i="127"/>
  <c r="Y78" i="127"/>
  <c r="AA78" i="127"/>
  <c r="AB78" i="127"/>
  <c r="AC78" i="127"/>
  <c r="AD78" i="127"/>
  <c r="AE78" i="127"/>
  <c r="AK78" i="127"/>
  <c r="AM78" i="127"/>
  <c r="AN78" i="127"/>
  <c r="AO78" i="127"/>
  <c r="AP78" i="127"/>
  <c r="AQ78" i="127"/>
  <c r="B79" i="127" a="1"/>
  <c r="B79" i="127" s="1"/>
  <c r="M79" i="127"/>
  <c r="O79" i="127"/>
  <c r="P79" i="127"/>
  <c r="Q79" i="127"/>
  <c r="R79" i="127"/>
  <c r="S79" i="127"/>
  <c r="Y79" i="127"/>
  <c r="AA79" i="127"/>
  <c r="AB79" i="127"/>
  <c r="AC79" i="127"/>
  <c r="AD79" i="127"/>
  <c r="AE79" i="127"/>
  <c r="AK79" i="127"/>
  <c r="AM79" i="127"/>
  <c r="AN79" i="127"/>
  <c r="AO79" i="127"/>
  <c r="AP79" i="127"/>
  <c r="AQ79" i="127"/>
  <c r="B80" i="127" a="1"/>
  <c r="B80" i="127" s="1"/>
  <c r="M80" i="127"/>
  <c r="O80" i="127"/>
  <c r="P80" i="127"/>
  <c r="Q80" i="127"/>
  <c r="R80" i="127"/>
  <c r="S80" i="127"/>
  <c r="Y80" i="127"/>
  <c r="AA80" i="127"/>
  <c r="AB80" i="127"/>
  <c r="AC80" i="127"/>
  <c r="AD80" i="127"/>
  <c r="AE80" i="127"/>
  <c r="AK80" i="127"/>
  <c r="AM80" i="127"/>
  <c r="AN80" i="127"/>
  <c r="AO80" i="127"/>
  <c r="AP80" i="127"/>
  <c r="AQ80" i="127"/>
  <c r="B81" i="127" a="1"/>
  <c r="B81" i="127" s="1"/>
  <c r="M81" i="127"/>
  <c r="O81" i="127"/>
  <c r="P81" i="127"/>
  <c r="Q81" i="127"/>
  <c r="R81" i="127"/>
  <c r="S81" i="127"/>
  <c r="Y81" i="127"/>
  <c r="AA81" i="127"/>
  <c r="AB81" i="127"/>
  <c r="AC81" i="127"/>
  <c r="AD81" i="127"/>
  <c r="AE81" i="127"/>
  <c r="AK81" i="127"/>
  <c r="AM81" i="127"/>
  <c r="AN81" i="127"/>
  <c r="AO81" i="127"/>
  <c r="AP81" i="127"/>
  <c r="AQ81" i="127"/>
  <c r="B82" i="127" a="1"/>
  <c r="B82" i="127" s="1"/>
  <c r="M82" i="127"/>
  <c r="O82" i="127"/>
  <c r="P82" i="127"/>
  <c r="Q82" i="127"/>
  <c r="R82" i="127"/>
  <c r="S82" i="127"/>
  <c r="Y82" i="127"/>
  <c r="AA82" i="127"/>
  <c r="AB82" i="127"/>
  <c r="AC82" i="127"/>
  <c r="AD82" i="127"/>
  <c r="AE82" i="127"/>
  <c r="AK82" i="127"/>
  <c r="AM82" i="127"/>
  <c r="AN82" i="127"/>
  <c r="AO82" i="127"/>
  <c r="AP82" i="127"/>
  <c r="AQ82" i="127"/>
  <c r="B83" i="127" a="1"/>
  <c r="B83" i="127" s="1"/>
  <c r="F83" i="127" s="1"/>
  <c r="M83" i="127"/>
  <c r="O83" i="127"/>
  <c r="P83" i="127"/>
  <c r="Q83" i="127"/>
  <c r="R83" i="127"/>
  <c r="S83" i="127"/>
  <c r="Y83" i="127"/>
  <c r="AA83" i="127"/>
  <c r="AB83" i="127"/>
  <c r="AC83" i="127"/>
  <c r="AD83" i="127"/>
  <c r="AE83" i="127"/>
  <c r="AK83" i="127"/>
  <c r="AM83" i="127"/>
  <c r="AN83" i="127"/>
  <c r="AO83" i="127"/>
  <c r="AP83" i="127"/>
  <c r="AQ83" i="127"/>
  <c r="B84" i="127" a="1"/>
  <c r="B84" i="127" s="1"/>
  <c r="F84" i="127" s="1"/>
  <c r="M84" i="127"/>
  <c r="O84" i="127"/>
  <c r="P84" i="127"/>
  <c r="Q84" i="127"/>
  <c r="R84" i="127"/>
  <c r="S84" i="127"/>
  <c r="Y84" i="127"/>
  <c r="AA84" i="127"/>
  <c r="AB84" i="127"/>
  <c r="AC84" i="127"/>
  <c r="AD84" i="127"/>
  <c r="AE84" i="127"/>
  <c r="AK84" i="127"/>
  <c r="AM84" i="127"/>
  <c r="AN84" i="127"/>
  <c r="AO84" i="127"/>
  <c r="AP84" i="127"/>
  <c r="AQ84" i="127"/>
  <c r="B85" i="127" a="1"/>
  <c r="B85" i="127" s="1"/>
  <c r="M85" i="127"/>
  <c r="O85" i="127"/>
  <c r="P85" i="127"/>
  <c r="Q85" i="127"/>
  <c r="R85" i="127"/>
  <c r="S85" i="127"/>
  <c r="Y85" i="127"/>
  <c r="AA85" i="127"/>
  <c r="AB85" i="127"/>
  <c r="AC85" i="127"/>
  <c r="AD85" i="127"/>
  <c r="AE85" i="127"/>
  <c r="AK85" i="127"/>
  <c r="AM85" i="127"/>
  <c r="AN85" i="127"/>
  <c r="AO85" i="127"/>
  <c r="AP85" i="127"/>
  <c r="AQ85" i="127"/>
  <c r="B86" i="127" a="1"/>
  <c r="B86" i="127" s="1"/>
  <c r="M86" i="127"/>
  <c r="O86" i="127"/>
  <c r="P86" i="127"/>
  <c r="Q86" i="127"/>
  <c r="R86" i="127"/>
  <c r="S86" i="127"/>
  <c r="Y86" i="127"/>
  <c r="AA86" i="127"/>
  <c r="AB86" i="127"/>
  <c r="AC86" i="127"/>
  <c r="AD86" i="127"/>
  <c r="AE86" i="127"/>
  <c r="AK86" i="127"/>
  <c r="AM86" i="127"/>
  <c r="AN86" i="127"/>
  <c r="AO86" i="127"/>
  <c r="AP86" i="127"/>
  <c r="AQ86" i="127"/>
  <c r="B87" i="127" a="1"/>
  <c r="B87" i="127" s="1"/>
  <c r="M87" i="127"/>
  <c r="O87" i="127"/>
  <c r="P87" i="127"/>
  <c r="Q87" i="127"/>
  <c r="R87" i="127"/>
  <c r="S87" i="127"/>
  <c r="Y87" i="127"/>
  <c r="AA87" i="127"/>
  <c r="AB87" i="127"/>
  <c r="AC87" i="127"/>
  <c r="AD87" i="127"/>
  <c r="AE87" i="127"/>
  <c r="AK87" i="127"/>
  <c r="AM87" i="127"/>
  <c r="AN87" i="127"/>
  <c r="AO87" i="127"/>
  <c r="AP87" i="127"/>
  <c r="AQ87" i="127"/>
  <c r="B88" i="127" a="1"/>
  <c r="B88" i="127" s="1"/>
  <c r="M88" i="127"/>
  <c r="O88" i="127"/>
  <c r="P88" i="127"/>
  <c r="Q88" i="127"/>
  <c r="R88" i="127"/>
  <c r="S88" i="127"/>
  <c r="Y88" i="127"/>
  <c r="AA88" i="127"/>
  <c r="AB88" i="127"/>
  <c r="AC88" i="127"/>
  <c r="AD88" i="127"/>
  <c r="AE88" i="127"/>
  <c r="AK88" i="127"/>
  <c r="AM88" i="127"/>
  <c r="AN88" i="127"/>
  <c r="AO88" i="127"/>
  <c r="AP88" i="127"/>
  <c r="AQ88" i="127"/>
  <c r="B89" i="127" a="1"/>
  <c r="B89" i="127" s="1"/>
  <c r="M89" i="127"/>
  <c r="O89" i="127"/>
  <c r="P89" i="127"/>
  <c r="Q89" i="127"/>
  <c r="R89" i="127"/>
  <c r="S89" i="127"/>
  <c r="Y89" i="127"/>
  <c r="AA89" i="127"/>
  <c r="AB89" i="127"/>
  <c r="AC89" i="127"/>
  <c r="AD89" i="127"/>
  <c r="AE89" i="127"/>
  <c r="AK89" i="127"/>
  <c r="AM89" i="127"/>
  <c r="AN89" i="127"/>
  <c r="AO89" i="127"/>
  <c r="AP89" i="127"/>
  <c r="AQ89" i="127"/>
  <c r="B90" i="127" a="1"/>
  <c r="B90" i="127" s="1"/>
  <c r="M90" i="127"/>
  <c r="O90" i="127"/>
  <c r="P90" i="127"/>
  <c r="Q90" i="127"/>
  <c r="R90" i="127"/>
  <c r="S90" i="127"/>
  <c r="AA90" i="127"/>
  <c r="AB90" i="127"/>
  <c r="AC90" i="127"/>
  <c r="AD90" i="127"/>
  <c r="AE90" i="127"/>
  <c r="AM90" i="127"/>
  <c r="AN90" i="127"/>
  <c r="AO90" i="127"/>
  <c r="AP90" i="127"/>
  <c r="AQ90" i="127"/>
  <c r="N91" i="127"/>
  <c r="Z91" i="127" s="1"/>
  <c r="AL91" i="127" s="1"/>
  <c r="B92" i="127" a="1"/>
  <c r="B92" i="127" s="1"/>
  <c r="G92" i="127" s="1"/>
  <c r="M92" i="127"/>
  <c r="O92" i="127"/>
  <c r="P92" i="127"/>
  <c r="Q92" i="127"/>
  <c r="R92" i="127"/>
  <c r="S92" i="127"/>
  <c r="Y92" i="127"/>
  <c r="AA92" i="127"/>
  <c r="AB92" i="127"/>
  <c r="AC92" i="127"/>
  <c r="AD92" i="127"/>
  <c r="AE92" i="127"/>
  <c r="AK92" i="127"/>
  <c r="AM92" i="127"/>
  <c r="AN92" i="127"/>
  <c r="AO92" i="127"/>
  <c r="AP92" i="127"/>
  <c r="AQ92" i="127"/>
  <c r="B93" i="127" a="1"/>
  <c r="B93" i="127" s="1"/>
  <c r="M93" i="127"/>
  <c r="O93" i="127"/>
  <c r="P93" i="127"/>
  <c r="Q93" i="127"/>
  <c r="R93" i="127"/>
  <c r="S93" i="127"/>
  <c r="Y93" i="127"/>
  <c r="AA93" i="127"/>
  <c r="AB93" i="127"/>
  <c r="AC93" i="127"/>
  <c r="AD93" i="127"/>
  <c r="AE93" i="127"/>
  <c r="AK93" i="127"/>
  <c r="AM93" i="127"/>
  <c r="AN93" i="127"/>
  <c r="AO93" i="127"/>
  <c r="AP93" i="127"/>
  <c r="AQ93" i="127"/>
  <c r="B94" i="127" a="1"/>
  <c r="B94" i="127" s="1"/>
  <c r="C94" i="127" s="1"/>
  <c r="M94" i="127"/>
  <c r="O94" i="127"/>
  <c r="P94" i="127"/>
  <c r="Q94" i="127"/>
  <c r="R94" i="127"/>
  <c r="S94" i="127"/>
  <c r="Y94" i="127"/>
  <c r="AA94" i="127"/>
  <c r="AB94" i="127"/>
  <c r="AC94" i="127"/>
  <c r="AD94" i="127"/>
  <c r="AE94" i="127"/>
  <c r="AK94" i="127"/>
  <c r="AM94" i="127"/>
  <c r="AN94" i="127"/>
  <c r="AO94" i="127"/>
  <c r="AP94" i="127"/>
  <c r="AQ94" i="127"/>
  <c r="B95" i="127" a="1"/>
  <c r="B95" i="127" s="1"/>
  <c r="M95" i="127"/>
  <c r="O95" i="127"/>
  <c r="P95" i="127"/>
  <c r="Q95" i="127"/>
  <c r="R95" i="127"/>
  <c r="S95" i="127"/>
  <c r="Y95" i="127"/>
  <c r="AA95" i="127"/>
  <c r="AB95" i="127"/>
  <c r="AC95" i="127"/>
  <c r="AD95" i="127"/>
  <c r="AE95" i="127"/>
  <c r="AK95" i="127"/>
  <c r="AM95" i="127"/>
  <c r="AN95" i="127"/>
  <c r="AO95" i="127"/>
  <c r="AP95" i="127"/>
  <c r="AQ95" i="127"/>
  <c r="B96" i="127" a="1"/>
  <c r="B96" i="127" s="1"/>
  <c r="M96" i="127"/>
  <c r="O96" i="127"/>
  <c r="P96" i="127"/>
  <c r="Q96" i="127"/>
  <c r="R96" i="127"/>
  <c r="S96" i="127"/>
  <c r="Y96" i="127"/>
  <c r="AA96" i="127"/>
  <c r="AB96" i="127"/>
  <c r="AC96" i="127"/>
  <c r="AD96" i="127"/>
  <c r="AE96" i="127"/>
  <c r="AK96" i="127"/>
  <c r="AM96" i="127"/>
  <c r="AN96" i="127"/>
  <c r="AO96" i="127"/>
  <c r="AP96" i="127"/>
  <c r="AQ96" i="127"/>
  <c r="B97" i="127" a="1"/>
  <c r="B97" i="127" s="1"/>
  <c r="E97" i="127" s="1"/>
  <c r="M97" i="127"/>
  <c r="O97" i="127"/>
  <c r="P97" i="127"/>
  <c r="Q97" i="127"/>
  <c r="R97" i="127"/>
  <c r="S97" i="127"/>
  <c r="Y97" i="127"/>
  <c r="AA97" i="127"/>
  <c r="AB97" i="127"/>
  <c r="AC97" i="127"/>
  <c r="AD97" i="127"/>
  <c r="AE97" i="127"/>
  <c r="AK97" i="127"/>
  <c r="AM97" i="127"/>
  <c r="AN97" i="127"/>
  <c r="AO97" i="127"/>
  <c r="AP97" i="127"/>
  <c r="AQ97" i="127"/>
  <c r="B98" i="127" a="1"/>
  <c r="B98" i="127" s="1"/>
  <c r="M98" i="127"/>
  <c r="O98" i="127"/>
  <c r="P98" i="127"/>
  <c r="Q98" i="127"/>
  <c r="R98" i="127"/>
  <c r="S98" i="127"/>
  <c r="Y98" i="127"/>
  <c r="AA98" i="127"/>
  <c r="AB98" i="127"/>
  <c r="AC98" i="127"/>
  <c r="AD98" i="127"/>
  <c r="AE98" i="127"/>
  <c r="AK98" i="127"/>
  <c r="AM98" i="127"/>
  <c r="AN98" i="127"/>
  <c r="AO98" i="127"/>
  <c r="AP98" i="127"/>
  <c r="AQ98" i="127"/>
  <c r="B99" i="127" a="1"/>
  <c r="B99" i="127" s="1"/>
  <c r="M99" i="127"/>
  <c r="O99" i="127"/>
  <c r="P99" i="127"/>
  <c r="Q99" i="127"/>
  <c r="R99" i="127"/>
  <c r="S99" i="127"/>
  <c r="Y99" i="127"/>
  <c r="AA99" i="127"/>
  <c r="AB99" i="127"/>
  <c r="AC99" i="127"/>
  <c r="AD99" i="127"/>
  <c r="AE99" i="127"/>
  <c r="AK99" i="127"/>
  <c r="AM99" i="127"/>
  <c r="AN99" i="127"/>
  <c r="AO99" i="127"/>
  <c r="AP99" i="127"/>
  <c r="AQ99" i="127"/>
  <c r="B100" i="127" a="1"/>
  <c r="B100" i="127" s="1"/>
  <c r="F100" i="127" s="1"/>
  <c r="M100" i="127"/>
  <c r="O100" i="127"/>
  <c r="P100" i="127"/>
  <c r="Q100" i="127"/>
  <c r="R100" i="127"/>
  <c r="S100" i="127"/>
  <c r="Y100" i="127"/>
  <c r="AA100" i="127"/>
  <c r="AB100" i="127"/>
  <c r="AC100" i="127"/>
  <c r="AD100" i="127"/>
  <c r="AE100" i="127"/>
  <c r="AK100" i="127"/>
  <c r="AM100" i="127"/>
  <c r="AN100" i="127"/>
  <c r="AO100" i="127"/>
  <c r="AP100" i="127"/>
  <c r="AQ100" i="127"/>
  <c r="B101" i="127" a="1"/>
  <c r="B101" i="127" s="1"/>
  <c r="M101" i="127"/>
  <c r="O101" i="127"/>
  <c r="P101" i="127"/>
  <c r="Q101" i="127"/>
  <c r="R101" i="127"/>
  <c r="S101" i="127"/>
  <c r="Y101" i="127"/>
  <c r="AA101" i="127"/>
  <c r="AB101" i="127"/>
  <c r="AC101" i="127"/>
  <c r="AD101" i="127"/>
  <c r="AE101" i="127"/>
  <c r="AK101" i="127"/>
  <c r="AM101" i="127"/>
  <c r="AN101" i="127"/>
  <c r="AO101" i="127"/>
  <c r="AP101" i="127"/>
  <c r="AQ101" i="127"/>
  <c r="B102" i="127" a="1"/>
  <c r="B102" i="127" s="1"/>
  <c r="F102" i="127" s="1"/>
  <c r="M102" i="127"/>
  <c r="O102" i="127"/>
  <c r="P102" i="127"/>
  <c r="Q102" i="127"/>
  <c r="R102" i="127"/>
  <c r="S102" i="127"/>
  <c r="Y102" i="127"/>
  <c r="AA102" i="127"/>
  <c r="AB102" i="127"/>
  <c r="AC102" i="127"/>
  <c r="AD102" i="127"/>
  <c r="AE102" i="127"/>
  <c r="AK102" i="127"/>
  <c r="AM102" i="127"/>
  <c r="AN102" i="127"/>
  <c r="AO102" i="127"/>
  <c r="AP102" i="127"/>
  <c r="AQ102" i="127"/>
  <c r="B103" i="127" a="1"/>
  <c r="B103" i="127" s="1"/>
  <c r="E103" i="127" s="1"/>
  <c r="M103" i="127"/>
  <c r="O103" i="127"/>
  <c r="P103" i="127"/>
  <c r="Q103" i="127"/>
  <c r="R103" i="127"/>
  <c r="S103" i="127"/>
  <c r="Y103" i="127"/>
  <c r="AA103" i="127"/>
  <c r="AB103" i="127"/>
  <c r="AC103" i="127"/>
  <c r="AD103" i="127"/>
  <c r="AE103" i="127"/>
  <c r="AK103" i="127"/>
  <c r="AM103" i="127"/>
  <c r="AN103" i="127"/>
  <c r="AO103" i="127"/>
  <c r="AP103" i="127"/>
  <c r="AQ103" i="127"/>
  <c r="B104" i="127" a="1"/>
  <c r="B104" i="127" s="1"/>
  <c r="M104" i="127"/>
  <c r="O104" i="127"/>
  <c r="P104" i="127"/>
  <c r="Q104" i="127"/>
  <c r="R104" i="127"/>
  <c r="S104" i="127"/>
  <c r="Y104" i="127"/>
  <c r="AA104" i="127"/>
  <c r="AB104" i="127"/>
  <c r="AC104" i="127"/>
  <c r="AD104" i="127"/>
  <c r="AE104" i="127"/>
  <c r="AK104" i="127"/>
  <c r="AM104" i="127"/>
  <c r="AN104" i="127"/>
  <c r="AO104" i="127"/>
  <c r="AP104" i="127"/>
  <c r="AQ104" i="127"/>
  <c r="B105" i="127" a="1"/>
  <c r="B105" i="127" s="1"/>
  <c r="M105" i="127"/>
  <c r="O105" i="127"/>
  <c r="P105" i="127"/>
  <c r="Q105" i="127"/>
  <c r="R105" i="127"/>
  <c r="S105" i="127"/>
  <c r="Y105" i="127"/>
  <c r="AA105" i="127"/>
  <c r="AB105" i="127"/>
  <c r="AC105" i="127"/>
  <c r="AD105" i="127"/>
  <c r="AE105" i="127"/>
  <c r="AK105" i="127"/>
  <c r="AM105" i="127"/>
  <c r="AN105" i="127"/>
  <c r="AO105" i="127"/>
  <c r="AP105" i="127"/>
  <c r="AQ105" i="127"/>
  <c r="B106" i="127" a="1"/>
  <c r="B106" i="127" s="1"/>
  <c r="C106" i="127" s="1"/>
  <c r="M106" i="127"/>
  <c r="O106" i="127"/>
  <c r="P106" i="127"/>
  <c r="Q106" i="127"/>
  <c r="R106" i="127"/>
  <c r="S106" i="127"/>
  <c r="Y106" i="127"/>
  <c r="AA106" i="127"/>
  <c r="AB106" i="127"/>
  <c r="AC106" i="127"/>
  <c r="AD106" i="127"/>
  <c r="AE106" i="127"/>
  <c r="AK106" i="127"/>
  <c r="AM106" i="127"/>
  <c r="AN106" i="127"/>
  <c r="AO106" i="127"/>
  <c r="AP106" i="127"/>
  <c r="AQ106" i="127"/>
  <c r="B107" i="127" a="1"/>
  <c r="B107" i="127" s="1"/>
  <c r="M107" i="127"/>
  <c r="O107" i="127"/>
  <c r="P107" i="127"/>
  <c r="Q107" i="127"/>
  <c r="R107" i="127"/>
  <c r="S107" i="127"/>
  <c r="Y107" i="127"/>
  <c r="AA107" i="127"/>
  <c r="AB107" i="127"/>
  <c r="AC107" i="127"/>
  <c r="AD107" i="127"/>
  <c r="AE107" i="127"/>
  <c r="AK107" i="127"/>
  <c r="AM107" i="127"/>
  <c r="AN107" i="127"/>
  <c r="AO107" i="127"/>
  <c r="AP107" i="127"/>
  <c r="AQ107" i="127"/>
  <c r="B108" i="127" a="1"/>
  <c r="B108" i="127" s="1"/>
  <c r="M108" i="127"/>
  <c r="O108" i="127"/>
  <c r="P108" i="127"/>
  <c r="Q108" i="127"/>
  <c r="R108" i="127"/>
  <c r="S108" i="127"/>
  <c r="AA108" i="127"/>
  <c r="AB108" i="127"/>
  <c r="AC108" i="127"/>
  <c r="AD108" i="127"/>
  <c r="AE108" i="127"/>
  <c r="AM108" i="127"/>
  <c r="AN108" i="127"/>
  <c r="AO108" i="127"/>
  <c r="AP108" i="127"/>
  <c r="AQ108" i="127"/>
  <c r="N109" i="127"/>
  <c r="Z109" i="127" s="1"/>
  <c r="AL109" i="127" s="1"/>
  <c r="C110" i="127"/>
  <c r="D110" i="127"/>
  <c r="E110" i="127"/>
  <c r="F110" i="127"/>
  <c r="G110" i="127"/>
  <c r="M110" i="127"/>
  <c r="O110" i="127"/>
  <c r="P110" i="127"/>
  <c r="Q110" i="127"/>
  <c r="R110" i="127"/>
  <c r="S110" i="127"/>
  <c r="Y110" i="127"/>
  <c r="Z110" i="127"/>
  <c r="AB110" i="127" s="1"/>
  <c r="AK110" i="127"/>
  <c r="AM110" i="127"/>
  <c r="AN110" i="127"/>
  <c r="AO110" i="127"/>
  <c r="AP110" i="127"/>
  <c r="AQ110" i="127"/>
  <c r="C111" i="127"/>
  <c r="D111" i="127"/>
  <c r="E111" i="127"/>
  <c r="F111" i="127"/>
  <c r="G111" i="127"/>
  <c r="M111" i="127"/>
  <c r="O111" i="127"/>
  <c r="P111" i="127"/>
  <c r="Q111" i="127"/>
  <c r="R111" i="127"/>
  <c r="S111" i="127"/>
  <c r="Y111" i="127"/>
  <c r="Z111" i="127"/>
  <c r="AB111" i="127" s="1"/>
  <c r="AK111" i="127"/>
  <c r="AM111" i="127"/>
  <c r="AN111" i="127"/>
  <c r="AO111" i="127"/>
  <c r="AP111" i="127"/>
  <c r="AQ111" i="127"/>
  <c r="C112" i="127"/>
  <c r="D112" i="127"/>
  <c r="E112" i="127"/>
  <c r="F112" i="127"/>
  <c r="G112" i="127"/>
  <c r="M112" i="127"/>
  <c r="O112" i="127"/>
  <c r="P112" i="127"/>
  <c r="Q112" i="127"/>
  <c r="R112" i="127"/>
  <c r="S112" i="127"/>
  <c r="Y112" i="127"/>
  <c r="Z112" i="127"/>
  <c r="AB112" i="127" s="1"/>
  <c r="AK112" i="127"/>
  <c r="AM112" i="127"/>
  <c r="AN112" i="127"/>
  <c r="AO112" i="127"/>
  <c r="AP112" i="127"/>
  <c r="AQ112" i="127"/>
  <c r="C113" i="127"/>
  <c r="D113" i="127"/>
  <c r="E113" i="127"/>
  <c r="F113" i="127"/>
  <c r="G113" i="127"/>
  <c r="M113" i="127"/>
  <c r="O113" i="127"/>
  <c r="P113" i="127"/>
  <c r="Q113" i="127"/>
  <c r="R113" i="127"/>
  <c r="S113" i="127"/>
  <c r="Y113" i="127"/>
  <c r="Z113" i="127"/>
  <c r="AB113" i="127" s="1"/>
  <c r="AK113" i="127"/>
  <c r="AM113" i="127"/>
  <c r="AN113" i="127"/>
  <c r="AO113" i="127"/>
  <c r="AP113" i="127"/>
  <c r="AQ113" i="127"/>
  <c r="C114" i="127"/>
  <c r="D114" i="127"/>
  <c r="E114" i="127"/>
  <c r="F114" i="127"/>
  <c r="G114" i="127"/>
  <c r="M114" i="127"/>
  <c r="O114" i="127"/>
  <c r="P114" i="127"/>
  <c r="Q114" i="127"/>
  <c r="R114" i="127"/>
  <c r="S114" i="127"/>
  <c r="Y114" i="127"/>
  <c r="Z114" i="127"/>
  <c r="AB114" i="127" s="1"/>
  <c r="AK114" i="127"/>
  <c r="AM114" i="127"/>
  <c r="AN114" i="127"/>
  <c r="AO114" i="127"/>
  <c r="AP114" i="127"/>
  <c r="AQ114" i="127"/>
  <c r="C115" i="127"/>
  <c r="D115" i="127"/>
  <c r="E115" i="127"/>
  <c r="F115" i="127"/>
  <c r="G115" i="127"/>
  <c r="M115" i="127"/>
  <c r="O115" i="127"/>
  <c r="P115" i="127"/>
  <c r="Q115" i="127"/>
  <c r="R115" i="127"/>
  <c r="S115" i="127"/>
  <c r="Y115" i="127"/>
  <c r="Z115" i="127"/>
  <c r="AB115" i="127" s="1"/>
  <c r="AK115" i="127"/>
  <c r="AM115" i="127"/>
  <c r="AN115" i="127"/>
  <c r="AO115" i="127"/>
  <c r="AP115" i="127"/>
  <c r="AQ115" i="127"/>
  <c r="C116" i="127"/>
  <c r="D116" i="127"/>
  <c r="E116" i="127"/>
  <c r="F116" i="127"/>
  <c r="G116" i="127"/>
  <c r="M116" i="127"/>
  <c r="O116" i="127"/>
  <c r="P116" i="127"/>
  <c r="Q116" i="127"/>
  <c r="R116" i="127"/>
  <c r="S116" i="127"/>
  <c r="Y116" i="127"/>
  <c r="Z116" i="127"/>
  <c r="AB116" i="127" s="1"/>
  <c r="AK116" i="127"/>
  <c r="AM116" i="127"/>
  <c r="AN116" i="127"/>
  <c r="AO116" i="127"/>
  <c r="AP116" i="127"/>
  <c r="AQ116" i="127"/>
  <c r="C117" i="127"/>
  <c r="D117" i="127"/>
  <c r="E117" i="127"/>
  <c r="F117" i="127"/>
  <c r="G117" i="127"/>
  <c r="M117" i="127"/>
  <c r="O117" i="127"/>
  <c r="P117" i="127"/>
  <c r="Q117" i="127"/>
  <c r="R117" i="127"/>
  <c r="S117" i="127"/>
  <c r="Y117" i="127"/>
  <c r="Z117" i="127"/>
  <c r="AB117" i="127" s="1"/>
  <c r="AK117" i="127"/>
  <c r="AM117" i="127"/>
  <c r="AN117" i="127"/>
  <c r="AO117" i="127"/>
  <c r="AP117" i="127"/>
  <c r="AQ117" i="127"/>
  <c r="C118" i="127"/>
  <c r="D118" i="127"/>
  <c r="E118" i="127"/>
  <c r="F118" i="127"/>
  <c r="G118" i="127"/>
  <c r="M118" i="127"/>
  <c r="O118" i="127"/>
  <c r="P118" i="127"/>
  <c r="Q118" i="127"/>
  <c r="R118" i="127"/>
  <c r="S118" i="127"/>
  <c r="Y118" i="127"/>
  <c r="Z118" i="127"/>
  <c r="AB118" i="127" s="1"/>
  <c r="AK118" i="127"/>
  <c r="AM118" i="127"/>
  <c r="AN118" i="127"/>
  <c r="AO118" i="127"/>
  <c r="AP118" i="127"/>
  <c r="AQ118" i="127"/>
  <c r="C119" i="127"/>
  <c r="D119" i="127"/>
  <c r="E119" i="127"/>
  <c r="F119" i="127"/>
  <c r="G119" i="127"/>
  <c r="M119" i="127"/>
  <c r="O119" i="127"/>
  <c r="P119" i="127"/>
  <c r="Q119" i="127"/>
  <c r="R119" i="127"/>
  <c r="S119" i="127"/>
  <c r="Y119" i="127"/>
  <c r="Z119" i="127"/>
  <c r="AB119" i="127" s="1"/>
  <c r="AK119" i="127"/>
  <c r="AM119" i="127"/>
  <c r="AN119" i="127"/>
  <c r="AO119" i="127"/>
  <c r="AP119" i="127"/>
  <c r="AQ119" i="127"/>
  <c r="C120" i="127"/>
  <c r="D120" i="127"/>
  <c r="E120" i="127"/>
  <c r="F120" i="127"/>
  <c r="G120" i="127"/>
  <c r="M120" i="127"/>
  <c r="O120" i="127"/>
  <c r="P120" i="127"/>
  <c r="Q120" i="127"/>
  <c r="R120" i="127"/>
  <c r="S120" i="127"/>
  <c r="Y120" i="127"/>
  <c r="Z120" i="127"/>
  <c r="AB120" i="127" s="1"/>
  <c r="AK120" i="127"/>
  <c r="AM120" i="127"/>
  <c r="AN120" i="127"/>
  <c r="AO120" i="127"/>
  <c r="AP120" i="127"/>
  <c r="AQ120" i="127"/>
  <c r="C121" i="127"/>
  <c r="D121" i="127"/>
  <c r="E121" i="127"/>
  <c r="F121" i="127"/>
  <c r="G121" i="127"/>
  <c r="M121" i="127"/>
  <c r="O121" i="127"/>
  <c r="P121" i="127"/>
  <c r="Q121" i="127"/>
  <c r="R121" i="127"/>
  <c r="S121" i="127"/>
  <c r="Y121" i="127"/>
  <c r="Z121" i="127"/>
  <c r="AB121" i="127" s="1"/>
  <c r="AK121" i="127"/>
  <c r="AM121" i="127"/>
  <c r="AN121" i="127"/>
  <c r="AO121" i="127"/>
  <c r="AP121" i="127"/>
  <c r="AQ121" i="127"/>
  <c r="C122" i="127"/>
  <c r="D122" i="127"/>
  <c r="E122" i="127"/>
  <c r="F122" i="127"/>
  <c r="G122" i="127"/>
  <c r="M122" i="127"/>
  <c r="O122" i="127"/>
  <c r="P122" i="127"/>
  <c r="Q122" i="127"/>
  <c r="R122" i="127"/>
  <c r="S122" i="127"/>
  <c r="Y122" i="127"/>
  <c r="Z122" i="127"/>
  <c r="AB122" i="127" s="1"/>
  <c r="AK122" i="127"/>
  <c r="AM122" i="127"/>
  <c r="AN122" i="127"/>
  <c r="AO122" i="127"/>
  <c r="AP122" i="127"/>
  <c r="AQ122" i="127"/>
  <c r="C123" i="127"/>
  <c r="D123" i="127"/>
  <c r="E123" i="127"/>
  <c r="F123" i="127"/>
  <c r="G123" i="127"/>
  <c r="M123" i="127"/>
  <c r="O123" i="127"/>
  <c r="P123" i="127"/>
  <c r="Q123" i="127"/>
  <c r="R123" i="127"/>
  <c r="S123" i="127"/>
  <c r="Y123" i="127"/>
  <c r="Z123" i="127"/>
  <c r="AB123" i="127" s="1"/>
  <c r="AK123" i="127"/>
  <c r="AM123" i="127"/>
  <c r="AN123" i="127"/>
  <c r="AO123" i="127"/>
  <c r="AP123" i="127"/>
  <c r="AQ123" i="127"/>
  <c r="C124" i="127"/>
  <c r="D124" i="127"/>
  <c r="E124" i="127"/>
  <c r="F124" i="127"/>
  <c r="G124" i="127"/>
  <c r="M124" i="127"/>
  <c r="O124" i="127"/>
  <c r="P124" i="127"/>
  <c r="Q124" i="127"/>
  <c r="R124" i="127"/>
  <c r="S124" i="127"/>
  <c r="Y124" i="127"/>
  <c r="Z124" i="127"/>
  <c r="AB124" i="127" s="1"/>
  <c r="AK124" i="127"/>
  <c r="AM124" i="127"/>
  <c r="AN124" i="127"/>
  <c r="AO124" i="127"/>
  <c r="AP124" i="127"/>
  <c r="AQ124" i="127"/>
  <c r="C125" i="127"/>
  <c r="D125" i="127"/>
  <c r="E125" i="127"/>
  <c r="F125" i="127"/>
  <c r="G125" i="127"/>
  <c r="M125" i="127"/>
  <c r="O125" i="127"/>
  <c r="P125" i="127"/>
  <c r="Q125" i="127"/>
  <c r="R125" i="127"/>
  <c r="S125" i="127"/>
  <c r="Y125" i="127"/>
  <c r="Z125" i="127"/>
  <c r="AB125" i="127" s="1"/>
  <c r="AK125" i="127"/>
  <c r="AM125" i="127"/>
  <c r="AN125" i="127"/>
  <c r="AO125" i="127"/>
  <c r="AP125" i="127"/>
  <c r="AQ125" i="127"/>
  <c r="C126" i="127"/>
  <c r="D126" i="127"/>
  <c r="E126" i="127"/>
  <c r="F126" i="127"/>
  <c r="G126" i="127"/>
  <c r="M126" i="127"/>
  <c r="O126" i="127"/>
  <c r="P126" i="127"/>
  <c r="Q126" i="127"/>
  <c r="R126" i="127"/>
  <c r="S126" i="127"/>
  <c r="Z126" i="127"/>
  <c r="AA126" i="127" s="1"/>
  <c r="AM126" i="127"/>
  <c r="AN126" i="127"/>
  <c r="AO126" i="127"/>
  <c r="AP126" i="127"/>
  <c r="AQ126" i="127"/>
  <c r="N127" i="127"/>
  <c r="Z127" i="127" s="1"/>
  <c r="AL127" i="127" s="1"/>
  <c r="C128" i="127"/>
  <c r="D128" i="127"/>
  <c r="E128" i="127"/>
  <c r="F128" i="127"/>
  <c r="G128" i="127"/>
  <c r="M128" i="127"/>
  <c r="O128" i="127"/>
  <c r="P128" i="127"/>
  <c r="Q128" i="127"/>
  <c r="R128" i="127"/>
  <c r="S128" i="127"/>
  <c r="Y128" i="127"/>
  <c r="Z128" i="127"/>
  <c r="AA128" i="127" s="1"/>
  <c r="AK128" i="127"/>
  <c r="AM128" i="127"/>
  <c r="AN128" i="127"/>
  <c r="AO128" i="127"/>
  <c r="AP128" i="127"/>
  <c r="AQ128" i="127"/>
  <c r="C129" i="127"/>
  <c r="D129" i="127"/>
  <c r="E129" i="127"/>
  <c r="F129" i="127"/>
  <c r="G129" i="127"/>
  <c r="M129" i="127"/>
  <c r="O129" i="127"/>
  <c r="P129" i="127"/>
  <c r="Q129" i="127"/>
  <c r="R129" i="127"/>
  <c r="S129" i="127"/>
  <c r="Y129" i="127"/>
  <c r="Z129" i="127"/>
  <c r="AA129" i="127" s="1"/>
  <c r="AK129" i="127"/>
  <c r="AM129" i="127"/>
  <c r="AN129" i="127"/>
  <c r="AO129" i="127"/>
  <c r="AP129" i="127"/>
  <c r="AQ129" i="127"/>
  <c r="C130" i="127"/>
  <c r="D130" i="127"/>
  <c r="E130" i="127"/>
  <c r="F130" i="127"/>
  <c r="G130" i="127"/>
  <c r="M130" i="127"/>
  <c r="O130" i="127"/>
  <c r="P130" i="127"/>
  <c r="Q130" i="127"/>
  <c r="R130" i="127"/>
  <c r="S130" i="127"/>
  <c r="Y130" i="127"/>
  <c r="Z130" i="127"/>
  <c r="AA130" i="127" s="1"/>
  <c r="AK130" i="127"/>
  <c r="AM130" i="127"/>
  <c r="AN130" i="127"/>
  <c r="AO130" i="127"/>
  <c r="AP130" i="127"/>
  <c r="AQ130" i="127"/>
  <c r="C131" i="127"/>
  <c r="D131" i="127"/>
  <c r="E131" i="127"/>
  <c r="F131" i="127"/>
  <c r="G131" i="127"/>
  <c r="M131" i="127"/>
  <c r="O131" i="127"/>
  <c r="P131" i="127"/>
  <c r="Q131" i="127"/>
  <c r="R131" i="127"/>
  <c r="S131" i="127"/>
  <c r="Y131" i="127"/>
  <c r="Z131" i="127"/>
  <c r="AA131" i="127" s="1"/>
  <c r="AK131" i="127"/>
  <c r="AM131" i="127"/>
  <c r="AN131" i="127"/>
  <c r="AO131" i="127"/>
  <c r="AP131" i="127"/>
  <c r="AQ131" i="127"/>
  <c r="C132" i="127"/>
  <c r="D132" i="127"/>
  <c r="E132" i="127"/>
  <c r="F132" i="127"/>
  <c r="G132" i="127"/>
  <c r="M132" i="127"/>
  <c r="O132" i="127"/>
  <c r="P132" i="127"/>
  <c r="Q132" i="127"/>
  <c r="R132" i="127"/>
  <c r="S132" i="127"/>
  <c r="Y132" i="127"/>
  <c r="Z132" i="127"/>
  <c r="AA132" i="127" s="1"/>
  <c r="AK132" i="127"/>
  <c r="AM132" i="127"/>
  <c r="AN132" i="127"/>
  <c r="AO132" i="127"/>
  <c r="AP132" i="127"/>
  <c r="AQ132" i="127"/>
  <c r="C133" i="127"/>
  <c r="D133" i="127"/>
  <c r="E133" i="127"/>
  <c r="F133" i="127"/>
  <c r="G133" i="127"/>
  <c r="M133" i="127"/>
  <c r="O133" i="127"/>
  <c r="P133" i="127"/>
  <c r="Q133" i="127"/>
  <c r="R133" i="127"/>
  <c r="S133" i="127"/>
  <c r="Y133" i="127"/>
  <c r="Z133" i="127"/>
  <c r="AA133" i="127" s="1"/>
  <c r="AK133" i="127"/>
  <c r="AM133" i="127"/>
  <c r="AN133" i="127"/>
  <c r="AO133" i="127"/>
  <c r="AP133" i="127"/>
  <c r="AQ133" i="127"/>
  <c r="C134" i="127"/>
  <c r="D134" i="127"/>
  <c r="E134" i="127"/>
  <c r="F134" i="127"/>
  <c r="G134" i="127"/>
  <c r="O134" i="127"/>
  <c r="P134" i="127"/>
  <c r="Q134" i="127"/>
  <c r="R134" i="127"/>
  <c r="S134" i="127"/>
  <c r="Z134" i="127"/>
  <c r="AB134" i="127" s="1"/>
  <c r="AM134" i="127"/>
  <c r="AN134" i="127"/>
  <c r="AO134" i="127"/>
  <c r="AP134" i="127"/>
  <c r="AQ134" i="127"/>
  <c r="C135" i="127"/>
  <c r="D135" i="127"/>
  <c r="E135" i="127"/>
  <c r="F135" i="127"/>
  <c r="G135" i="127"/>
  <c r="M135" i="127"/>
  <c r="O135" i="127"/>
  <c r="P135" i="127"/>
  <c r="Q135" i="127"/>
  <c r="R135" i="127"/>
  <c r="S135" i="127"/>
  <c r="Y135" i="127"/>
  <c r="Z135" i="127"/>
  <c r="AE135" i="127" s="1"/>
  <c r="AK135" i="127"/>
  <c r="AM135" i="127"/>
  <c r="AN135" i="127"/>
  <c r="AO135" i="127"/>
  <c r="AP135" i="127"/>
  <c r="AQ135" i="127"/>
  <c r="C136" i="127"/>
  <c r="D136" i="127"/>
  <c r="E136" i="127"/>
  <c r="F136" i="127"/>
  <c r="G136" i="127"/>
  <c r="M136" i="127"/>
  <c r="O136" i="127"/>
  <c r="P136" i="127"/>
  <c r="Q136" i="127"/>
  <c r="R136" i="127"/>
  <c r="S136" i="127"/>
  <c r="Y136" i="127"/>
  <c r="Z136" i="127"/>
  <c r="AE136" i="127" s="1"/>
  <c r="AK136" i="127"/>
  <c r="AM136" i="127"/>
  <c r="AN136" i="127"/>
  <c r="AO136" i="127"/>
  <c r="AP136" i="127"/>
  <c r="AQ136" i="127"/>
  <c r="C137" i="127"/>
  <c r="D137" i="127"/>
  <c r="E137" i="127"/>
  <c r="F137" i="127"/>
  <c r="G137" i="127"/>
  <c r="M137" i="127"/>
  <c r="O137" i="127"/>
  <c r="P137" i="127"/>
  <c r="Q137" i="127"/>
  <c r="R137" i="127"/>
  <c r="S137" i="127"/>
  <c r="Y137" i="127"/>
  <c r="Z137" i="127"/>
  <c r="AE137" i="127" s="1"/>
  <c r="AK137" i="127"/>
  <c r="AM137" i="127"/>
  <c r="AN137" i="127"/>
  <c r="AO137" i="127"/>
  <c r="AP137" i="127"/>
  <c r="AQ137" i="127"/>
  <c r="C138" i="127"/>
  <c r="D138" i="127"/>
  <c r="E138" i="127"/>
  <c r="F138" i="127"/>
  <c r="G138" i="127"/>
  <c r="M138" i="127"/>
  <c r="O138" i="127"/>
  <c r="P138" i="127"/>
  <c r="Q138" i="127"/>
  <c r="R138" i="127"/>
  <c r="S138" i="127"/>
  <c r="Y138" i="127"/>
  <c r="Z138" i="127"/>
  <c r="AE138" i="127" s="1"/>
  <c r="AK138" i="127"/>
  <c r="AM138" i="127"/>
  <c r="AN138" i="127"/>
  <c r="AO138" i="127"/>
  <c r="AP138" i="127"/>
  <c r="AQ138" i="127"/>
  <c r="C139" i="127"/>
  <c r="D139" i="127"/>
  <c r="E139" i="127"/>
  <c r="F139" i="127"/>
  <c r="G139" i="127"/>
  <c r="M139" i="127"/>
  <c r="O139" i="127"/>
  <c r="P139" i="127"/>
  <c r="Q139" i="127"/>
  <c r="R139" i="127"/>
  <c r="S139" i="127"/>
  <c r="Y139" i="127"/>
  <c r="Z139" i="127"/>
  <c r="AE139" i="127" s="1"/>
  <c r="AK139" i="127"/>
  <c r="AM139" i="127"/>
  <c r="AN139" i="127"/>
  <c r="AO139" i="127"/>
  <c r="AP139" i="127"/>
  <c r="AQ139" i="127"/>
  <c r="C140" i="127"/>
  <c r="D140" i="127"/>
  <c r="E140" i="127"/>
  <c r="F140" i="127"/>
  <c r="G140" i="127"/>
  <c r="M140" i="127"/>
  <c r="O140" i="127"/>
  <c r="P140" i="127"/>
  <c r="Q140" i="127"/>
  <c r="R140" i="127"/>
  <c r="S140" i="127"/>
  <c r="Y140" i="127"/>
  <c r="Z140" i="127"/>
  <c r="AE140" i="127" s="1"/>
  <c r="AK140" i="127"/>
  <c r="AM140" i="127"/>
  <c r="AN140" i="127"/>
  <c r="AO140" i="127"/>
  <c r="AP140" i="127"/>
  <c r="AQ140" i="127"/>
  <c r="C141" i="127"/>
  <c r="D141" i="127"/>
  <c r="E141" i="127"/>
  <c r="F141" i="127"/>
  <c r="G141" i="127"/>
  <c r="M141" i="127"/>
  <c r="O141" i="127"/>
  <c r="P141" i="127"/>
  <c r="Q141" i="127"/>
  <c r="R141" i="127"/>
  <c r="S141" i="127"/>
  <c r="Y141" i="127"/>
  <c r="Z141" i="127"/>
  <c r="AE141" i="127" s="1"/>
  <c r="AA141" i="127"/>
  <c r="AK141" i="127"/>
  <c r="AM141" i="127"/>
  <c r="AN141" i="127"/>
  <c r="AO141" i="127"/>
  <c r="AP141" i="127"/>
  <c r="AQ141" i="127"/>
  <c r="C142" i="127"/>
  <c r="D142" i="127"/>
  <c r="E142" i="127"/>
  <c r="F142" i="127"/>
  <c r="G142" i="127"/>
  <c r="M142" i="127"/>
  <c r="O142" i="127"/>
  <c r="P142" i="127"/>
  <c r="Q142" i="127"/>
  <c r="R142" i="127"/>
  <c r="S142" i="127"/>
  <c r="Y142" i="127"/>
  <c r="Z142" i="127"/>
  <c r="AE142" i="127" s="1"/>
  <c r="AK142" i="127"/>
  <c r="AM142" i="127"/>
  <c r="AN142" i="127"/>
  <c r="AO142" i="127"/>
  <c r="AP142" i="127"/>
  <c r="AQ142" i="127"/>
  <c r="C143" i="127"/>
  <c r="D143" i="127"/>
  <c r="E143" i="127"/>
  <c r="F143" i="127"/>
  <c r="G143" i="127"/>
  <c r="M143" i="127"/>
  <c r="O143" i="127"/>
  <c r="P143" i="127"/>
  <c r="Q143" i="127"/>
  <c r="R143" i="127"/>
  <c r="S143" i="127"/>
  <c r="Y143" i="127"/>
  <c r="Z143" i="127"/>
  <c r="AE143" i="127" s="1"/>
  <c r="AK143" i="127"/>
  <c r="AM143" i="127"/>
  <c r="AN143" i="127"/>
  <c r="AO143" i="127"/>
  <c r="AP143" i="127"/>
  <c r="AQ143" i="127"/>
  <c r="C144" i="127"/>
  <c r="D144" i="127"/>
  <c r="E144" i="127"/>
  <c r="F144" i="127"/>
  <c r="G144" i="127"/>
  <c r="M144" i="127"/>
  <c r="O144" i="127"/>
  <c r="P144" i="127"/>
  <c r="Q144" i="127"/>
  <c r="R144" i="127"/>
  <c r="S144" i="127"/>
  <c r="Z144" i="127"/>
  <c r="AA144" i="127" s="1"/>
  <c r="AM144" i="127"/>
  <c r="AN144" i="127"/>
  <c r="AO144" i="127"/>
  <c r="AP144" i="127"/>
  <c r="AQ144" i="127"/>
  <c r="N145" i="127"/>
  <c r="Z145" i="127" s="1"/>
  <c r="AL145" i="127" s="1"/>
  <c r="C146" i="127"/>
  <c r="D146" i="127"/>
  <c r="E146" i="127"/>
  <c r="F146" i="127"/>
  <c r="G146" i="127"/>
  <c r="M146" i="127"/>
  <c r="O146" i="127"/>
  <c r="P146" i="127"/>
  <c r="Q146" i="127"/>
  <c r="R146" i="127"/>
  <c r="S146" i="127"/>
  <c r="Y146" i="127"/>
  <c r="Z146" i="127"/>
  <c r="AA146" i="127" s="1"/>
  <c r="AK146" i="127"/>
  <c r="AM146" i="127"/>
  <c r="AN146" i="127"/>
  <c r="AO146" i="127"/>
  <c r="AP146" i="127"/>
  <c r="AQ146" i="127"/>
  <c r="C147" i="127"/>
  <c r="D147" i="127"/>
  <c r="E147" i="127"/>
  <c r="F147" i="127"/>
  <c r="G147" i="127"/>
  <c r="M147" i="127"/>
  <c r="O147" i="127"/>
  <c r="P147" i="127"/>
  <c r="Q147" i="127"/>
  <c r="R147" i="127"/>
  <c r="S147" i="127"/>
  <c r="Y147" i="127"/>
  <c r="Z147" i="127"/>
  <c r="AA147" i="127" s="1"/>
  <c r="AK147" i="127"/>
  <c r="AM147" i="127"/>
  <c r="AN147" i="127"/>
  <c r="AO147" i="127"/>
  <c r="AP147" i="127"/>
  <c r="AQ147" i="127"/>
  <c r="C148" i="127"/>
  <c r="D148" i="127"/>
  <c r="E148" i="127"/>
  <c r="F148" i="127"/>
  <c r="G148" i="127"/>
  <c r="M148" i="127"/>
  <c r="O148" i="127"/>
  <c r="P148" i="127"/>
  <c r="Q148" i="127"/>
  <c r="R148" i="127"/>
  <c r="S148" i="127"/>
  <c r="Y148" i="127"/>
  <c r="Z148" i="127"/>
  <c r="AC148" i="127" s="1"/>
  <c r="AK148" i="127"/>
  <c r="AM148" i="127"/>
  <c r="AN148" i="127"/>
  <c r="AO148" i="127"/>
  <c r="AP148" i="127"/>
  <c r="AQ148" i="127"/>
  <c r="C149" i="127"/>
  <c r="D149" i="127"/>
  <c r="E149" i="127"/>
  <c r="F149" i="127"/>
  <c r="G149" i="127"/>
  <c r="M149" i="127"/>
  <c r="O149" i="127"/>
  <c r="P149" i="127"/>
  <c r="Q149" i="127"/>
  <c r="R149" i="127"/>
  <c r="S149" i="127"/>
  <c r="Y149" i="127"/>
  <c r="Z149" i="127"/>
  <c r="AK149" i="127"/>
  <c r="AM149" i="127"/>
  <c r="AN149" i="127"/>
  <c r="AO149" i="127"/>
  <c r="AP149" i="127"/>
  <c r="AQ149" i="127"/>
  <c r="C150" i="127"/>
  <c r="D150" i="127"/>
  <c r="E150" i="127"/>
  <c r="F150" i="127"/>
  <c r="G150" i="127"/>
  <c r="M150" i="127"/>
  <c r="O150" i="127"/>
  <c r="P150" i="127"/>
  <c r="Q150" i="127"/>
  <c r="R150" i="127"/>
  <c r="S150" i="127"/>
  <c r="Y150" i="127"/>
  <c r="Z150" i="127"/>
  <c r="AC150" i="127" s="1"/>
  <c r="AK150" i="127"/>
  <c r="AM150" i="127"/>
  <c r="AN150" i="127"/>
  <c r="AO150" i="127"/>
  <c r="AP150" i="127"/>
  <c r="AQ150" i="127"/>
  <c r="C151" i="127"/>
  <c r="D151" i="127"/>
  <c r="E151" i="127"/>
  <c r="F151" i="127"/>
  <c r="G151" i="127"/>
  <c r="M151" i="127"/>
  <c r="O151" i="127"/>
  <c r="P151" i="127"/>
  <c r="Q151" i="127"/>
  <c r="R151" i="127"/>
  <c r="S151" i="127"/>
  <c r="Y151" i="127"/>
  <c r="Z151" i="127"/>
  <c r="AA151" i="127" s="1"/>
  <c r="AK151" i="127"/>
  <c r="AM151" i="127"/>
  <c r="AN151" i="127"/>
  <c r="AO151" i="127"/>
  <c r="AP151" i="127"/>
  <c r="AQ151" i="127"/>
  <c r="C152" i="127"/>
  <c r="D152" i="127"/>
  <c r="E152" i="127"/>
  <c r="F152" i="127"/>
  <c r="G152" i="127"/>
  <c r="M152" i="127"/>
  <c r="O152" i="127"/>
  <c r="P152" i="127"/>
  <c r="Q152" i="127"/>
  <c r="R152" i="127"/>
  <c r="S152" i="127"/>
  <c r="Y152" i="127"/>
  <c r="Z152" i="127"/>
  <c r="AC152" i="127" s="1"/>
  <c r="AA152" i="127"/>
  <c r="AK152" i="127"/>
  <c r="AM152" i="127"/>
  <c r="AN152" i="127"/>
  <c r="AO152" i="127"/>
  <c r="AP152" i="127"/>
  <c r="AQ152" i="127"/>
  <c r="C153" i="127"/>
  <c r="D153" i="127"/>
  <c r="E153" i="127"/>
  <c r="F153" i="127"/>
  <c r="G153" i="127"/>
  <c r="M153" i="127"/>
  <c r="O153" i="127"/>
  <c r="P153" i="127"/>
  <c r="Q153" i="127"/>
  <c r="R153" i="127"/>
  <c r="S153" i="127"/>
  <c r="Y153" i="127"/>
  <c r="Z153" i="127"/>
  <c r="AA153" i="127" s="1"/>
  <c r="AK153" i="127"/>
  <c r="AM153" i="127"/>
  <c r="AN153" i="127"/>
  <c r="AO153" i="127"/>
  <c r="AP153" i="127"/>
  <c r="AQ153" i="127"/>
  <c r="C154" i="127"/>
  <c r="D154" i="127"/>
  <c r="E154" i="127"/>
  <c r="F154" i="127"/>
  <c r="G154" i="127"/>
  <c r="M154" i="127"/>
  <c r="O154" i="127"/>
  <c r="P154" i="127"/>
  <c r="Q154" i="127"/>
  <c r="R154" i="127"/>
  <c r="S154" i="127"/>
  <c r="Y154" i="127"/>
  <c r="Z154" i="127"/>
  <c r="AA154" i="127" s="1"/>
  <c r="AK154" i="127"/>
  <c r="AM154" i="127"/>
  <c r="AN154" i="127"/>
  <c r="AO154" i="127"/>
  <c r="AP154" i="127"/>
  <c r="AQ154" i="127"/>
  <c r="C155" i="127"/>
  <c r="D155" i="127"/>
  <c r="E155" i="127"/>
  <c r="F155" i="127"/>
  <c r="G155" i="127"/>
  <c r="M155" i="127"/>
  <c r="O155" i="127"/>
  <c r="P155" i="127"/>
  <c r="Q155" i="127"/>
  <c r="R155" i="127"/>
  <c r="S155" i="127"/>
  <c r="Y155" i="127"/>
  <c r="Z155" i="127"/>
  <c r="AA155" i="127" s="1"/>
  <c r="AK155" i="127"/>
  <c r="AM155" i="127"/>
  <c r="AN155" i="127"/>
  <c r="AO155" i="127"/>
  <c r="AP155" i="127"/>
  <c r="AQ155" i="127"/>
  <c r="C156" i="127"/>
  <c r="D156" i="127"/>
  <c r="E156" i="127"/>
  <c r="F156" i="127"/>
  <c r="G156" i="127"/>
  <c r="M156" i="127"/>
  <c r="O156" i="127"/>
  <c r="P156" i="127"/>
  <c r="Q156" i="127"/>
  <c r="R156" i="127"/>
  <c r="S156" i="127"/>
  <c r="Y156" i="127"/>
  <c r="Z156" i="127"/>
  <c r="AC156" i="127" s="1"/>
  <c r="AK156" i="127"/>
  <c r="AM156" i="127"/>
  <c r="AN156" i="127"/>
  <c r="AO156" i="127"/>
  <c r="AP156" i="127"/>
  <c r="AQ156" i="127"/>
  <c r="C157" i="127"/>
  <c r="D157" i="127"/>
  <c r="E157" i="127"/>
  <c r="F157" i="127"/>
  <c r="G157" i="127"/>
  <c r="M157" i="127"/>
  <c r="O157" i="127"/>
  <c r="P157" i="127"/>
  <c r="Q157" i="127"/>
  <c r="R157" i="127"/>
  <c r="S157" i="127"/>
  <c r="Y157" i="127"/>
  <c r="Z157" i="127"/>
  <c r="AK157" i="127"/>
  <c r="AM157" i="127"/>
  <c r="AN157" i="127"/>
  <c r="AO157" i="127"/>
  <c r="AP157" i="127"/>
  <c r="AQ157" i="127"/>
  <c r="C158" i="127"/>
  <c r="D158" i="127"/>
  <c r="E158" i="127"/>
  <c r="F158" i="127"/>
  <c r="G158" i="127"/>
  <c r="M158" i="127"/>
  <c r="O158" i="127"/>
  <c r="P158" i="127"/>
  <c r="Q158" i="127"/>
  <c r="R158" i="127"/>
  <c r="S158" i="127"/>
  <c r="Y158" i="127"/>
  <c r="Z158" i="127"/>
  <c r="AC158" i="127" s="1"/>
  <c r="AK158" i="127"/>
  <c r="AM158" i="127"/>
  <c r="AN158" i="127"/>
  <c r="AO158" i="127"/>
  <c r="AP158" i="127"/>
  <c r="AQ158" i="127"/>
  <c r="C159" i="127"/>
  <c r="D159" i="127"/>
  <c r="E159" i="127"/>
  <c r="F159" i="127"/>
  <c r="G159" i="127"/>
  <c r="M159" i="127"/>
  <c r="O159" i="127"/>
  <c r="P159" i="127"/>
  <c r="Q159" i="127"/>
  <c r="R159" i="127"/>
  <c r="S159" i="127"/>
  <c r="Y159" i="127"/>
  <c r="Z159" i="127"/>
  <c r="AA159" i="127" s="1"/>
  <c r="AK159" i="127"/>
  <c r="AM159" i="127"/>
  <c r="AN159" i="127"/>
  <c r="AO159" i="127"/>
  <c r="AP159" i="127"/>
  <c r="AQ159" i="127"/>
  <c r="C160" i="127"/>
  <c r="D160" i="127"/>
  <c r="E160" i="127"/>
  <c r="F160" i="127"/>
  <c r="G160" i="127"/>
  <c r="M160" i="127"/>
  <c r="O160" i="127"/>
  <c r="P160" i="127"/>
  <c r="Q160" i="127"/>
  <c r="R160" i="127"/>
  <c r="S160" i="127"/>
  <c r="Y160" i="127"/>
  <c r="Z160" i="127"/>
  <c r="AC160" i="127" s="1"/>
  <c r="AK160" i="127"/>
  <c r="AM160" i="127"/>
  <c r="AN160" i="127"/>
  <c r="AO160" i="127"/>
  <c r="AP160" i="127"/>
  <c r="AQ160" i="127"/>
  <c r="C161" i="127"/>
  <c r="D161" i="127"/>
  <c r="E161" i="127"/>
  <c r="F161" i="127"/>
  <c r="G161" i="127"/>
  <c r="M161" i="127"/>
  <c r="O161" i="127"/>
  <c r="P161" i="127"/>
  <c r="Q161" i="127"/>
  <c r="R161" i="127"/>
  <c r="S161" i="127"/>
  <c r="Y161" i="127"/>
  <c r="Z161" i="127"/>
  <c r="AA161" i="127" s="1"/>
  <c r="AK161" i="127"/>
  <c r="AM161" i="127"/>
  <c r="AN161" i="127"/>
  <c r="AO161" i="127"/>
  <c r="AP161" i="127"/>
  <c r="AQ161" i="127"/>
  <c r="C162" i="127"/>
  <c r="D162" i="127"/>
  <c r="E162" i="127"/>
  <c r="F162" i="127"/>
  <c r="G162" i="127"/>
  <c r="M162" i="127"/>
  <c r="O162" i="127"/>
  <c r="P162" i="127"/>
  <c r="Q162" i="127"/>
  <c r="R162" i="127"/>
  <c r="S162" i="127"/>
  <c r="Z162" i="127"/>
  <c r="AE162" i="127" s="1"/>
  <c r="AM162" i="127"/>
  <c r="AN162" i="127"/>
  <c r="AO162" i="127"/>
  <c r="AP162" i="127"/>
  <c r="AQ162" i="127"/>
  <c r="N163" i="127"/>
  <c r="Z163" i="127" s="1"/>
  <c r="AL163" i="127" s="1"/>
  <c r="C164" i="127"/>
  <c r="D164" i="127"/>
  <c r="E164" i="127"/>
  <c r="F164" i="127"/>
  <c r="G164" i="127"/>
  <c r="M164" i="127"/>
  <c r="O164" i="127"/>
  <c r="P164" i="127"/>
  <c r="Q164" i="127"/>
  <c r="R164" i="127"/>
  <c r="S164" i="127"/>
  <c r="Y164" i="127"/>
  <c r="Z164" i="127"/>
  <c r="AB164" i="127" s="1"/>
  <c r="AK164" i="127"/>
  <c r="AM164" i="127"/>
  <c r="AN164" i="127"/>
  <c r="AO164" i="127"/>
  <c r="AP164" i="127"/>
  <c r="AQ164" i="127"/>
  <c r="C165" i="127"/>
  <c r="D165" i="127"/>
  <c r="E165" i="127"/>
  <c r="F165" i="127"/>
  <c r="G165" i="127"/>
  <c r="M165" i="127"/>
  <c r="O165" i="127"/>
  <c r="P165" i="127"/>
  <c r="Q165" i="127"/>
  <c r="R165" i="127"/>
  <c r="S165" i="127"/>
  <c r="Y165" i="127"/>
  <c r="Z165" i="127"/>
  <c r="AB165" i="127" s="1"/>
  <c r="AK165" i="127"/>
  <c r="AM165" i="127"/>
  <c r="AN165" i="127"/>
  <c r="AO165" i="127"/>
  <c r="AP165" i="127"/>
  <c r="AQ165" i="127"/>
  <c r="C166" i="127"/>
  <c r="D166" i="127"/>
  <c r="E166" i="127"/>
  <c r="F166" i="127"/>
  <c r="G166" i="127"/>
  <c r="M166" i="127"/>
  <c r="O166" i="127"/>
  <c r="P166" i="127"/>
  <c r="Q166" i="127"/>
  <c r="R166" i="127"/>
  <c r="S166" i="127"/>
  <c r="Y166" i="127"/>
  <c r="Z166" i="127"/>
  <c r="AB166" i="127" s="1"/>
  <c r="AK166" i="127"/>
  <c r="AM166" i="127"/>
  <c r="AN166" i="127"/>
  <c r="AO166" i="127"/>
  <c r="AP166" i="127"/>
  <c r="AQ166" i="127"/>
  <c r="C167" i="127"/>
  <c r="D167" i="127"/>
  <c r="E167" i="127"/>
  <c r="F167" i="127"/>
  <c r="G167" i="127"/>
  <c r="M167" i="127"/>
  <c r="O167" i="127"/>
  <c r="P167" i="127"/>
  <c r="Q167" i="127"/>
  <c r="R167" i="127"/>
  <c r="S167" i="127"/>
  <c r="Y167" i="127"/>
  <c r="Z167" i="127"/>
  <c r="AB167" i="127" s="1"/>
  <c r="AK167" i="127"/>
  <c r="AM167" i="127"/>
  <c r="AN167" i="127"/>
  <c r="AO167" i="127"/>
  <c r="AP167" i="127"/>
  <c r="AQ167" i="127"/>
  <c r="C168" i="127"/>
  <c r="D168" i="127"/>
  <c r="E168" i="127"/>
  <c r="F168" i="127"/>
  <c r="G168" i="127"/>
  <c r="M168" i="127"/>
  <c r="O168" i="127"/>
  <c r="P168" i="127"/>
  <c r="Q168" i="127"/>
  <c r="R168" i="127"/>
  <c r="S168" i="127"/>
  <c r="Y168" i="127"/>
  <c r="Z168" i="127"/>
  <c r="AB168" i="127" s="1"/>
  <c r="AK168" i="127"/>
  <c r="AM168" i="127"/>
  <c r="AN168" i="127"/>
  <c r="AO168" i="127"/>
  <c r="AP168" i="127"/>
  <c r="AQ168" i="127"/>
  <c r="C169" i="127"/>
  <c r="D169" i="127"/>
  <c r="E169" i="127"/>
  <c r="F169" i="127"/>
  <c r="G169" i="127"/>
  <c r="M169" i="127"/>
  <c r="O169" i="127"/>
  <c r="P169" i="127"/>
  <c r="Q169" i="127"/>
  <c r="R169" i="127"/>
  <c r="S169" i="127"/>
  <c r="Y169" i="127"/>
  <c r="Z169" i="127"/>
  <c r="AB169" i="127" s="1"/>
  <c r="AK169" i="127"/>
  <c r="AM169" i="127"/>
  <c r="AN169" i="127"/>
  <c r="AO169" i="127"/>
  <c r="AP169" i="127"/>
  <c r="AQ169" i="127"/>
  <c r="C170" i="127"/>
  <c r="D170" i="127"/>
  <c r="E170" i="127"/>
  <c r="F170" i="127"/>
  <c r="G170" i="127"/>
  <c r="M170" i="127"/>
  <c r="O170" i="127"/>
  <c r="P170" i="127"/>
  <c r="Q170" i="127"/>
  <c r="R170" i="127"/>
  <c r="S170" i="127"/>
  <c r="Y170" i="127"/>
  <c r="Z170" i="127"/>
  <c r="AB170" i="127" s="1"/>
  <c r="AK170" i="127"/>
  <c r="AM170" i="127"/>
  <c r="AN170" i="127"/>
  <c r="AO170" i="127"/>
  <c r="AP170" i="127"/>
  <c r="AQ170" i="127"/>
  <c r="C171" i="127"/>
  <c r="D171" i="127"/>
  <c r="E171" i="127"/>
  <c r="F171" i="127"/>
  <c r="G171" i="127"/>
  <c r="M171" i="127"/>
  <c r="O171" i="127"/>
  <c r="P171" i="127"/>
  <c r="Q171" i="127"/>
  <c r="R171" i="127"/>
  <c r="S171" i="127"/>
  <c r="Y171" i="127"/>
  <c r="Z171" i="127"/>
  <c r="AB171" i="127" s="1"/>
  <c r="AK171" i="127"/>
  <c r="AM171" i="127"/>
  <c r="AN171" i="127"/>
  <c r="AO171" i="127"/>
  <c r="AP171" i="127"/>
  <c r="AQ171" i="127"/>
  <c r="C172" i="127"/>
  <c r="D172" i="127"/>
  <c r="E172" i="127"/>
  <c r="F172" i="127"/>
  <c r="G172" i="127"/>
  <c r="M172" i="127"/>
  <c r="O172" i="127"/>
  <c r="P172" i="127"/>
  <c r="Q172" i="127"/>
  <c r="R172" i="127"/>
  <c r="S172" i="127"/>
  <c r="Y172" i="127"/>
  <c r="Z172" i="127"/>
  <c r="AB172" i="127" s="1"/>
  <c r="AK172" i="127"/>
  <c r="AM172" i="127"/>
  <c r="AN172" i="127"/>
  <c r="AO172" i="127"/>
  <c r="AP172" i="127"/>
  <c r="AQ172" i="127"/>
  <c r="C173" i="127"/>
  <c r="D173" i="127"/>
  <c r="E173" i="127"/>
  <c r="F173" i="127"/>
  <c r="G173" i="127"/>
  <c r="M173" i="127"/>
  <c r="O173" i="127"/>
  <c r="P173" i="127"/>
  <c r="Q173" i="127"/>
  <c r="R173" i="127"/>
  <c r="S173" i="127"/>
  <c r="Y173" i="127"/>
  <c r="Z173" i="127"/>
  <c r="AB173" i="127" s="1"/>
  <c r="AK173" i="127"/>
  <c r="AM173" i="127"/>
  <c r="AN173" i="127"/>
  <c r="AO173" i="127"/>
  <c r="AP173" i="127"/>
  <c r="AQ173" i="127"/>
  <c r="C174" i="127"/>
  <c r="D174" i="127"/>
  <c r="E174" i="127"/>
  <c r="F174" i="127"/>
  <c r="G174" i="127"/>
  <c r="M174" i="127"/>
  <c r="O174" i="127"/>
  <c r="P174" i="127"/>
  <c r="Q174" i="127"/>
  <c r="R174" i="127"/>
  <c r="S174" i="127"/>
  <c r="Y174" i="127"/>
  <c r="Z174" i="127"/>
  <c r="AB174" i="127" s="1"/>
  <c r="AK174" i="127"/>
  <c r="AM174" i="127"/>
  <c r="AN174" i="127"/>
  <c r="AO174" i="127"/>
  <c r="AP174" i="127"/>
  <c r="AQ174" i="127"/>
  <c r="C175" i="127"/>
  <c r="D175" i="127"/>
  <c r="E175" i="127"/>
  <c r="F175" i="127"/>
  <c r="G175" i="127"/>
  <c r="M175" i="127"/>
  <c r="O175" i="127"/>
  <c r="P175" i="127"/>
  <c r="Q175" i="127"/>
  <c r="R175" i="127"/>
  <c r="S175" i="127"/>
  <c r="Y175" i="127"/>
  <c r="Z175" i="127"/>
  <c r="AB175" i="127"/>
  <c r="AK175" i="127"/>
  <c r="AM175" i="127"/>
  <c r="AN175" i="127"/>
  <c r="AO175" i="127"/>
  <c r="AP175" i="127"/>
  <c r="AQ175" i="127"/>
  <c r="C176" i="127"/>
  <c r="D176" i="127"/>
  <c r="E176" i="127"/>
  <c r="F176" i="127"/>
  <c r="G176" i="127"/>
  <c r="M176" i="127"/>
  <c r="O176" i="127"/>
  <c r="P176" i="127"/>
  <c r="Q176" i="127"/>
  <c r="R176" i="127"/>
  <c r="S176" i="127"/>
  <c r="Y176" i="127"/>
  <c r="Z176" i="127"/>
  <c r="AB176" i="127" s="1"/>
  <c r="AK176" i="127"/>
  <c r="AM176" i="127"/>
  <c r="AN176" i="127"/>
  <c r="AO176" i="127"/>
  <c r="AP176" i="127"/>
  <c r="AQ176" i="127"/>
  <c r="C177" i="127"/>
  <c r="D177" i="127"/>
  <c r="E177" i="127"/>
  <c r="F177" i="127"/>
  <c r="G177" i="127"/>
  <c r="M177" i="127"/>
  <c r="O177" i="127"/>
  <c r="P177" i="127"/>
  <c r="Q177" i="127"/>
  <c r="R177" i="127"/>
  <c r="S177" i="127"/>
  <c r="Y177" i="127"/>
  <c r="Z177" i="127"/>
  <c r="AB177" i="127" s="1"/>
  <c r="AK177" i="127"/>
  <c r="AM177" i="127"/>
  <c r="AN177" i="127"/>
  <c r="AO177" i="127"/>
  <c r="AP177" i="127"/>
  <c r="AQ177" i="127"/>
  <c r="C178" i="127"/>
  <c r="D178" i="127"/>
  <c r="E178" i="127"/>
  <c r="F178" i="127"/>
  <c r="G178" i="127"/>
  <c r="M178" i="127"/>
  <c r="O178" i="127"/>
  <c r="P178" i="127"/>
  <c r="Q178" i="127"/>
  <c r="R178" i="127"/>
  <c r="S178" i="127"/>
  <c r="Y178" i="127"/>
  <c r="Z178" i="127"/>
  <c r="AB178" i="127" s="1"/>
  <c r="AK178" i="127"/>
  <c r="AM178" i="127"/>
  <c r="AN178" i="127"/>
  <c r="AO178" i="127"/>
  <c r="AP178" i="127"/>
  <c r="AQ178" i="127"/>
  <c r="C179" i="127"/>
  <c r="D179" i="127"/>
  <c r="E179" i="127"/>
  <c r="F179" i="127"/>
  <c r="G179" i="127"/>
  <c r="M179" i="127"/>
  <c r="O179" i="127"/>
  <c r="P179" i="127"/>
  <c r="Q179" i="127"/>
  <c r="R179" i="127"/>
  <c r="S179" i="127"/>
  <c r="Y179" i="127"/>
  <c r="Z179" i="127"/>
  <c r="AB179" i="127" s="1"/>
  <c r="AK179" i="127"/>
  <c r="AM179" i="127"/>
  <c r="AN179" i="127"/>
  <c r="AO179" i="127"/>
  <c r="AP179" i="127"/>
  <c r="AQ179" i="127"/>
  <c r="C180" i="127"/>
  <c r="D180" i="127"/>
  <c r="E180" i="127"/>
  <c r="F180" i="127"/>
  <c r="G180" i="127"/>
  <c r="M180" i="127"/>
  <c r="O180" i="127"/>
  <c r="P180" i="127"/>
  <c r="Q180" i="127"/>
  <c r="R180" i="127"/>
  <c r="S180" i="127"/>
  <c r="Z180" i="127"/>
  <c r="AA180" i="127" s="1"/>
  <c r="AM180" i="127"/>
  <c r="AN180" i="127"/>
  <c r="AO180" i="127"/>
  <c r="AP180" i="127"/>
  <c r="AQ180" i="127"/>
  <c r="C2" i="10"/>
  <c r="D2" i="10"/>
  <c r="E2" i="10"/>
  <c r="G2" i="10"/>
  <c r="B3" i="10"/>
  <c r="C14" i="4" s="1"/>
  <c r="D3" i="10"/>
  <c r="E3" i="10"/>
  <c r="G3" i="10"/>
  <c r="B4" i="10"/>
  <c r="C7" i="4" s="1"/>
  <c r="C4" i="10"/>
  <c r="E4" i="10"/>
  <c r="G4" i="10"/>
  <c r="B5" i="10"/>
  <c r="C5" i="10"/>
  <c r="D5" i="10"/>
  <c r="G5" i="10"/>
  <c r="B6" i="10"/>
  <c r="C6" i="10"/>
  <c r="D6" i="10"/>
  <c r="E6" i="10"/>
  <c r="G6" i="10"/>
  <c r="B7" i="10"/>
  <c r="C7" i="10"/>
  <c r="D7" i="10"/>
  <c r="E7" i="10"/>
  <c r="C18" i="10"/>
  <c r="D18" i="10"/>
  <c r="E18" i="10"/>
  <c r="G18" i="10"/>
  <c r="B19" i="10"/>
  <c r="D19" i="10"/>
  <c r="E19" i="10"/>
  <c r="G19" i="10"/>
  <c r="B20" i="10"/>
  <c r="C20" i="10"/>
  <c r="E20" i="10"/>
  <c r="G20" i="10"/>
  <c r="B21" i="10"/>
  <c r="C21" i="10"/>
  <c r="D21" i="10"/>
  <c r="G21" i="10"/>
  <c r="B22" i="10"/>
  <c r="C22" i="10"/>
  <c r="D22" i="10"/>
  <c r="E22" i="10"/>
  <c r="G22" i="10"/>
  <c r="B23" i="10"/>
  <c r="C23" i="10"/>
  <c r="D23" i="10"/>
  <c r="E23" i="10"/>
  <c r="A1" i="9"/>
  <c r="A2" i="9"/>
  <c r="B2" i="7" a="1"/>
  <c r="B2" i="7" s="1"/>
  <c r="F2" i="7"/>
  <c r="M3" i="9" l="1" a="1"/>
  <c r="M3" i="9" s="1"/>
  <c r="AB141" i="127"/>
  <c r="AC161" i="127"/>
  <c r="AD129" i="127"/>
  <c r="H8" i="9" a="1"/>
  <c r="H8" i="9" s="1"/>
  <c r="AD141" i="127"/>
  <c r="AB130" i="127"/>
  <c r="AB162" i="127"/>
  <c r="C17" i="9" a="1"/>
  <c r="C17" i="9" s="1"/>
  <c r="L19" i="9" a="1"/>
  <c r="L19" i="9" s="1"/>
  <c r="H18" i="9" a="1"/>
  <c r="H18" i="9" s="1"/>
  <c r="K15" i="9" a="1"/>
  <c r="K15" i="9" s="1"/>
  <c r="H14" i="9" a="1"/>
  <c r="H14" i="9" s="1"/>
  <c r="AD126" i="127"/>
  <c r="M11" i="9" a="1"/>
  <c r="M11" i="9" s="1"/>
  <c r="AB137" i="127"/>
  <c r="B17" i="9" a="1"/>
  <c r="B17" i="9" s="1"/>
  <c r="K19" i="9" a="1"/>
  <c r="K19" i="9" s="1"/>
  <c r="C8" i="9" a="1"/>
  <c r="C8" i="9" s="1"/>
  <c r="J19" i="9" a="1"/>
  <c r="J19" i="9" s="1"/>
  <c r="E18" i="9" a="1"/>
  <c r="E18" i="9" s="1"/>
  <c r="M16" i="9" a="1"/>
  <c r="M16" i="9" s="1"/>
  <c r="I15" i="9" a="1"/>
  <c r="I15" i="9" s="1"/>
  <c r="L13" i="9" a="1"/>
  <c r="L13" i="9" s="1"/>
  <c r="B11" i="9" a="1"/>
  <c r="B11" i="9" s="1"/>
  <c r="G7" i="9" a="1"/>
  <c r="G7" i="9" s="1"/>
  <c r="F18" i="9" a="1"/>
  <c r="F18" i="9" s="1"/>
  <c r="L7" i="9" a="1"/>
  <c r="L7" i="9" s="1"/>
  <c r="H19" i="9" a="1"/>
  <c r="H19" i="9" s="1"/>
  <c r="F13" i="9" a="1"/>
  <c r="F13" i="9" s="1"/>
  <c r="D19" i="9" a="1"/>
  <c r="D19" i="9" s="1"/>
  <c r="L17" i="9" a="1"/>
  <c r="L17" i="9" s="1"/>
  <c r="H16" i="9" a="1"/>
  <c r="H16" i="9" s="1"/>
  <c r="C15" i="9" a="1"/>
  <c r="C15" i="9" s="1"/>
  <c r="E13" i="9" a="1"/>
  <c r="E13" i="9" s="1"/>
  <c r="G10" i="9" a="1"/>
  <c r="G10" i="9" s="1"/>
  <c r="L5" i="9" a="1"/>
  <c r="L5" i="9" s="1"/>
  <c r="J11" i="9" a="1"/>
  <c r="J11" i="9" s="1"/>
  <c r="L16" i="9" a="1"/>
  <c r="L16" i="9" s="1"/>
  <c r="K6" i="9" a="1"/>
  <c r="K6" i="9" s="1"/>
  <c r="E16" i="9" a="1"/>
  <c r="E16" i="9" s="1"/>
  <c r="B13" i="9" a="1"/>
  <c r="B13" i="9" s="1"/>
  <c r="B10" i="9" a="1"/>
  <c r="B10" i="9" s="1"/>
  <c r="I5" i="9" a="1"/>
  <c r="I5" i="9" s="1"/>
  <c r="E14" i="9" a="1"/>
  <c r="E14" i="9" s="1"/>
  <c r="H15" i="9" a="1"/>
  <c r="H15" i="9" s="1"/>
  <c r="K17" i="9" a="1"/>
  <c r="K17" i="9" s="1"/>
  <c r="B15" i="9" a="1"/>
  <c r="B15" i="9" s="1"/>
  <c r="B19" i="9" a="1"/>
  <c r="B19" i="9" s="1"/>
  <c r="I17" i="9" a="1"/>
  <c r="I17" i="9" s="1"/>
  <c r="D16" i="9" a="1"/>
  <c r="D16" i="9" s="1"/>
  <c r="M14" i="9" a="1"/>
  <c r="M14" i="9" s="1"/>
  <c r="J12" i="9" a="1"/>
  <c r="J12" i="9" s="1"/>
  <c r="F9" i="9" a="1"/>
  <c r="F9" i="9" s="1"/>
  <c r="I4" i="9" a="1"/>
  <c r="I4" i="9" s="1"/>
  <c r="J15" i="9" a="1"/>
  <c r="J15" i="9" s="1"/>
  <c r="D18" i="9" a="1"/>
  <c r="D18" i="9" s="1"/>
  <c r="J10" i="9" a="1"/>
  <c r="J10" i="9" s="1"/>
  <c r="C19" i="9" a="1"/>
  <c r="C19" i="9" s="1"/>
  <c r="L18" i="9" a="1"/>
  <c r="L18" i="9" s="1"/>
  <c r="D17" i="9" a="1"/>
  <c r="D17" i="9" s="1"/>
  <c r="L15" i="9" a="1"/>
  <c r="L15" i="9" s="1"/>
  <c r="I14" i="9" a="1"/>
  <c r="I14" i="9" s="1"/>
  <c r="I12" i="9" a="1"/>
  <c r="I12" i="9" s="1"/>
  <c r="K8" i="9" a="1"/>
  <c r="K8" i="9" s="1"/>
  <c r="AA150" i="127"/>
  <c r="AD137" i="127"/>
  <c r="AA135" i="127"/>
  <c r="AB126" i="127"/>
  <c r="M18" i="9" a="1"/>
  <c r="M18" i="9" s="1"/>
  <c r="J17" i="9" a="1"/>
  <c r="J17" i="9" s="1"/>
  <c r="G16" i="9" a="1"/>
  <c r="G16" i="9" s="1"/>
  <c r="D15" i="9" a="1"/>
  <c r="D15" i="9" s="1"/>
  <c r="J13" i="9" a="1"/>
  <c r="J13" i="9" s="1"/>
  <c r="E11" i="9" a="1"/>
  <c r="E11" i="9" s="1"/>
  <c r="G3" i="9" a="1"/>
  <c r="G3" i="9" s="1"/>
  <c r="AA156" i="127"/>
  <c r="AA138" i="127"/>
  <c r="AE133" i="127"/>
  <c r="AE131" i="127"/>
  <c r="AA158" i="127"/>
  <c r="AD133" i="127"/>
  <c r="AD131" i="127"/>
  <c r="AA160" i="127"/>
  <c r="AB131" i="127"/>
  <c r="AE129" i="127"/>
  <c r="AE126" i="127"/>
  <c r="D10" i="127"/>
  <c r="I19" i="9" a="1"/>
  <c r="I19" i="9" s="1"/>
  <c r="G18" i="9" a="1"/>
  <c r="G18" i="9" s="1"/>
  <c r="H17" i="9" a="1"/>
  <c r="H17" i="9" s="1"/>
  <c r="F16" i="9" a="1"/>
  <c r="F16" i="9" s="1"/>
  <c r="E15" i="9" a="1"/>
  <c r="E15" i="9" s="1"/>
  <c r="M13" i="9" a="1"/>
  <c r="M13" i="9" s="1"/>
  <c r="F12" i="9" a="1"/>
  <c r="F12" i="9" s="1"/>
  <c r="K9" i="9" a="1"/>
  <c r="K9" i="9" s="1"/>
  <c r="D7" i="9" a="1"/>
  <c r="D7" i="9" s="1"/>
  <c r="I3" i="9" a="1"/>
  <c r="I3" i="9" s="1"/>
  <c r="C9" i="9" a="1"/>
  <c r="C9" i="9" s="1"/>
  <c r="F6" i="9" a="1"/>
  <c r="F6" i="9" s="1"/>
  <c r="C87" i="127"/>
  <c r="D87" i="127"/>
  <c r="G19" i="9" a="1"/>
  <c r="G19" i="9" s="1"/>
  <c r="G17" i="9" a="1"/>
  <c r="G17" i="9" s="1"/>
  <c r="L14" i="9" a="1"/>
  <c r="L14" i="9" s="1"/>
  <c r="M12" i="9" a="1"/>
  <c r="M12" i="9" s="1"/>
  <c r="M10" i="9" a="1"/>
  <c r="M10" i="9" s="1"/>
  <c r="G8" i="9" a="1"/>
  <c r="G8" i="9" s="1"/>
  <c r="K3" i="9" a="1"/>
  <c r="K3" i="9" s="1"/>
  <c r="K18" i="9" a="1"/>
  <c r="K18" i="9" s="1"/>
  <c r="K16" i="9" a="1"/>
  <c r="K16" i="9" s="1"/>
  <c r="D14" i="9" a="1"/>
  <c r="D14" i="9" s="1"/>
  <c r="E12" i="9" a="1"/>
  <c r="E12" i="9" s="1"/>
  <c r="F10" i="9" a="1"/>
  <c r="F10" i="9" s="1"/>
  <c r="B9" i="9" a="1"/>
  <c r="B9" i="9" s="1"/>
  <c r="C7" i="9" a="1"/>
  <c r="C7" i="9" s="1"/>
  <c r="B18" i="9" a="1"/>
  <c r="B18" i="9" s="1"/>
  <c r="B16" i="9" a="1"/>
  <c r="B16" i="9" s="1"/>
  <c r="C14" i="9" a="1"/>
  <c r="C14" i="9" s="1"/>
  <c r="D12" i="9" a="1"/>
  <c r="D12" i="9" s="1"/>
  <c r="E10" i="9" a="1"/>
  <c r="E10" i="9" s="1"/>
  <c r="B7" i="9" a="1"/>
  <c r="B7" i="9" s="1"/>
  <c r="E6" i="9" a="1"/>
  <c r="E6" i="9" s="1"/>
  <c r="J3" i="9" a="1"/>
  <c r="J3" i="9" s="1"/>
  <c r="AE144" i="127"/>
  <c r="AD142" i="127"/>
  <c r="AD136" i="127"/>
  <c r="AE132" i="127"/>
  <c r="AE128" i="127"/>
  <c r="C18" i="9" a="1"/>
  <c r="C18" i="9" s="1"/>
  <c r="C16" i="9" a="1"/>
  <c r="C16" i="9" s="1"/>
  <c r="I13" i="9" a="1"/>
  <c r="I13" i="9" s="1"/>
  <c r="I11" i="9" a="1"/>
  <c r="I11" i="9" s="1"/>
  <c r="J9" i="9" a="1"/>
  <c r="J9" i="9" s="1"/>
  <c r="K7" i="9" a="1"/>
  <c r="K7" i="9" s="1"/>
  <c r="C5" i="9" a="1"/>
  <c r="C5" i="9" s="1"/>
  <c r="F19" i="9" a="1"/>
  <c r="F19" i="9" s="1"/>
  <c r="J18" i="9" a="1"/>
  <c r="J18" i="9" s="1"/>
  <c r="F17" i="9" a="1"/>
  <c r="F17" i="9" s="1"/>
  <c r="J16" i="9" a="1"/>
  <c r="J16" i="9" s="1"/>
  <c r="G15" i="9" a="1"/>
  <c r="G15" i="9" s="1"/>
  <c r="K14" i="9" a="1"/>
  <c r="K14" i="9" s="1"/>
  <c r="H13" i="9" a="1"/>
  <c r="H13" i="9" s="1"/>
  <c r="L12" i="9" a="1"/>
  <c r="L12" i="9" s="1"/>
  <c r="H11" i="9" a="1"/>
  <c r="H11" i="9" s="1"/>
  <c r="L10" i="9" a="1"/>
  <c r="L10" i="9" s="1"/>
  <c r="I9" i="9" a="1"/>
  <c r="I9" i="9" s="1"/>
  <c r="F8" i="9" a="1"/>
  <c r="F8" i="9" s="1"/>
  <c r="J7" i="9" a="1"/>
  <c r="J7" i="9" s="1"/>
  <c r="B5" i="9" a="1"/>
  <c r="B5" i="9" s="1"/>
  <c r="M19" i="9" a="1"/>
  <c r="M19" i="9" s="1"/>
  <c r="E19" i="9" a="1"/>
  <c r="E19" i="9" s="1"/>
  <c r="I18" i="9" a="1"/>
  <c r="I18" i="9" s="1"/>
  <c r="M17" i="9" a="1"/>
  <c r="M17" i="9" s="1"/>
  <c r="E17" i="9" a="1"/>
  <c r="E17" i="9" s="1"/>
  <c r="I16" i="9" a="1"/>
  <c r="I16" i="9" s="1"/>
  <c r="M15" i="9" a="1"/>
  <c r="M15" i="9" s="1"/>
  <c r="F15" i="9" a="1"/>
  <c r="F15" i="9" s="1"/>
  <c r="J14" i="9" a="1"/>
  <c r="J14" i="9" s="1"/>
  <c r="B14" i="9" a="1"/>
  <c r="B14" i="9" s="1"/>
  <c r="G13" i="9" a="1"/>
  <c r="G13" i="9" s="1"/>
  <c r="K12" i="9" a="1"/>
  <c r="K12" i="9" s="1"/>
  <c r="C12" i="9" a="1"/>
  <c r="C12" i="9" s="1"/>
  <c r="G11" i="9" a="1"/>
  <c r="G11" i="9" s="1"/>
  <c r="K10" i="9" a="1"/>
  <c r="K10" i="9" s="1"/>
  <c r="D10" i="9" a="1"/>
  <c r="D10" i="9" s="1"/>
  <c r="H9" i="9" a="1"/>
  <c r="H9" i="9" s="1"/>
  <c r="M8" i="9" a="1"/>
  <c r="M8" i="9" s="1"/>
  <c r="E8" i="9" a="1"/>
  <c r="E8" i="9" s="1"/>
  <c r="I7" i="9" a="1"/>
  <c r="I7" i="9" s="1"/>
  <c r="M6" i="9" a="1"/>
  <c r="M6" i="9" s="1"/>
  <c r="C6" i="9" a="1"/>
  <c r="C6" i="9" s="1"/>
  <c r="M4" i="9" a="1"/>
  <c r="M4" i="9" s="1"/>
  <c r="AC153" i="127"/>
  <c r="AC144" i="127"/>
  <c r="AA142" i="127"/>
  <c r="AA139" i="127"/>
  <c r="AB136" i="127"/>
  <c r="AD132" i="127"/>
  <c r="AD128" i="127"/>
  <c r="F40" i="127"/>
  <c r="B12" i="9" a="1"/>
  <c r="B12" i="9" s="1"/>
  <c r="F11" i="9" a="1"/>
  <c r="F11" i="9" s="1"/>
  <c r="C10" i="9" a="1"/>
  <c r="C10" i="9" s="1"/>
  <c r="G9" i="9" a="1"/>
  <c r="G9" i="9" s="1"/>
  <c r="L8" i="9" a="1"/>
  <c r="L8" i="9" s="1"/>
  <c r="D8" i="9" a="1"/>
  <c r="D8" i="9" s="1"/>
  <c r="H7" i="9" a="1"/>
  <c r="H7" i="9" s="1"/>
  <c r="L6" i="9" a="1"/>
  <c r="L6" i="9" s="1"/>
  <c r="M5" i="9" a="1"/>
  <c r="M5" i="9" s="1"/>
  <c r="J4" i="9" a="1"/>
  <c r="J4" i="9" s="1"/>
  <c r="C3" i="9" a="1"/>
  <c r="C3" i="9" s="1"/>
  <c r="AC151" i="127"/>
  <c r="AA136" i="127"/>
  <c r="AB132" i="127"/>
  <c r="AB128" i="127"/>
  <c r="AD140" i="127"/>
  <c r="G14" i="9" a="1"/>
  <c r="G14" i="9" s="1"/>
  <c r="K13" i="9" a="1"/>
  <c r="K13" i="9" s="1"/>
  <c r="D13" i="9" a="1"/>
  <c r="D13" i="9" s="1"/>
  <c r="H12" i="9" a="1"/>
  <c r="H12" i="9" s="1"/>
  <c r="L11" i="9" a="1"/>
  <c r="L11" i="9" s="1"/>
  <c r="D11" i="9" a="1"/>
  <c r="D11" i="9" s="1"/>
  <c r="I10" i="9" a="1"/>
  <c r="I10" i="9" s="1"/>
  <c r="M9" i="9" a="1"/>
  <c r="M9" i="9" s="1"/>
  <c r="E9" i="9" a="1"/>
  <c r="E9" i="9" s="1"/>
  <c r="J8" i="9" a="1"/>
  <c r="J8" i="9" s="1"/>
  <c r="B8" i="9" a="1"/>
  <c r="B8" i="9" s="1"/>
  <c r="F7" i="9" a="1"/>
  <c r="F7" i="9" s="1"/>
  <c r="H6" i="9" a="1"/>
  <c r="H6" i="9" s="1"/>
  <c r="K5" i="9" a="1"/>
  <c r="K5" i="9" s="1"/>
  <c r="F4" i="9" a="1"/>
  <c r="F4" i="9" s="1"/>
  <c r="AC159" i="127"/>
  <c r="AA143" i="127"/>
  <c r="AB140" i="127"/>
  <c r="AA137" i="127"/>
  <c r="AB133" i="127"/>
  <c r="AE130" i="127"/>
  <c r="AB129" i="127"/>
  <c r="F14" i="9" a="1"/>
  <c r="F14" i="9" s="1"/>
  <c r="C13" i="9" a="1"/>
  <c r="C13" i="9" s="1"/>
  <c r="G12" i="9" a="1"/>
  <c r="G12" i="9" s="1"/>
  <c r="K11" i="9" a="1"/>
  <c r="K11" i="9" s="1"/>
  <c r="C11" i="9" a="1"/>
  <c r="C11" i="9" s="1"/>
  <c r="H10" i="9" a="1"/>
  <c r="H10" i="9" s="1"/>
  <c r="L9" i="9" a="1"/>
  <c r="L9" i="9" s="1"/>
  <c r="D9" i="9" a="1"/>
  <c r="D9" i="9" s="1"/>
  <c r="I8" i="9" a="1"/>
  <c r="I8" i="9" s="1"/>
  <c r="M7" i="9" a="1"/>
  <c r="M7" i="9" s="1"/>
  <c r="E7" i="9" a="1"/>
  <c r="E7" i="9" s="1"/>
  <c r="G6" i="9" a="1"/>
  <c r="G6" i="9" s="1"/>
  <c r="J5" i="9" a="1"/>
  <c r="J5" i="9" s="1"/>
  <c r="B4" i="9" a="1"/>
  <c r="B4" i="9" s="1"/>
  <c r="AA148" i="127"/>
  <c r="AA140" i="127"/>
  <c r="AD138" i="127"/>
  <c r="AD130" i="127"/>
  <c r="C62" i="127"/>
  <c r="G62" i="127"/>
  <c r="E62" i="127"/>
  <c r="C12" i="127"/>
  <c r="F12" i="127"/>
  <c r="F44" i="127"/>
  <c r="D44" i="127"/>
  <c r="E44" i="127"/>
  <c r="D83" i="127"/>
  <c r="E87" i="127"/>
  <c r="C83" i="127"/>
  <c r="F76" i="127"/>
  <c r="F96" i="127"/>
  <c r="C96" i="127"/>
  <c r="F59" i="127"/>
  <c r="E59" i="127"/>
  <c r="D59" i="127"/>
  <c r="C59" i="127"/>
  <c r="C89" i="127"/>
  <c r="D89" i="127"/>
  <c r="E89" i="127"/>
  <c r="C70" i="127"/>
  <c r="D70" i="127"/>
  <c r="E70" i="127"/>
  <c r="C81" i="127"/>
  <c r="G81" i="127"/>
  <c r="D81" i="127"/>
  <c r="E81" i="127"/>
  <c r="F81" i="127"/>
  <c r="C64" i="127"/>
  <c r="E64" i="127"/>
  <c r="D64" i="127"/>
  <c r="D6" i="127"/>
  <c r="E6" i="127"/>
  <c r="C6" i="127"/>
  <c r="D3" i="9" a="1"/>
  <c r="D3" i="9" s="1"/>
  <c r="AB143" i="127"/>
  <c r="AB139" i="127"/>
  <c r="AB135" i="127"/>
  <c r="AA134" i="127"/>
  <c r="C102" i="127"/>
  <c r="F87" i="127"/>
  <c r="E83" i="127"/>
  <c r="C49" i="127"/>
  <c r="C39" i="127"/>
  <c r="D6" i="9" a="1"/>
  <c r="D6" i="9" s="1"/>
  <c r="F5" i="9" a="1"/>
  <c r="F5" i="9" s="1"/>
  <c r="G4" i="9" a="1"/>
  <c r="G4" i="9" s="1"/>
  <c r="F3" i="9" a="1"/>
  <c r="F3" i="9" s="1"/>
  <c r="AD162" i="127"/>
  <c r="AB144" i="127"/>
  <c r="AE134" i="127"/>
  <c r="AC133" i="127"/>
  <c r="AC132" i="127"/>
  <c r="AC131" i="127"/>
  <c r="AC130" i="127"/>
  <c r="AC129" i="127"/>
  <c r="AC128" i="127"/>
  <c r="AC126" i="127"/>
  <c r="C77" i="127"/>
  <c r="C72" i="127"/>
  <c r="F62" i="127"/>
  <c r="C44" i="127"/>
  <c r="G12" i="127"/>
  <c r="AD134" i="127"/>
  <c r="E94" i="127"/>
  <c r="J6" i="9" a="1"/>
  <c r="J6" i="9" s="1"/>
  <c r="E5" i="9" a="1"/>
  <c r="E5" i="9" s="1"/>
  <c r="E4" i="9" a="1"/>
  <c r="E4" i="9" s="1"/>
  <c r="B3" i="9" a="1"/>
  <c r="B3" i="9" s="1"/>
  <c r="AA162" i="127"/>
  <c r="AB142" i="127"/>
  <c r="AB138" i="127"/>
  <c r="AC134" i="127"/>
  <c r="D94" i="127"/>
  <c r="F92" i="127"/>
  <c r="D62" i="127"/>
  <c r="E49" i="127"/>
  <c r="E39" i="127"/>
  <c r="E12" i="127"/>
  <c r="AD143" i="127"/>
  <c r="AD139" i="127"/>
  <c r="AD135" i="127"/>
  <c r="G87" i="127"/>
  <c r="D49" i="127"/>
  <c r="D39" i="127"/>
  <c r="G101" i="127"/>
  <c r="C101" i="127"/>
  <c r="D101" i="127"/>
  <c r="E101" i="127"/>
  <c r="F101" i="127"/>
  <c r="D79" i="127"/>
  <c r="E79" i="127"/>
  <c r="F79" i="127"/>
  <c r="G79" i="127"/>
  <c r="C79" i="127"/>
  <c r="C75" i="127"/>
  <c r="D75" i="127"/>
  <c r="E75" i="127"/>
  <c r="F75" i="127"/>
  <c r="G75" i="127"/>
  <c r="D57" i="127"/>
  <c r="E57" i="127"/>
  <c r="F57" i="127"/>
  <c r="G57" i="127"/>
  <c r="C57" i="127"/>
  <c r="C38" i="127"/>
  <c r="D38" i="127"/>
  <c r="E38" i="127"/>
  <c r="F38" i="127"/>
  <c r="G38" i="127"/>
  <c r="D17" i="127"/>
  <c r="E17" i="127"/>
  <c r="F17" i="127"/>
  <c r="C17" i="127"/>
  <c r="F4" i="127"/>
  <c r="G4" i="127"/>
  <c r="C4" i="127"/>
  <c r="D4" i="127"/>
  <c r="E4" i="127"/>
  <c r="C105" i="127"/>
  <c r="D105" i="127"/>
  <c r="E105" i="127"/>
  <c r="F105" i="127"/>
  <c r="G105" i="127"/>
  <c r="D98" i="127"/>
  <c r="E98" i="127"/>
  <c r="F98" i="127"/>
  <c r="G98" i="127"/>
  <c r="C98" i="127"/>
  <c r="C54" i="127"/>
  <c r="D54" i="127"/>
  <c r="E54" i="127"/>
  <c r="F54" i="127"/>
  <c r="G54" i="127"/>
  <c r="C14" i="127"/>
  <c r="D14" i="127"/>
  <c r="E14" i="127"/>
  <c r="F14" i="127"/>
  <c r="G14" i="127"/>
  <c r="F7" i="127"/>
  <c r="G7" i="127"/>
  <c r="C7" i="127"/>
  <c r="D7" i="127"/>
  <c r="E7" i="127"/>
  <c r="C86" i="127"/>
  <c r="D86" i="127"/>
  <c r="E86" i="127"/>
  <c r="F86" i="127"/>
  <c r="G86" i="127"/>
  <c r="C82" i="127"/>
  <c r="D82" i="127"/>
  <c r="E82" i="127"/>
  <c r="F82" i="127"/>
  <c r="G82" i="127"/>
  <c r="G65" i="127"/>
  <c r="C65" i="127"/>
  <c r="D65" i="127"/>
  <c r="E65" i="127"/>
  <c r="F65" i="127"/>
  <c r="G45" i="127"/>
  <c r="C45" i="127"/>
  <c r="D45" i="127"/>
  <c r="E45" i="127"/>
  <c r="F45" i="127"/>
  <c r="C41" i="127"/>
  <c r="D41" i="127"/>
  <c r="E41" i="127"/>
  <c r="F41" i="127"/>
  <c r="G41" i="127"/>
  <c r="G107" i="127"/>
  <c r="C107" i="127"/>
  <c r="D107" i="127"/>
  <c r="E107" i="127"/>
  <c r="F107" i="127"/>
  <c r="D74" i="127"/>
  <c r="E74" i="127"/>
  <c r="F74" i="127"/>
  <c r="G74" i="127"/>
  <c r="C74" i="127"/>
  <c r="E67" i="127"/>
  <c r="F67" i="127"/>
  <c r="G67" i="127"/>
  <c r="C67" i="127"/>
  <c r="D67" i="127"/>
  <c r="C63" i="127"/>
  <c r="D63" i="127"/>
  <c r="E63" i="127"/>
  <c r="F63" i="127"/>
  <c r="G63" i="127"/>
  <c r="C58" i="127"/>
  <c r="D58" i="127"/>
  <c r="E58" i="127"/>
  <c r="F58" i="127"/>
  <c r="G58" i="127"/>
  <c r="E47" i="127"/>
  <c r="F47" i="127"/>
  <c r="G47" i="127"/>
  <c r="C47" i="127"/>
  <c r="D47" i="127"/>
  <c r="E16" i="127"/>
  <c r="F16" i="127"/>
  <c r="G16" i="127"/>
  <c r="C16" i="127"/>
  <c r="D16" i="127"/>
  <c r="G3" i="127"/>
  <c r="C3" i="127"/>
  <c r="D3" i="127"/>
  <c r="E3" i="127"/>
  <c r="F3" i="127"/>
  <c r="D104" i="127"/>
  <c r="E104" i="127"/>
  <c r="F104" i="127"/>
  <c r="G104" i="127"/>
  <c r="C104" i="127"/>
  <c r="G71" i="127"/>
  <c r="C71" i="127"/>
  <c r="D71" i="127"/>
  <c r="E71" i="127"/>
  <c r="F71" i="127"/>
  <c r="D53" i="127"/>
  <c r="E53" i="127"/>
  <c r="F53" i="127"/>
  <c r="G53" i="127"/>
  <c r="C53" i="127"/>
  <c r="C43" i="127"/>
  <c r="D43" i="127"/>
  <c r="E43" i="127"/>
  <c r="F43" i="127"/>
  <c r="G43" i="127"/>
  <c r="C18" i="127"/>
  <c r="D18" i="127"/>
  <c r="E18" i="127"/>
  <c r="F18" i="127"/>
  <c r="G18" i="127"/>
  <c r="C13" i="127"/>
  <c r="D13" i="127"/>
  <c r="E13" i="127"/>
  <c r="F13" i="127"/>
  <c r="G13" i="127"/>
  <c r="G95" i="127"/>
  <c r="C95" i="127"/>
  <c r="D95" i="127"/>
  <c r="E95" i="127"/>
  <c r="F95" i="127"/>
  <c r="D85" i="127"/>
  <c r="E85" i="127"/>
  <c r="F85" i="127"/>
  <c r="G85" i="127"/>
  <c r="C85" i="127"/>
  <c r="C80" i="127"/>
  <c r="D80" i="127"/>
  <c r="E80" i="127"/>
  <c r="F80" i="127"/>
  <c r="G80" i="127"/>
  <c r="C69" i="127"/>
  <c r="D69" i="127"/>
  <c r="E69" i="127"/>
  <c r="F69" i="127"/>
  <c r="G69" i="127"/>
  <c r="D8" i="127"/>
  <c r="E8" i="127"/>
  <c r="F8" i="127"/>
  <c r="G8" i="127"/>
  <c r="C8" i="127"/>
  <c r="C99" i="127"/>
  <c r="D99" i="127"/>
  <c r="E99" i="127"/>
  <c r="F99" i="127"/>
  <c r="G99" i="127"/>
  <c r="C93" i="127"/>
  <c r="D93" i="127"/>
  <c r="E93" i="127"/>
  <c r="F93" i="127"/>
  <c r="G93" i="127"/>
  <c r="G90" i="127"/>
  <c r="C90" i="127"/>
  <c r="D90" i="127"/>
  <c r="E90" i="127"/>
  <c r="F90" i="127"/>
  <c r="C61" i="127"/>
  <c r="D61" i="127"/>
  <c r="E61" i="127"/>
  <c r="F61" i="127"/>
  <c r="G61" i="127"/>
  <c r="G50" i="127"/>
  <c r="C50" i="127"/>
  <c r="D50" i="127"/>
  <c r="E50" i="127"/>
  <c r="F50" i="127"/>
  <c r="C88" i="127"/>
  <c r="D88" i="127"/>
  <c r="E88" i="127"/>
  <c r="F88" i="127"/>
  <c r="G88" i="127"/>
  <c r="E52" i="127"/>
  <c r="F52" i="127"/>
  <c r="G52" i="127"/>
  <c r="C52" i="127"/>
  <c r="D52" i="127"/>
  <c r="C42" i="127"/>
  <c r="D42" i="127"/>
  <c r="E42" i="127"/>
  <c r="F42" i="127"/>
  <c r="G42" i="127"/>
  <c r="C2" i="127"/>
  <c r="D2" i="127"/>
  <c r="E2" i="127"/>
  <c r="F2" i="127"/>
  <c r="G2" i="127"/>
  <c r="D103" i="127"/>
  <c r="E102" i="127"/>
  <c r="D97" i="127"/>
  <c r="E96" i="127"/>
  <c r="G94" i="127"/>
  <c r="G89" i="127"/>
  <c r="G83" i="127"/>
  <c r="D78" i="127"/>
  <c r="E77" i="127"/>
  <c r="E72" i="127"/>
  <c r="G70" i="127"/>
  <c r="E66" i="127"/>
  <c r="G64" i="127"/>
  <c r="G59" i="127"/>
  <c r="E51" i="127"/>
  <c r="G49" i="127"/>
  <c r="E46" i="127"/>
  <c r="G44" i="127"/>
  <c r="G39" i="127"/>
  <c r="D11" i="127"/>
  <c r="F10" i="127"/>
  <c r="G6" i="127"/>
  <c r="C103" i="127"/>
  <c r="D102" i="127"/>
  <c r="C97" i="127"/>
  <c r="D96" i="127"/>
  <c r="F94" i="127"/>
  <c r="F89" i="127"/>
  <c r="C78" i="127"/>
  <c r="D77" i="127"/>
  <c r="D72" i="127"/>
  <c r="F70" i="127"/>
  <c r="D66" i="127"/>
  <c r="F64" i="127"/>
  <c r="D51" i="127"/>
  <c r="F48" i="127"/>
  <c r="D46" i="127"/>
  <c r="C11" i="127"/>
  <c r="E10" i="127"/>
  <c r="F6" i="127"/>
  <c r="C66" i="127"/>
  <c r="C51" i="127"/>
  <c r="C46" i="127"/>
  <c r="C10" i="127"/>
  <c r="F60" i="127"/>
  <c r="G103" i="127"/>
  <c r="G97" i="127"/>
  <c r="G78" i="127"/>
  <c r="G11" i="127"/>
  <c r="F103" i="127"/>
  <c r="G102" i="127"/>
  <c r="F97" i="127"/>
  <c r="G96" i="127"/>
  <c r="F78" i="127"/>
  <c r="G77" i="127"/>
  <c r="G72" i="127"/>
  <c r="G66" i="127"/>
  <c r="G51" i="127"/>
  <c r="G46" i="127"/>
  <c r="D12" i="127"/>
  <c r="F11" i="127"/>
  <c r="AC180" i="127"/>
  <c r="AD157" i="127"/>
  <c r="AE157" i="127"/>
  <c r="AB157" i="127"/>
  <c r="AC155" i="127"/>
  <c r="AD149" i="127"/>
  <c r="AE149" i="127"/>
  <c r="AB149" i="127"/>
  <c r="AC147" i="127"/>
  <c r="C108" i="127"/>
  <c r="D108" i="127"/>
  <c r="E108" i="127"/>
  <c r="G15" i="127"/>
  <c r="G5" i="127"/>
  <c r="I6" i="9" a="1"/>
  <c r="I6" i="9" s="1"/>
  <c r="B6" i="9" a="1"/>
  <c r="B6" i="9" s="1"/>
  <c r="G5" i="9" a="1"/>
  <c r="G5" i="9" s="1"/>
  <c r="K4" i="9" a="1"/>
  <c r="K4" i="9" s="1"/>
  <c r="C4" i="9" a="1"/>
  <c r="C4" i="9" s="1"/>
  <c r="AC178" i="127"/>
  <c r="AD178" i="127"/>
  <c r="AE178" i="127"/>
  <c r="AA178" i="127"/>
  <c r="AC176" i="127"/>
  <c r="AD176" i="127"/>
  <c r="AE176" i="127"/>
  <c r="AA176" i="127"/>
  <c r="AC174" i="127"/>
  <c r="AD174" i="127"/>
  <c r="AE174" i="127"/>
  <c r="AA174" i="127"/>
  <c r="AC172" i="127"/>
  <c r="AD172" i="127"/>
  <c r="AE172" i="127"/>
  <c r="AA172" i="127"/>
  <c r="AC170" i="127"/>
  <c r="AD170" i="127"/>
  <c r="AE170" i="127"/>
  <c r="AA170" i="127"/>
  <c r="AC168" i="127"/>
  <c r="AD168" i="127"/>
  <c r="AE168" i="127"/>
  <c r="AA168" i="127"/>
  <c r="AC166" i="127"/>
  <c r="AD166" i="127"/>
  <c r="AE166" i="127"/>
  <c r="AA166" i="127"/>
  <c r="AC164" i="127"/>
  <c r="AD164" i="127"/>
  <c r="AE164" i="127"/>
  <c r="AA164" i="127"/>
  <c r="AD160" i="127"/>
  <c r="AE160" i="127"/>
  <c r="AB160" i="127"/>
  <c r="AD152" i="127"/>
  <c r="AE152" i="127"/>
  <c r="AB152" i="127"/>
  <c r="AD147" i="127"/>
  <c r="AE147" i="127"/>
  <c r="AB147" i="127"/>
  <c r="AC123" i="127"/>
  <c r="AD123" i="127"/>
  <c r="AE123" i="127"/>
  <c r="AA123" i="127"/>
  <c r="AC121" i="127"/>
  <c r="AD121" i="127"/>
  <c r="AE121" i="127"/>
  <c r="AA121" i="127"/>
  <c r="AC119" i="127"/>
  <c r="AD119" i="127"/>
  <c r="AE119" i="127"/>
  <c r="AA119" i="127"/>
  <c r="AC117" i="127"/>
  <c r="AD117" i="127"/>
  <c r="AE117" i="127"/>
  <c r="AA117" i="127"/>
  <c r="AC115" i="127"/>
  <c r="AD115" i="127"/>
  <c r="AE115" i="127"/>
  <c r="AA115" i="127"/>
  <c r="AC113" i="127"/>
  <c r="AD113" i="127"/>
  <c r="AE113" i="127"/>
  <c r="AA113" i="127"/>
  <c r="AC111" i="127"/>
  <c r="AD111" i="127"/>
  <c r="AE111" i="127"/>
  <c r="AA111" i="127"/>
  <c r="C92" i="127"/>
  <c r="D92" i="127"/>
  <c r="E92" i="127"/>
  <c r="C76" i="127"/>
  <c r="D76" i="127"/>
  <c r="E76" i="127"/>
  <c r="C60" i="127"/>
  <c r="D60" i="127"/>
  <c r="E60" i="127"/>
  <c r="C48" i="127"/>
  <c r="D48" i="127"/>
  <c r="E48" i="127"/>
  <c r="C5" i="127"/>
  <c r="D5" i="127"/>
  <c r="E5" i="127"/>
  <c r="AC125" i="127"/>
  <c r="AD125" i="127"/>
  <c r="AE125" i="127"/>
  <c r="AA125" i="127"/>
  <c r="AD161" i="127"/>
  <c r="AE161" i="127"/>
  <c r="AB161" i="127"/>
  <c r="AD153" i="127"/>
  <c r="AE153" i="127"/>
  <c r="AB153" i="127"/>
  <c r="G9" i="127"/>
  <c r="AC179" i="127"/>
  <c r="AD179" i="127"/>
  <c r="AE179" i="127"/>
  <c r="AA179" i="127"/>
  <c r="AC177" i="127"/>
  <c r="AD177" i="127"/>
  <c r="AE177" i="127"/>
  <c r="AA177" i="127"/>
  <c r="AC175" i="127"/>
  <c r="AD175" i="127"/>
  <c r="AE175" i="127"/>
  <c r="AA175" i="127"/>
  <c r="AC173" i="127"/>
  <c r="AD173" i="127"/>
  <c r="AE173" i="127"/>
  <c r="AA173" i="127"/>
  <c r="AC171" i="127"/>
  <c r="AD171" i="127"/>
  <c r="AE171" i="127"/>
  <c r="AA171" i="127"/>
  <c r="AC169" i="127"/>
  <c r="AD169" i="127"/>
  <c r="AE169" i="127"/>
  <c r="AA169" i="127"/>
  <c r="AC167" i="127"/>
  <c r="AD167" i="127"/>
  <c r="AE167" i="127"/>
  <c r="AA167" i="127"/>
  <c r="AC165" i="127"/>
  <c r="AD165" i="127"/>
  <c r="AE165" i="127"/>
  <c r="AA165" i="127"/>
  <c r="AD156" i="127"/>
  <c r="AE156" i="127"/>
  <c r="AB156" i="127"/>
  <c r="AC154" i="127"/>
  <c r="AD148" i="127"/>
  <c r="AE148" i="127"/>
  <c r="AB148" i="127"/>
  <c r="AC146" i="127"/>
  <c r="D106" i="127"/>
  <c r="E106" i="127"/>
  <c r="F106" i="127"/>
  <c r="G106" i="127"/>
  <c r="G100" i="127"/>
  <c r="G84" i="127"/>
  <c r="G68" i="127"/>
  <c r="G56" i="127"/>
  <c r="AD180" i="127"/>
  <c r="AE180" i="127"/>
  <c r="AB180" i="127"/>
  <c r="AD155" i="127"/>
  <c r="AE155" i="127"/>
  <c r="AB155" i="127"/>
  <c r="AD158" i="127"/>
  <c r="AE158" i="127"/>
  <c r="AB158" i="127"/>
  <c r="AD150" i="127"/>
  <c r="AE150" i="127"/>
  <c r="AB150" i="127"/>
  <c r="H5" i="9" a="1"/>
  <c r="H5" i="9" s="1"/>
  <c r="E3" i="9" a="1"/>
  <c r="E3" i="9" s="1"/>
  <c r="AD159" i="127"/>
  <c r="AE159" i="127"/>
  <c r="AB159" i="127"/>
  <c r="AC157" i="127"/>
  <c r="AD151" i="127"/>
  <c r="AE151" i="127"/>
  <c r="AB151" i="127"/>
  <c r="AC149" i="127"/>
  <c r="G108" i="127"/>
  <c r="C9" i="127"/>
  <c r="D9" i="127"/>
  <c r="E9" i="127"/>
  <c r="C15" i="127"/>
  <c r="D15" i="127"/>
  <c r="E15" i="127"/>
  <c r="AA157" i="127"/>
  <c r="AD154" i="127"/>
  <c r="AE154" i="127"/>
  <c r="AB154" i="127"/>
  <c r="AA149" i="127"/>
  <c r="AD146" i="127"/>
  <c r="AE146" i="127"/>
  <c r="AB146" i="127"/>
  <c r="AC124" i="127"/>
  <c r="AD124" i="127"/>
  <c r="AE124" i="127"/>
  <c r="AA124" i="127"/>
  <c r="AC122" i="127"/>
  <c r="AD122" i="127"/>
  <c r="AE122" i="127"/>
  <c r="AA122" i="127"/>
  <c r="AC120" i="127"/>
  <c r="AD120" i="127"/>
  <c r="AE120" i="127"/>
  <c r="AA120" i="127"/>
  <c r="AC118" i="127"/>
  <c r="AD118" i="127"/>
  <c r="AE118" i="127"/>
  <c r="AA118" i="127"/>
  <c r="AC116" i="127"/>
  <c r="AD116" i="127"/>
  <c r="AE116" i="127"/>
  <c r="AA116" i="127"/>
  <c r="AC114" i="127"/>
  <c r="AD114" i="127"/>
  <c r="AE114" i="127"/>
  <c r="AA114" i="127"/>
  <c r="AC112" i="127"/>
  <c r="AD112" i="127"/>
  <c r="AE112" i="127"/>
  <c r="AA112" i="127"/>
  <c r="AC110" i="127"/>
  <c r="AD110" i="127"/>
  <c r="AE110" i="127"/>
  <c r="AA110" i="127"/>
  <c r="F108" i="127"/>
  <c r="C100" i="127"/>
  <c r="D100" i="127"/>
  <c r="E100" i="127"/>
  <c r="C84" i="127"/>
  <c r="D84" i="127"/>
  <c r="E84" i="127"/>
  <c r="C68" i="127"/>
  <c r="D68" i="127"/>
  <c r="E68" i="127"/>
  <c r="C56" i="127"/>
  <c r="D56" i="127"/>
  <c r="E56" i="127"/>
  <c r="C40" i="127"/>
  <c r="D40" i="127"/>
  <c r="E40" i="127"/>
  <c r="AC162" i="127"/>
  <c r="AD144" i="127"/>
  <c r="AC143" i="127"/>
  <c r="AC142" i="127"/>
  <c r="AC141" i="127"/>
  <c r="AC140" i="127"/>
  <c r="AC139" i="127"/>
  <c r="AC138" i="127"/>
  <c r="AC137" i="127"/>
  <c r="AC136" i="127"/>
  <c r="AC135" i="127"/>
  <c r="D5" i="9" a="1"/>
  <c r="D5" i="9" s="1"/>
  <c r="L4" i="9" a="1"/>
  <c r="L4" i="9" s="1"/>
  <c r="H4" i="9" a="1"/>
  <c r="H4" i="9" s="1"/>
  <c r="D4" i="9" a="1"/>
  <c r="D4" i="9" s="1"/>
  <c r="L3" i="9" a="1"/>
  <c r="L3" i="9" s="1"/>
  <c r="H3" i="9" a="1"/>
  <c r="H3" i="9" s="1"/>
  <c r="F13" i="5"/>
  <c r="F19" i="5" l="1"/>
  <c r="L23" i="5" l="1"/>
  <c r="K23" i="5"/>
  <c r="J23" i="5"/>
  <c r="I23" i="5"/>
  <c r="H23" i="5"/>
  <c r="L22" i="5"/>
  <c r="K22" i="5"/>
  <c r="J22" i="5"/>
  <c r="I22" i="5"/>
  <c r="H22" i="5"/>
  <c r="H18" i="5"/>
  <c r="I18" i="5"/>
  <c r="J18" i="5"/>
  <c r="K18" i="5"/>
  <c r="L18" i="5"/>
  <c r="F12" i="5"/>
  <c r="E391" i="5" l="1"/>
  <c r="E13" i="5" l="1"/>
  <c r="N13" i="5" s="1"/>
  <c r="U13" i="5" l="1" a="1"/>
  <c r="U13" i="5" s="1"/>
  <c r="D26" i="5"/>
  <c r="G76" i="5" l="1"/>
  <c r="M75" i="5" l="1"/>
  <c r="G75" i="5"/>
  <c r="F75" i="5"/>
  <c r="E75" i="5"/>
  <c r="N75" i="5" s="1"/>
  <c r="D75" i="5"/>
  <c r="B75" i="5"/>
  <c r="M43" i="5"/>
  <c r="G43" i="5"/>
  <c r="F43" i="5"/>
  <c r="E43" i="5"/>
  <c r="N43" i="5" s="1"/>
  <c r="U43" i="5" s="1" a="1"/>
  <c r="U43" i="5" s="1"/>
  <c r="D43" i="5"/>
  <c r="B43" i="5"/>
  <c r="D4" i="2"/>
  <c r="P75" i="5" l="1"/>
  <c r="O75" i="5"/>
  <c r="U75" i="5" a="1"/>
  <c r="U75" i="5" s="1"/>
  <c r="S75" i="5"/>
  <c r="R75" i="5"/>
  <c r="Q75" i="5"/>
  <c r="X43" i="5"/>
  <c r="W43" i="5"/>
  <c r="V43" i="5"/>
  <c r="Z43" i="5"/>
  <c r="Y43" i="5"/>
  <c r="Q43" i="5"/>
  <c r="R43" i="5"/>
  <c r="S43" i="5"/>
  <c r="O43" i="5"/>
  <c r="P43" i="5"/>
  <c r="M391" i="5"/>
  <c r="C391" i="5"/>
  <c r="F391" i="5" s="1"/>
  <c r="M390" i="5"/>
  <c r="E390" i="5"/>
  <c r="C390" i="5"/>
  <c r="F390" i="5" s="1"/>
  <c r="M389" i="5"/>
  <c r="E389" i="5"/>
  <c r="C389" i="5"/>
  <c r="D389" i="5" s="1"/>
  <c r="M388" i="5"/>
  <c r="E388" i="5"/>
  <c r="C388" i="5"/>
  <c r="M387" i="5"/>
  <c r="E387" i="5"/>
  <c r="C387" i="5"/>
  <c r="D387" i="5" s="1"/>
  <c r="M386" i="5"/>
  <c r="E386" i="5"/>
  <c r="C386" i="5"/>
  <c r="F386" i="5" s="1"/>
  <c r="M385" i="5"/>
  <c r="E385" i="5"/>
  <c r="C385" i="5"/>
  <c r="F385" i="5" s="1"/>
  <c r="M384" i="5"/>
  <c r="E384" i="5"/>
  <c r="C384" i="5"/>
  <c r="D384" i="5" s="1"/>
  <c r="M383" i="5"/>
  <c r="E383" i="5"/>
  <c r="C383" i="5"/>
  <c r="D383" i="5" s="1"/>
  <c r="M382" i="5"/>
  <c r="E382" i="5"/>
  <c r="C382" i="5"/>
  <c r="B382" i="5" s="1"/>
  <c r="M381" i="5"/>
  <c r="E381" i="5"/>
  <c r="C381" i="5"/>
  <c r="B381" i="5" s="1"/>
  <c r="M380" i="5"/>
  <c r="E380" i="5"/>
  <c r="C380" i="5"/>
  <c r="F380" i="5" s="1"/>
  <c r="M379" i="5"/>
  <c r="E379" i="5"/>
  <c r="C379" i="5"/>
  <c r="F379" i="5" s="1"/>
  <c r="M378" i="5"/>
  <c r="E378" i="5"/>
  <c r="C378" i="5"/>
  <c r="D378" i="5" s="1"/>
  <c r="M377" i="5"/>
  <c r="E377" i="5"/>
  <c r="C377" i="5"/>
  <c r="F377" i="5" s="1"/>
  <c r="M376" i="5"/>
  <c r="E376" i="5"/>
  <c r="C376" i="5"/>
  <c r="AA43" i="5" l="1"/>
  <c r="T43" i="5"/>
  <c r="G376" i="5"/>
  <c r="T75" i="5"/>
  <c r="Z75" i="5"/>
  <c r="Y75" i="5"/>
  <c r="X75" i="5"/>
  <c r="W75" i="5"/>
  <c r="V75" i="5"/>
  <c r="F383" i="5"/>
  <c r="G386" i="5"/>
  <c r="N386" i="5"/>
  <c r="Q386" i="5" s="1"/>
  <c r="B390" i="5"/>
  <c r="G390" i="5"/>
  <c r="N390" i="5"/>
  <c r="O390" i="5" s="1"/>
  <c r="B391" i="5"/>
  <c r="G391" i="5"/>
  <c r="N391" i="5"/>
  <c r="P391" i="5" s="1"/>
  <c r="D390" i="5"/>
  <c r="G388" i="5"/>
  <c r="B377" i="5"/>
  <c r="B389" i="5"/>
  <c r="G380" i="5"/>
  <c r="N383" i="5"/>
  <c r="U383" i="5" s="1" a="1"/>
  <c r="U383" i="5" s="1"/>
  <c r="B379" i="5"/>
  <c r="B387" i="5"/>
  <c r="D379" i="5"/>
  <c r="N379" i="5"/>
  <c r="Q379" i="5" s="1"/>
  <c r="N376" i="5"/>
  <c r="P376" i="5" s="1"/>
  <c r="N381" i="5"/>
  <c r="S381" i="5" s="1"/>
  <c r="D385" i="5"/>
  <c r="N388" i="5"/>
  <c r="O388" i="5" s="1"/>
  <c r="N377" i="5"/>
  <c r="O377" i="5" s="1"/>
  <c r="G382" i="5"/>
  <c r="F384" i="5"/>
  <c r="G387" i="5"/>
  <c r="N389" i="5"/>
  <c r="Q389" i="5" s="1"/>
  <c r="B380" i="5"/>
  <c r="F382" i="5"/>
  <c r="G384" i="5"/>
  <c r="F387" i="5"/>
  <c r="D382" i="5"/>
  <c r="N385" i="5"/>
  <c r="S385" i="5" s="1"/>
  <c r="N384" i="5"/>
  <c r="U384" i="5" s="1" a="1"/>
  <c r="U384" i="5" s="1"/>
  <c r="X384" i="5" s="1"/>
  <c r="N387" i="5"/>
  <c r="R387" i="5" s="1"/>
  <c r="G385" i="5"/>
  <c r="N378" i="5"/>
  <c r="Q378" i="5" s="1"/>
  <c r="B383" i="5"/>
  <c r="B386" i="5"/>
  <c r="B376" i="5"/>
  <c r="B385" i="5"/>
  <c r="B388" i="5"/>
  <c r="D381" i="5"/>
  <c r="B378" i="5"/>
  <c r="D380" i="5"/>
  <c r="G383" i="5"/>
  <c r="D377" i="5"/>
  <c r="N382" i="5"/>
  <c r="D376" i="5"/>
  <c r="F378" i="5"/>
  <c r="G379" i="5"/>
  <c r="D388" i="5"/>
  <c r="F381" i="5"/>
  <c r="F389" i="5"/>
  <c r="G381" i="5"/>
  <c r="G378" i="5"/>
  <c r="N380" i="5"/>
  <c r="F376" i="5"/>
  <c r="G377" i="5"/>
  <c r="B384" i="5"/>
  <c r="D386" i="5"/>
  <c r="F388" i="5"/>
  <c r="G389" i="5"/>
  <c r="AA75" i="5" l="1"/>
  <c r="P386" i="5"/>
  <c r="U386" i="5" a="1"/>
  <c r="U386" i="5" s="1"/>
  <c r="X386" i="5" s="1"/>
  <c r="Q390" i="5"/>
  <c r="S386" i="5"/>
  <c r="R386" i="5"/>
  <c r="O386" i="5"/>
  <c r="Q391" i="5"/>
  <c r="P390" i="5"/>
  <c r="U390" i="5" a="1"/>
  <c r="U390" i="5" s="1"/>
  <c r="Z390" i="5" s="1"/>
  <c r="O391" i="5"/>
  <c r="S390" i="5"/>
  <c r="R390" i="5"/>
  <c r="P383" i="5"/>
  <c r="Q383" i="5"/>
  <c r="S391" i="5"/>
  <c r="R383" i="5"/>
  <c r="O383" i="5"/>
  <c r="S383" i="5"/>
  <c r="R391" i="5"/>
  <c r="O378" i="5"/>
  <c r="U391" i="5" a="1"/>
  <c r="U391" i="5" s="1"/>
  <c r="V391" i="5" s="1"/>
  <c r="Q388" i="5"/>
  <c r="P388" i="5"/>
  <c r="R376" i="5"/>
  <c r="O376" i="5"/>
  <c r="O379" i="5"/>
  <c r="P379" i="5"/>
  <c r="U379" i="5" a="1"/>
  <c r="U379" i="5" s="1"/>
  <c r="Z379" i="5" s="1"/>
  <c r="R379" i="5"/>
  <c r="S379" i="5"/>
  <c r="Q376" i="5"/>
  <c r="S378" i="5"/>
  <c r="U376" i="5" a="1"/>
  <c r="U376" i="5" s="1"/>
  <c r="Y376" i="5" s="1"/>
  <c r="S376" i="5"/>
  <c r="R385" i="5"/>
  <c r="W384" i="5"/>
  <c r="S388" i="5"/>
  <c r="Q387" i="5"/>
  <c r="O384" i="5"/>
  <c r="U388" i="5" a="1"/>
  <c r="U388" i="5" s="1"/>
  <c r="W388" i="5" s="1"/>
  <c r="V384" i="5"/>
  <c r="Q377" i="5"/>
  <c r="U381" i="5" a="1"/>
  <c r="U381" i="5" s="1"/>
  <c r="X381" i="5" s="1"/>
  <c r="Z384" i="5"/>
  <c r="R377" i="5"/>
  <c r="O381" i="5"/>
  <c r="P384" i="5"/>
  <c r="R388" i="5"/>
  <c r="U387" i="5" a="1"/>
  <c r="U387" i="5" s="1"/>
  <c r="X387" i="5" s="1"/>
  <c r="U377" i="5" a="1"/>
  <c r="U377" i="5" s="1"/>
  <c r="Z377" i="5" s="1"/>
  <c r="P381" i="5"/>
  <c r="P377" i="5"/>
  <c r="Q381" i="5"/>
  <c r="Q384" i="5"/>
  <c r="S377" i="5"/>
  <c r="R381" i="5"/>
  <c r="S384" i="5"/>
  <c r="S387" i="5"/>
  <c r="O387" i="5"/>
  <c r="P387" i="5"/>
  <c r="R384" i="5"/>
  <c r="R378" i="5"/>
  <c r="P378" i="5"/>
  <c r="Y384" i="5"/>
  <c r="U378" i="5" a="1"/>
  <c r="U378" i="5" s="1"/>
  <c r="W378" i="5" s="1"/>
  <c r="R389" i="5"/>
  <c r="S389" i="5"/>
  <c r="U389" i="5" a="1"/>
  <c r="U389" i="5" s="1"/>
  <c r="X389" i="5" s="1"/>
  <c r="P389" i="5"/>
  <c r="U385" i="5" a="1"/>
  <c r="U385" i="5" s="1"/>
  <c r="Q385" i="5"/>
  <c r="P385" i="5"/>
  <c r="O385" i="5"/>
  <c r="O389" i="5"/>
  <c r="R380" i="5"/>
  <c r="S380" i="5"/>
  <c r="Q380" i="5"/>
  <c r="P380" i="5"/>
  <c r="O380" i="5"/>
  <c r="U380" i="5" a="1"/>
  <c r="U380" i="5" s="1"/>
  <c r="Z383" i="5"/>
  <c r="Y383" i="5"/>
  <c r="X383" i="5"/>
  <c r="V383" i="5"/>
  <c r="W383" i="5"/>
  <c r="S382" i="5"/>
  <c r="R382" i="5"/>
  <c r="Q382" i="5"/>
  <c r="P382" i="5"/>
  <c r="U382" i="5" a="1"/>
  <c r="U382" i="5" s="1"/>
  <c r="O382" i="5"/>
  <c r="T386" i="5" l="1"/>
  <c r="V386" i="5"/>
  <c r="W386" i="5"/>
  <c r="Y386" i="5"/>
  <c r="Z386" i="5"/>
  <c r="W390" i="5"/>
  <c r="T383" i="5"/>
  <c r="V390" i="5"/>
  <c r="Y390" i="5"/>
  <c r="X390" i="5"/>
  <c r="T390" i="5"/>
  <c r="T391" i="5"/>
  <c r="W391" i="5"/>
  <c r="T388" i="5"/>
  <c r="X391" i="5"/>
  <c r="Y391" i="5"/>
  <c r="Z391" i="5"/>
  <c r="W376" i="5"/>
  <c r="X376" i="5"/>
  <c r="Z376" i="5"/>
  <c r="V376" i="5"/>
  <c r="T379" i="5"/>
  <c r="Y379" i="5"/>
  <c r="Y387" i="5"/>
  <c r="W379" i="5"/>
  <c r="X379" i="5"/>
  <c r="T376" i="5"/>
  <c r="W387" i="5"/>
  <c r="V379" i="5"/>
  <c r="T378" i="5"/>
  <c r="V388" i="5"/>
  <c r="X388" i="5"/>
  <c r="Z388" i="5"/>
  <c r="Y388" i="5"/>
  <c r="AA384" i="5"/>
  <c r="V381" i="5"/>
  <c r="V378" i="5"/>
  <c r="T385" i="5"/>
  <c r="T377" i="5"/>
  <c r="X378" i="5"/>
  <c r="Z387" i="5"/>
  <c r="Y378" i="5"/>
  <c r="V387" i="5"/>
  <c r="Z378" i="5"/>
  <c r="T387" i="5"/>
  <c r="T381" i="5"/>
  <c r="Y381" i="5"/>
  <c r="W381" i="5"/>
  <c r="Z381" i="5"/>
  <c r="W377" i="5"/>
  <c r="V377" i="5"/>
  <c r="X377" i="5"/>
  <c r="Y389" i="5"/>
  <c r="T384" i="5"/>
  <c r="Y377" i="5"/>
  <c r="T389" i="5"/>
  <c r="Z389" i="5"/>
  <c r="V389" i="5"/>
  <c r="W389" i="5"/>
  <c r="V385" i="5"/>
  <c r="X385" i="5"/>
  <c r="Z385" i="5"/>
  <c r="W385" i="5"/>
  <c r="Y385" i="5"/>
  <c r="AA383" i="5"/>
  <c r="T382" i="5"/>
  <c r="Y382" i="5"/>
  <c r="X382" i="5"/>
  <c r="W382" i="5"/>
  <c r="Z382" i="5"/>
  <c r="V382" i="5"/>
  <c r="V380" i="5"/>
  <c r="Z380" i="5"/>
  <c r="Y380" i="5"/>
  <c r="X380" i="5"/>
  <c r="W380" i="5"/>
  <c r="T380" i="5"/>
  <c r="AA386" i="5" l="1"/>
  <c r="AA391" i="5"/>
  <c r="AA376" i="5"/>
  <c r="AA390" i="5"/>
  <c r="AA387" i="5"/>
  <c r="AA379" i="5"/>
  <c r="AA378" i="5"/>
  <c r="AA388" i="5"/>
  <c r="AA381" i="5"/>
  <c r="AA377" i="5"/>
  <c r="AA389" i="5"/>
  <c r="AA385" i="5"/>
  <c r="AA382" i="5"/>
  <c r="AA380" i="5"/>
  <c r="M73" i="5" l="1"/>
  <c r="M74" i="5"/>
  <c r="D73" i="5"/>
  <c r="E73" i="5"/>
  <c r="N73" i="5" s="1"/>
  <c r="O73" i="5" s="1"/>
  <c r="F73" i="5"/>
  <c r="G73" i="5"/>
  <c r="D74" i="5"/>
  <c r="E74" i="5"/>
  <c r="N74" i="5" s="1"/>
  <c r="U74" i="5" s="1" a="1"/>
  <c r="U74" i="5" s="1"/>
  <c r="F74" i="5"/>
  <c r="G74" i="5"/>
  <c r="B73" i="5"/>
  <c r="B74" i="5"/>
  <c r="V74" i="5" l="1"/>
  <c r="W74" i="5"/>
  <c r="X74" i="5"/>
  <c r="Y74" i="5"/>
  <c r="Z74" i="5"/>
  <c r="S74" i="5"/>
  <c r="R74" i="5"/>
  <c r="U73" i="5" a="1"/>
  <c r="U73" i="5" s="1"/>
  <c r="O74" i="5"/>
  <c r="S73" i="5"/>
  <c r="R73" i="5"/>
  <c r="Q73" i="5"/>
  <c r="P73" i="5"/>
  <c r="Q74" i="5"/>
  <c r="P74" i="5"/>
  <c r="T73" i="5" l="1"/>
  <c r="AA74" i="5"/>
  <c r="X73" i="5"/>
  <c r="Z73" i="5"/>
  <c r="V73" i="5"/>
  <c r="W73" i="5"/>
  <c r="Y73" i="5"/>
  <c r="T74" i="5"/>
  <c r="AA73" i="5" l="1"/>
  <c r="C133" i="5" l="1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F16" i="5" l="1"/>
  <c r="F21" i="5"/>
  <c r="H21" i="5" s="1"/>
  <c r="F17" i="5"/>
  <c r="M157" i="5"/>
  <c r="E157" i="5"/>
  <c r="G157" i="5" s="1"/>
  <c r="F157" i="5"/>
  <c r="B157" i="5"/>
  <c r="N157" i="5" l="1"/>
  <c r="D157" i="5"/>
  <c r="U157" i="5" l="1" a="1"/>
  <c r="U157" i="5" s="1"/>
  <c r="S157" i="5"/>
  <c r="R157" i="5"/>
  <c r="Q157" i="5"/>
  <c r="O157" i="5"/>
  <c r="P157" i="5"/>
  <c r="T157" i="5" l="1"/>
  <c r="Z157" i="5"/>
  <c r="Y157" i="5"/>
  <c r="X157" i="5"/>
  <c r="W157" i="5"/>
  <c r="V157" i="5"/>
  <c r="AA157" i="5" l="1"/>
  <c r="E5" i="5" l="1"/>
  <c r="AZ11" i="5" l="1"/>
  <c r="AZ25" i="5" s="1"/>
  <c r="AZ105" i="5" s="1"/>
  <c r="AZ122" i="5" s="1"/>
  <c r="AZ10" i="5"/>
  <c r="AZ9" i="5"/>
  <c r="AZ8" i="5"/>
  <c r="AZ7" i="5"/>
  <c r="AZ6" i="5"/>
  <c r="AZ5" i="5"/>
  <c r="M300" i="5"/>
  <c r="E300" i="5"/>
  <c r="D300" i="5"/>
  <c r="C132" i="5"/>
  <c r="C131" i="5"/>
  <c r="C130" i="5"/>
  <c r="C129" i="5"/>
  <c r="C128" i="5"/>
  <c r="C127" i="5"/>
  <c r="C126" i="5"/>
  <c r="C125" i="5"/>
  <c r="G300" i="5" l="1"/>
  <c r="F300" i="5"/>
  <c r="N300" i="5"/>
  <c r="U300" i="5" s="1" a="1"/>
  <c r="U300" i="5" s="1"/>
  <c r="B300" i="5"/>
  <c r="Q300" i="5" l="1"/>
  <c r="P300" i="5"/>
  <c r="S300" i="5"/>
  <c r="O300" i="5"/>
  <c r="R300" i="5"/>
  <c r="T300" i="5" l="1"/>
  <c r="X300" i="5"/>
  <c r="W300" i="5"/>
  <c r="Z300" i="5"/>
  <c r="V300" i="5"/>
  <c r="Y300" i="5"/>
  <c r="AA300" i="5" l="1"/>
  <c r="B246" i="5" l="1"/>
  <c r="B248" i="5"/>
  <c r="D249" i="5"/>
  <c r="F250" i="5"/>
  <c r="D252" i="5"/>
  <c r="F253" i="5"/>
  <c r="F260" i="5"/>
  <c r="M253" i="5"/>
  <c r="E253" i="5"/>
  <c r="M252" i="5"/>
  <c r="E252" i="5"/>
  <c r="M251" i="5"/>
  <c r="F251" i="5"/>
  <c r="E251" i="5"/>
  <c r="D251" i="5"/>
  <c r="B251" i="5"/>
  <c r="M250" i="5"/>
  <c r="E250" i="5"/>
  <c r="N250" i="5" s="1"/>
  <c r="U250" i="5" s="1" a="1"/>
  <c r="U250" i="5" s="1"/>
  <c r="M249" i="5"/>
  <c r="E249" i="5"/>
  <c r="M248" i="5"/>
  <c r="E248" i="5"/>
  <c r="N248" i="5" s="1"/>
  <c r="U248" i="5" s="1" a="1"/>
  <c r="U248" i="5" s="1"/>
  <c r="M247" i="5"/>
  <c r="F247" i="5"/>
  <c r="E247" i="5"/>
  <c r="G247" i="5" s="1"/>
  <c r="D247" i="5"/>
  <c r="B247" i="5"/>
  <c r="M246" i="5"/>
  <c r="E246" i="5"/>
  <c r="N246" i="5" s="1"/>
  <c r="U246" i="5" s="1" a="1"/>
  <c r="U246" i="5" s="1"/>
  <c r="D246" i="5"/>
  <c r="M260" i="5"/>
  <c r="E260" i="5"/>
  <c r="B253" i="5" l="1"/>
  <c r="G249" i="5"/>
  <c r="F249" i="5"/>
  <c r="D253" i="5"/>
  <c r="B249" i="5"/>
  <c r="N247" i="5"/>
  <c r="R247" i="5" s="1"/>
  <c r="D248" i="5"/>
  <c r="B250" i="5"/>
  <c r="G253" i="5"/>
  <c r="G252" i="5"/>
  <c r="G246" i="5"/>
  <c r="R246" i="5"/>
  <c r="N249" i="5"/>
  <c r="U249" i="5" s="1" a="1"/>
  <c r="U249" i="5" s="1"/>
  <c r="D250" i="5"/>
  <c r="G250" i="5"/>
  <c r="F246" i="5"/>
  <c r="G248" i="5"/>
  <c r="F252" i="5"/>
  <c r="F248" i="5"/>
  <c r="B252" i="5"/>
  <c r="W246" i="5"/>
  <c r="Z246" i="5"/>
  <c r="V246" i="5"/>
  <c r="X246" i="5"/>
  <c r="Y246" i="5"/>
  <c r="Q248" i="5"/>
  <c r="P248" i="5"/>
  <c r="S248" i="5"/>
  <c r="O248" i="5"/>
  <c r="Q250" i="5"/>
  <c r="P250" i="5"/>
  <c r="S250" i="5"/>
  <c r="O250" i="5"/>
  <c r="R248" i="5"/>
  <c r="R250" i="5"/>
  <c r="G251" i="5"/>
  <c r="N251" i="5"/>
  <c r="U251" i="5" s="1" a="1"/>
  <c r="U251" i="5" s="1"/>
  <c r="P246" i="5"/>
  <c r="S246" i="5"/>
  <c r="O246" i="5"/>
  <c r="D260" i="5"/>
  <c r="Q246" i="5"/>
  <c r="N252" i="5"/>
  <c r="U252" i="5" s="1" a="1"/>
  <c r="U252" i="5" s="1"/>
  <c r="N253" i="5"/>
  <c r="U253" i="5" s="1" a="1"/>
  <c r="U253" i="5" s="1"/>
  <c r="G260" i="5"/>
  <c r="N260" i="5"/>
  <c r="U260" i="5" s="1" a="1"/>
  <c r="U260" i="5" s="1"/>
  <c r="B260" i="5"/>
  <c r="Q247" i="5" l="1"/>
  <c r="S247" i="5"/>
  <c r="U247" i="5" a="1"/>
  <c r="U247" i="5" s="1"/>
  <c r="W247" i="5" s="1"/>
  <c r="P247" i="5"/>
  <c r="T246" i="5"/>
  <c r="AA246" i="5"/>
  <c r="O247" i="5"/>
  <c r="T250" i="5"/>
  <c r="T248" i="5"/>
  <c r="S249" i="5"/>
  <c r="Z249" i="5"/>
  <c r="P249" i="5"/>
  <c r="Q249" i="5"/>
  <c r="R249" i="5"/>
  <c r="O249" i="5"/>
  <c r="X248" i="5"/>
  <c r="W248" i="5"/>
  <c r="Z248" i="5"/>
  <c r="V248" i="5"/>
  <c r="Y248" i="5"/>
  <c r="Q253" i="5"/>
  <c r="P253" i="5"/>
  <c r="S253" i="5"/>
  <c r="O253" i="5"/>
  <c r="R253" i="5"/>
  <c r="Q252" i="5"/>
  <c r="P252" i="5"/>
  <c r="S252" i="5"/>
  <c r="O252" i="5"/>
  <c r="R252" i="5"/>
  <c r="Q251" i="5"/>
  <c r="P251" i="5"/>
  <c r="S251" i="5"/>
  <c r="O251" i="5"/>
  <c r="R251" i="5"/>
  <c r="X250" i="5"/>
  <c r="W250" i="5"/>
  <c r="Z250" i="5"/>
  <c r="V250" i="5"/>
  <c r="Y250" i="5"/>
  <c r="Q260" i="5"/>
  <c r="P260" i="5"/>
  <c r="S260" i="5"/>
  <c r="O260" i="5"/>
  <c r="R260" i="5"/>
  <c r="T247" i="5" l="1"/>
  <c r="AA250" i="5"/>
  <c r="AA248" i="5"/>
  <c r="T251" i="5"/>
  <c r="T249" i="5"/>
  <c r="X247" i="5"/>
  <c r="T252" i="5"/>
  <c r="T260" i="5"/>
  <c r="T253" i="5"/>
  <c r="Z247" i="5"/>
  <c r="Y247" i="5"/>
  <c r="V247" i="5"/>
  <c r="W249" i="5"/>
  <c r="X249" i="5"/>
  <c r="Y249" i="5"/>
  <c r="V249" i="5"/>
  <c r="X251" i="5"/>
  <c r="W251" i="5"/>
  <c r="Z251" i="5"/>
  <c r="V251" i="5"/>
  <c r="Y251" i="5"/>
  <c r="X253" i="5"/>
  <c r="W253" i="5"/>
  <c r="Z253" i="5"/>
  <c r="V253" i="5"/>
  <c r="Y253" i="5"/>
  <c r="X252" i="5"/>
  <c r="W252" i="5"/>
  <c r="Z252" i="5"/>
  <c r="V252" i="5"/>
  <c r="Y252" i="5"/>
  <c r="X260" i="5"/>
  <c r="W260" i="5"/>
  <c r="Z260" i="5"/>
  <c r="V260" i="5"/>
  <c r="Y260" i="5"/>
  <c r="AA253" i="5" l="1"/>
  <c r="AA247" i="5"/>
  <c r="AA251" i="5"/>
  <c r="AA249" i="5"/>
  <c r="AA260" i="5"/>
  <c r="AA252" i="5"/>
  <c r="O107" i="5" l="1"/>
  <c r="P107" i="5"/>
  <c r="Q107" i="5"/>
  <c r="R107" i="5"/>
  <c r="S107" i="5"/>
  <c r="O118" i="5"/>
  <c r="P118" i="5"/>
  <c r="Q118" i="5"/>
  <c r="R118" i="5"/>
  <c r="S118" i="5"/>
  <c r="O119" i="5"/>
  <c r="P119" i="5"/>
  <c r="Q119" i="5"/>
  <c r="R119" i="5"/>
  <c r="S119" i="5"/>
  <c r="O120" i="5"/>
  <c r="P120" i="5"/>
  <c r="Q120" i="5"/>
  <c r="R120" i="5"/>
  <c r="S120" i="5"/>
  <c r="P106" i="5"/>
  <c r="Q106" i="5"/>
  <c r="R106" i="5"/>
  <c r="S106" i="5"/>
  <c r="O106" i="5"/>
  <c r="E9" i="5"/>
  <c r="E7" i="5"/>
  <c r="E8" i="5"/>
  <c r="E6" i="5"/>
  <c r="A9" i="5" l="1"/>
  <c r="N9" i="5" l="1"/>
  <c r="U9" i="5" s="1" a="1"/>
  <c r="U9" i="5" s="1"/>
  <c r="M72" i="5" l="1"/>
  <c r="G72" i="5"/>
  <c r="F72" i="5"/>
  <c r="E72" i="5"/>
  <c r="N72" i="5" s="1"/>
  <c r="U72" i="5" s="1" a="1"/>
  <c r="U72" i="5" s="1"/>
  <c r="D72" i="5"/>
  <c r="B72" i="5"/>
  <c r="B102" i="5"/>
  <c r="D102" i="5"/>
  <c r="E102" i="5"/>
  <c r="N102" i="5" s="1"/>
  <c r="U102" i="5" s="1" a="1"/>
  <c r="U102" i="5" s="1"/>
  <c r="F102" i="5"/>
  <c r="G102" i="5"/>
  <c r="M102" i="5"/>
  <c r="M90" i="5"/>
  <c r="G90" i="5"/>
  <c r="F90" i="5"/>
  <c r="E90" i="5"/>
  <c r="N90" i="5" s="1"/>
  <c r="U90" i="5" s="1" a="1"/>
  <c r="U90" i="5" s="1"/>
  <c r="D90" i="5"/>
  <c r="B90" i="5"/>
  <c r="M89" i="5"/>
  <c r="G89" i="5"/>
  <c r="F89" i="5"/>
  <c r="E89" i="5"/>
  <c r="N89" i="5" s="1"/>
  <c r="U89" i="5" s="1" a="1"/>
  <c r="U89" i="5" s="1"/>
  <c r="D89" i="5"/>
  <c r="B89" i="5"/>
  <c r="M88" i="5"/>
  <c r="G88" i="5"/>
  <c r="F88" i="5"/>
  <c r="E88" i="5"/>
  <c r="N88" i="5" s="1"/>
  <c r="U88" i="5" s="1" a="1"/>
  <c r="U88" i="5" s="1"/>
  <c r="D88" i="5"/>
  <c r="B88" i="5"/>
  <c r="M87" i="5"/>
  <c r="G87" i="5"/>
  <c r="F87" i="5"/>
  <c r="E87" i="5"/>
  <c r="N87" i="5" s="1"/>
  <c r="U87" i="5" s="1" a="1"/>
  <c r="U87" i="5" s="1"/>
  <c r="D87" i="5"/>
  <c r="B87" i="5"/>
  <c r="M86" i="5"/>
  <c r="G86" i="5"/>
  <c r="F86" i="5"/>
  <c r="E86" i="5"/>
  <c r="N86" i="5" s="1"/>
  <c r="U86" i="5" s="1" a="1"/>
  <c r="U86" i="5" s="1"/>
  <c r="D86" i="5"/>
  <c r="B86" i="5"/>
  <c r="M85" i="5"/>
  <c r="G85" i="5"/>
  <c r="F85" i="5"/>
  <c r="E85" i="5"/>
  <c r="N85" i="5" s="1"/>
  <c r="U85" i="5" s="1" a="1"/>
  <c r="U85" i="5" s="1"/>
  <c r="D85" i="5"/>
  <c r="B85" i="5"/>
  <c r="M84" i="5"/>
  <c r="G84" i="5"/>
  <c r="F84" i="5"/>
  <c r="E84" i="5"/>
  <c r="N84" i="5" s="1"/>
  <c r="U84" i="5" s="1" a="1"/>
  <c r="U84" i="5" s="1"/>
  <c r="D84" i="5"/>
  <c r="B84" i="5"/>
  <c r="M83" i="5"/>
  <c r="G83" i="5"/>
  <c r="F83" i="5"/>
  <c r="E83" i="5"/>
  <c r="N83" i="5" s="1"/>
  <c r="U83" i="5" s="1" a="1"/>
  <c r="U83" i="5" s="1"/>
  <c r="D83" i="5"/>
  <c r="B83" i="5"/>
  <c r="M82" i="5"/>
  <c r="G82" i="5"/>
  <c r="F82" i="5"/>
  <c r="E82" i="5"/>
  <c r="N82" i="5" s="1"/>
  <c r="U82" i="5" s="1" a="1"/>
  <c r="U82" i="5" s="1"/>
  <c r="D82" i="5"/>
  <c r="B82" i="5"/>
  <c r="M81" i="5"/>
  <c r="G81" i="5"/>
  <c r="F81" i="5"/>
  <c r="E81" i="5"/>
  <c r="N81" i="5" s="1"/>
  <c r="U81" i="5" s="1" a="1"/>
  <c r="U81" i="5" s="1"/>
  <c r="D81" i="5"/>
  <c r="B81" i="5"/>
  <c r="M80" i="5"/>
  <c r="G80" i="5"/>
  <c r="F80" i="5"/>
  <c r="E80" i="5"/>
  <c r="N80" i="5" s="1"/>
  <c r="U80" i="5" s="1" a="1"/>
  <c r="U80" i="5" s="1"/>
  <c r="D80" i="5"/>
  <c r="B80" i="5"/>
  <c r="M79" i="5"/>
  <c r="G79" i="5"/>
  <c r="F79" i="5"/>
  <c r="E79" i="5"/>
  <c r="N79" i="5" s="1"/>
  <c r="U79" i="5" s="1" a="1"/>
  <c r="U79" i="5" s="1"/>
  <c r="D79" i="5"/>
  <c r="B79" i="5"/>
  <c r="M78" i="5"/>
  <c r="G78" i="5"/>
  <c r="F78" i="5"/>
  <c r="E78" i="5"/>
  <c r="N78" i="5" s="1"/>
  <c r="U78" i="5" s="1" a="1"/>
  <c r="U78" i="5" s="1"/>
  <c r="D78" i="5"/>
  <c r="B78" i="5"/>
  <c r="M77" i="5"/>
  <c r="G77" i="5"/>
  <c r="F77" i="5"/>
  <c r="E77" i="5"/>
  <c r="N77" i="5" s="1"/>
  <c r="U77" i="5" s="1" a="1"/>
  <c r="U77" i="5" s="1"/>
  <c r="D77" i="5"/>
  <c r="B77" i="5"/>
  <c r="M76" i="5"/>
  <c r="F76" i="5"/>
  <c r="E76" i="5"/>
  <c r="N76" i="5" s="1"/>
  <c r="U76" i="5" s="1" a="1"/>
  <c r="U76" i="5" s="1"/>
  <c r="D76" i="5"/>
  <c r="B76" i="5"/>
  <c r="M71" i="5"/>
  <c r="G71" i="5"/>
  <c r="F71" i="5"/>
  <c r="E71" i="5"/>
  <c r="N71" i="5" s="1"/>
  <c r="U71" i="5" s="1" a="1"/>
  <c r="U71" i="5" s="1"/>
  <c r="D71" i="5"/>
  <c r="B71" i="5"/>
  <c r="M98" i="5"/>
  <c r="G98" i="5"/>
  <c r="F98" i="5"/>
  <c r="E98" i="5"/>
  <c r="N98" i="5" s="1"/>
  <c r="U98" i="5" s="1" a="1"/>
  <c r="U98" i="5" s="1"/>
  <c r="D98" i="5"/>
  <c r="B98" i="5"/>
  <c r="M97" i="5"/>
  <c r="G97" i="5"/>
  <c r="F97" i="5"/>
  <c r="E97" i="5"/>
  <c r="N97" i="5" s="1"/>
  <c r="U97" i="5" s="1" a="1"/>
  <c r="U97" i="5" s="1"/>
  <c r="D97" i="5"/>
  <c r="B97" i="5"/>
  <c r="M96" i="5"/>
  <c r="G96" i="5"/>
  <c r="F96" i="5"/>
  <c r="E96" i="5"/>
  <c r="N96" i="5" s="1"/>
  <c r="U96" i="5" s="1" a="1"/>
  <c r="U96" i="5" s="1"/>
  <c r="D96" i="5"/>
  <c r="B96" i="5"/>
  <c r="M95" i="5"/>
  <c r="G95" i="5"/>
  <c r="F95" i="5"/>
  <c r="E95" i="5"/>
  <c r="N95" i="5" s="1"/>
  <c r="U95" i="5" s="1" a="1"/>
  <c r="U95" i="5" s="1"/>
  <c r="D95" i="5"/>
  <c r="B95" i="5"/>
  <c r="M94" i="5"/>
  <c r="G94" i="5"/>
  <c r="F94" i="5"/>
  <c r="E94" i="5"/>
  <c r="N94" i="5" s="1"/>
  <c r="U94" i="5" s="1" a="1"/>
  <c r="U94" i="5" s="1"/>
  <c r="D94" i="5"/>
  <c r="B94" i="5"/>
  <c r="M93" i="5"/>
  <c r="G93" i="5"/>
  <c r="F93" i="5"/>
  <c r="E93" i="5"/>
  <c r="N93" i="5" s="1"/>
  <c r="U93" i="5" s="1" a="1"/>
  <c r="U93" i="5" s="1"/>
  <c r="D93" i="5"/>
  <c r="B93" i="5"/>
  <c r="M92" i="5"/>
  <c r="G92" i="5"/>
  <c r="F92" i="5"/>
  <c r="E92" i="5"/>
  <c r="N92" i="5" s="1"/>
  <c r="U92" i="5" s="1" a="1"/>
  <c r="U92" i="5" s="1"/>
  <c r="D92" i="5"/>
  <c r="B92" i="5"/>
  <c r="M91" i="5"/>
  <c r="G91" i="5"/>
  <c r="F91" i="5"/>
  <c r="E91" i="5"/>
  <c r="N91" i="5" s="1"/>
  <c r="U91" i="5" s="1" a="1"/>
  <c r="U91" i="5" s="1"/>
  <c r="D91" i="5"/>
  <c r="B91" i="5"/>
  <c r="M101" i="5"/>
  <c r="G101" i="5"/>
  <c r="F101" i="5"/>
  <c r="E101" i="5"/>
  <c r="N101" i="5" s="1"/>
  <c r="U101" i="5" s="1" a="1"/>
  <c r="U101" i="5" s="1"/>
  <c r="D101" i="5"/>
  <c r="B101" i="5"/>
  <c r="M100" i="5"/>
  <c r="G100" i="5"/>
  <c r="F100" i="5"/>
  <c r="E100" i="5"/>
  <c r="N100" i="5" s="1"/>
  <c r="U100" i="5" s="1" a="1"/>
  <c r="U100" i="5" s="1"/>
  <c r="D100" i="5"/>
  <c r="B100" i="5"/>
  <c r="M99" i="5"/>
  <c r="G99" i="5"/>
  <c r="F99" i="5"/>
  <c r="E99" i="5"/>
  <c r="N99" i="5" s="1"/>
  <c r="U99" i="5" s="1" a="1"/>
  <c r="U99" i="5" s="1"/>
  <c r="D99" i="5"/>
  <c r="B99" i="5"/>
  <c r="O99" i="5" l="1"/>
  <c r="S99" i="5"/>
  <c r="R99" i="5"/>
  <c r="P99" i="5"/>
  <c r="Q99" i="5"/>
  <c r="R96" i="5"/>
  <c r="O96" i="5"/>
  <c r="S96" i="5"/>
  <c r="P96" i="5"/>
  <c r="Q96" i="5"/>
  <c r="P78" i="5"/>
  <c r="Q78" i="5"/>
  <c r="O78" i="5"/>
  <c r="R78" i="5"/>
  <c r="S78" i="5"/>
  <c r="P86" i="5"/>
  <c r="O86" i="5"/>
  <c r="Q86" i="5"/>
  <c r="R86" i="5"/>
  <c r="S86" i="5"/>
  <c r="O72" i="5"/>
  <c r="S72" i="5"/>
  <c r="Q72" i="5"/>
  <c r="R72" i="5"/>
  <c r="P72" i="5"/>
  <c r="Q101" i="5"/>
  <c r="R101" i="5"/>
  <c r="P101" i="5"/>
  <c r="O101" i="5"/>
  <c r="S101" i="5"/>
  <c r="P94" i="5"/>
  <c r="O94" i="5"/>
  <c r="Q94" i="5"/>
  <c r="S94" i="5"/>
  <c r="R94" i="5"/>
  <c r="R76" i="5"/>
  <c r="P76" i="5"/>
  <c r="O76" i="5"/>
  <c r="Q76" i="5"/>
  <c r="S76" i="5"/>
  <c r="R80" i="5"/>
  <c r="O80" i="5"/>
  <c r="S80" i="5"/>
  <c r="P80" i="5"/>
  <c r="Q80" i="5"/>
  <c r="R84" i="5"/>
  <c r="O84" i="5"/>
  <c r="S84" i="5"/>
  <c r="P84" i="5"/>
  <c r="Q84" i="5"/>
  <c r="R88" i="5"/>
  <c r="O88" i="5"/>
  <c r="S88" i="5"/>
  <c r="P88" i="5"/>
  <c r="Q88" i="5"/>
  <c r="P90" i="5"/>
  <c r="O90" i="5"/>
  <c r="Q90" i="5"/>
  <c r="R90" i="5"/>
  <c r="S90" i="5"/>
  <c r="R100" i="5"/>
  <c r="O100" i="5"/>
  <c r="S100" i="5"/>
  <c r="P100" i="5"/>
  <c r="Q100" i="5"/>
  <c r="Q97" i="5"/>
  <c r="P97" i="5"/>
  <c r="R97" i="5"/>
  <c r="O97" i="5"/>
  <c r="S97" i="5"/>
  <c r="P71" i="5"/>
  <c r="R71" i="5"/>
  <c r="O71" i="5"/>
  <c r="Q71" i="5"/>
  <c r="S71" i="5"/>
  <c r="Q77" i="5"/>
  <c r="O77" i="5"/>
  <c r="P77" i="5"/>
  <c r="R77" i="5"/>
  <c r="S77" i="5"/>
  <c r="O79" i="5"/>
  <c r="S79" i="5"/>
  <c r="R79" i="5"/>
  <c r="P79" i="5"/>
  <c r="Q79" i="5"/>
  <c r="Q81" i="5"/>
  <c r="R81" i="5"/>
  <c r="P81" i="5"/>
  <c r="O81" i="5"/>
  <c r="S81" i="5"/>
  <c r="O83" i="5"/>
  <c r="S83" i="5"/>
  <c r="R83" i="5"/>
  <c r="P83" i="5"/>
  <c r="Q83" i="5"/>
  <c r="Q85" i="5"/>
  <c r="R85" i="5"/>
  <c r="P85" i="5"/>
  <c r="O85" i="5"/>
  <c r="S85" i="5"/>
  <c r="O87" i="5"/>
  <c r="S87" i="5"/>
  <c r="P87" i="5"/>
  <c r="R87" i="5"/>
  <c r="Q87" i="5"/>
  <c r="Q89" i="5"/>
  <c r="P89" i="5"/>
  <c r="R89" i="5"/>
  <c r="O89" i="5"/>
  <c r="S89" i="5"/>
  <c r="R92" i="5"/>
  <c r="Q92" i="5"/>
  <c r="O92" i="5"/>
  <c r="S92" i="5"/>
  <c r="P92" i="5"/>
  <c r="P98" i="5"/>
  <c r="Q98" i="5"/>
  <c r="S98" i="5"/>
  <c r="R98" i="5"/>
  <c r="O98" i="5"/>
  <c r="P82" i="5"/>
  <c r="O82" i="5"/>
  <c r="Q82" i="5"/>
  <c r="R82" i="5"/>
  <c r="S82" i="5"/>
  <c r="W102" i="5"/>
  <c r="P102" i="5"/>
  <c r="O102" i="5"/>
  <c r="Q102" i="5"/>
  <c r="R102" i="5"/>
  <c r="S102" i="5"/>
  <c r="O91" i="5"/>
  <c r="S91" i="5"/>
  <c r="P91" i="5"/>
  <c r="R91" i="5"/>
  <c r="Q91" i="5"/>
  <c r="Q93" i="5"/>
  <c r="R93" i="5"/>
  <c r="O93" i="5"/>
  <c r="S93" i="5"/>
  <c r="P93" i="5"/>
  <c r="O95" i="5"/>
  <c r="S95" i="5"/>
  <c r="R95" i="5"/>
  <c r="P95" i="5"/>
  <c r="Q95" i="5"/>
  <c r="T99" i="5" l="1"/>
  <c r="T83" i="5"/>
  <c r="T71" i="5"/>
  <c r="T101" i="5"/>
  <c r="T95" i="5"/>
  <c r="T92" i="5"/>
  <c r="T97" i="5"/>
  <c r="T87" i="5"/>
  <c r="T84" i="5"/>
  <c r="T76" i="5"/>
  <c r="T72" i="5"/>
  <c r="T102" i="5"/>
  <c r="T85" i="5"/>
  <c r="T77" i="5"/>
  <c r="T86" i="5"/>
  <c r="T100" i="5"/>
  <c r="T91" i="5"/>
  <c r="T93" i="5"/>
  <c r="T98" i="5"/>
  <c r="T96" i="5"/>
  <c r="T94" i="5"/>
  <c r="T80" i="5"/>
  <c r="T82" i="5"/>
  <c r="T78" i="5"/>
  <c r="T90" i="5"/>
  <c r="T79" i="5"/>
  <c r="T88" i="5"/>
  <c r="T89" i="5"/>
  <c r="T81" i="5"/>
  <c r="X102" i="5"/>
  <c r="W72" i="5"/>
  <c r="Z72" i="5"/>
  <c r="V72" i="5"/>
  <c r="Y72" i="5"/>
  <c r="X72" i="5"/>
  <c r="V102" i="5"/>
  <c r="Y102" i="5"/>
  <c r="Z102" i="5"/>
  <c r="Z71" i="5"/>
  <c r="V71" i="5"/>
  <c r="W71" i="5"/>
  <c r="Y71" i="5"/>
  <c r="X71" i="5"/>
  <c r="W82" i="5"/>
  <c r="Z82" i="5"/>
  <c r="V82" i="5"/>
  <c r="Y82" i="5"/>
  <c r="X82" i="5"/>
  <c r="Y84" i="5"/>
  <c r="Z84" i="5"/>
  <c r="V84" i="5"/>
  <c r="X84" i="5"/>
  <c r="W84" i="5"/>
  <c r="Y76" i="5"/>
  <c r="Z76" i="5"/>
  <c r="V76" i="5"/>
  <c r="X76" i="5"/>
  <c r="W76" i="5"/>
  <c r="X89" i="5"/>
  <c r="W89" i="5"/>
  <c r="Z89" i="5"/>
  <c r="V89" i="5"/>
  <c r="Y89" i="5"/>
  <c r="X81" i="5"/>
  <c r="W81" i="5"/>
  <c r="Z81" i="5"/>
  <c r="V81" i="5"/>
  <c r="Y81" i="5"/>
  <c r="Z87" i="5"/>
  <c r="V87" i="5"/>
  <c r="Y87" i="5"/>
  <c r="X87" i="5"/>
  <c r="W87" i="5"/>
  <c r="Z79" i="5"/>
  <c r="V79" i="5"/>
  <c r="W79" i="5"/>
  <c r="Y79" i="5"/>
  <c r="X79" i="5"/>
  <c r="W86" i="5"/>
  <c r="Z86" i="5"/>
  <c r="V86" i="5"/>
  <c r="Y86" i="5"/>
  <c r="X86" i="5"/>
  <c r="W90" i="5"/>
  <c r="Z90" i="5"/>
  <c r="V90" i="5"/>
  <c r="Y90" i="5"/>
  <c r="X90" i="5"/>
  <c r="Z83" i="5"/>
  <c r="V83" i="5"/>
  <c r="W83" i="5"/>
  <c r="Y83" i="5"/>
  <c r="X83" i="5"/>
  <c r="Y88" i="5"/>
  <c r="X88" i="5"/>
  <c r="W88" i="5"/>
  <c r="Z88" i="5"/>
  <c r="V88" i="5"/>
  <c r="Y80" i="5"/>
  <c r="Z80" i="5"/>
  <c r="V80" i="5"/>
  <c r="X80" i="5"/>
  <c r="W80" i="5"/>
  <c r="X85" i="5"/>
  <c r="W85" i="5"/>
  <c r="Z85" i="5"/>
  <c r="V85" i="5"/>
  <c r="Y85" i="5"/>
  <c r="X77" i="5"/>
  <c r="W77" i="5"/>
  <c r="Z77" i="5"/>
  <c r="V77" i="5"/>
  <c r="Y77" i="5"/>
  <c r="W78" i="5"/>
  <c r="Z78" i="5"/>
  <c r="V78" i="5"/>
  <c r="X78" i="5"/>
  <c r="Y78" i="5"/>
  <c r="Z95" i="5"/>
  <c r="V95" i="5"/>
  <c r="Y95" i="5"/>
  <c r="X95" i="5"/>
  <c r="W95" i="5"/>
  <c r="W94" i="5"/>
  <c r="Z94" i="5"/>
  <c r="V94" i="5"/>
  <c r="Y94" i="5"/>
  <c r="X94" i="5"/>
  <c r="X93" i="5"/>
  <c r="Z93" i="5"/>
  <c r="V93" i="5"/>
  <c r="W93" i="5"/>
  <c r="Y93" i="5"/>
  <c r="Y96" i="5"/>
  <c r="W96" i="5"/>
  <c r="X96" i="5"/>
  <c r="Z96" i="5"/>
  <c r="V96" i="5"/>
  <c r="Z91" i="5"/>
  <c r="V91" i="5"/>
  <c r="Y91" i="5"/>
  <c r="X91" i="5"/>
  <c r="W91" i="5"/>
  <c r="W98" i="5"/>
  <c r="X98" i="5"/>
  <c r="Z98" i="5"/>
  <c r="V98" i="5"/>
  <c r="Y98" i="5"/>
  <c r="Y92" i="5"/>
  <c r="W92" i="5"/>
  <c r="X92" i="5"/>
  <c r="Z92" i="5"/>
  <c r="V92" i="5"/>
  <c r="X97" i="5"/>
  <c r="Z97" i="5"/>
  <c r="V97" i="5"/>
  <c r="Y97" i="5"/>
  <c r="W97" i="5"/>
  <c r="Y100" i="5"/>
  <c r="W100" i="5"/>
  <c r="Z100" i="5"/>
  <c r="V100" i="5"/>
  <c r="X100" i="5"/>
  <c r="Z99" i="5"/>
  <c r="V99" i="5"/>
  <c r="W99" i="5"/>
  <c r="Y99" i="5"/>
  <c r="X99" i="5"/>
  <c r="X101" i="5"/>
  <c r="Z101" i="5"/>
  <c r="V101" i="5"/>
  <c r="W101" i="5"/>
  <c r="Y101" i="5"/>
  <c r="M69" i="5"/>
  <c r="G69" i="5"/>
  <c r="F69" i="5"/>
  <c r="E69" i="5"/>
  <c r="N69" i="5" s="1"/>
  <c r="U69" i="5" s="1" a="1"/>
  <c r="U69" i="5" s="1"/>
  <c r="D69" i="5"/>
  <c r="B69" i="5"/>
  <c r="M68" i="5"/>
  <c r="G68" i="5"/>
  <c r="F68" i="5"/>
  <c r="E68" i="5"/>
  <c r="N68" i="5" s="1"/>
  <c r="U68" i="5" s="1" a="1"/>
  <c r="U68" i="5" s="1"/>
  <c r="D68" i="5"/>
  <c r="B68" i="5"/>
  <c r="M65" i="5"/>
  <c r="G65" i="5"/>
  <c r="F65" i="5"/>
  <c r="E65" i="5"/>
  <c r="N65" i="5" s="1"/>
  <c r="U65" i="5" s="1" a="1"/>
  <c r="U65" i="5" s="1"/>
  <c r="D65" i="5"/>
  <c r="B65" i="5"/>
  <c r="M64" i="5"/>
  <c r="G64" i="5"/>
  <c r="F64" i="5"/>
  <c r="E64" i="5"/>
  <c r="N64" i="5" s="1"/>
  <c r="U64" i="5" s="1" a="1"/>
  <c r="U64" i="5" s="1"/>
  <c r="D64" i="5"/>
  <c r="B64" i="5"/>
  <c r="M67" i="5"/>
  <c r="G67" i="5"/>
  <c r="F67" i="5"/>
  <c r="E67" i="5"/>
  <c r="N67" i="5" s="1"/>
  <c r="U67" i="5" s="1" a="1"/>
  <c r="U67" i="5" s="1"/>
  <c r="D67" i="5"/>
  <c r="B67" i="5"/>
  <c r="M66" i="5"/>
  <c r="G66" i="5"/>
  <c r="F66" i="5"/>
  <c r="E66" i="5"/>
  <c r="N66" i="5" s="1"/>
  <c r="U66" i="5" s="1" a="1"/>
  <c r="U66" i="5" s="1"/>
  <c r="D66" i="5"/>
  <c r="B66" i="5"/>
  <c r="O68" i="5" l="1"/>
  <c r="S68" i="5"/>
  <c r="Q68" i="5"/>
  <c r="P68" i="5"/>
  <c r="R68" i="5"/>
  <c r="P67" i="5"/>
  <c r="R67" i="5"/>
  <c r="S67" i="5"/>
  <c r="Q67" i="5"/>
  <c r="O67" i="5"/>
  <c r="Q66" i="5"/>
  <c r="O66" i="5"/>
  <c r="S66" i="5"/>
  <c r="P66" i="5"/>
  <c r="R66" i="5"/>
  <c r="O64" i="5"/>
  <c r="S64" i="5"/>
  <c r="P64" i="5"/>
  <c r="Q64" i="5"/>
  <c r="R64" i="5"/>
  <c r="R65" i="5"/>
  <c r="O65" i="5"/>
  <c r="S65" i="5"/>
  <c r="P65" i="5"/>
  <c r="Q65" i="5"/>
  <c r="R69" i="5"/>
  <c r="P69" i="5"/>
  <c r="Q69" i="5"/>
  <c r="S69" i="5"/>
  <c r="O69" i="5"/>
  <c r="AA96" i="5"/>
  <c r="AA88" i="5"/>
  <c r="AA97" i="5"/>
  <c r="AA77" i="5"/>
  <c r="AA76" i="5"/>
  <c r="AA71" i="5"/>
  <c r="AA102" i="5"/>
  <c r="AA91" i="5"/>
  <c r="AA95" i="5"/>
  <c r="AA78" i="5"/>
  <c r="AA101" i="5"/>
  <c r="AA98" i="5"/>
  <c r="AA93" i="5"/>
  <c r="AA85" i="5"/>
  <c r="AA79" i="5"/>
  <c r="AA81" i="5"/>
  <c r="AA84" i="5"/>
  <c r="AA100" i="5"/>
  <c r="AA94" i="5"/>
  <c r="AA83" i="5"/>
  <c r="AA90" i="5"/>
  <c r="AA87" i="5"/>
  <c r="AA89" i="5"/>
  <c r="AA82" i="5"/>
  <c r="AA99" i="5"/>
  <c r="AA92" i="5"/>
  <c r="AA80" i="5"/>
  <c r="AA86" i="5"/>
  <c r="AA72" i="5"/>
  <c r="C124" i="5"/>
  <c r="F124" i="5" s="1"/>
  <c r="D126" i="5"/>
  <c r="D127" i="5"/>
  <c r="F128" i="5"/>
  <c r="B129" i="5"/>
  <c r="B130" i="5"/>
  <c r="D131" i="5"/>
  <c r="F132" i="5"/>
  <c r="D134" i="5"/>
  <c r="D135" i="5"/>
  <c r="D136" i="5"/>
  <c r="B138" i="5"/>
  <c r="D139" i="5"/>
  <c r="B140" i="5"/>
  <c r="D142" i="5"/>
  <c r="D143" i="5"/>
  <c r="F144" i="5"/>
  <c r="B145" i="5"/>
  <c r="B146" i="5"/>
  <c r="D147" i="5"/>
  <c r="B148" i="5"/>
  <c r="D150" i="5"/>
  <c r="D151" i="5"/>
  <c r="D152" i="5"/>
  <c r="D154" i="5"/>
  <c r="D155" i="5"/>
  <c r="D156" i="5"/>
  <c r="D159" i="5"/>
  <c r="D160" i="5"/>
  <c r="F161" i="5"/>
  <c r="B162" i="5"/>
  <c r="D163" i="5"/>
  <c r="D164" i="5"/>
  <c r="D165" i="5"/>
  <c r="D167" i="5"/>
  <c r="D168" i="5"/>
  <c r="D169" i="5"/>
  <c r="B171" i="5"/>
  <c r="D172" i="5"/>
  <c r="B173" i="5"/>
  <c r="D175" i="5"/>
  <c r="D176" i="5"/>
  <c r="F177" i="5"/>
  <c r="B178" i="5"/>
  <c r="F179" i="5"/>
  <c r="D180" i="5"/>
  <c r="B181" i="5"/>
  <c r="D183" i="5"/>
  <c r="D184" i="5"/>
  <c r="D185" i="5"/>
  <c r="D187" i="5"/>
  <c r="D188" i="5"/>
  <c r="B189" i="5"/>
  <c r="F191" i="5"/>
  <c r="D192" i="5"/>
  <c r="D193" i="5"/>
  <c r="B194" i="5"/>
  <c r="D195" i="5"/>
  <c r="D196" i="5"/>
  <c r="B197" i="5"/>
  <c r="F199" i="5"/>
  <c r="D200" i="5"/>
  <c r="D201" i="5"/>
  <c r="B203" i="5"/>
  <c r="D204" i="5"/>
  <c r="B205" i="5"/>
  <c r="D207" i="5"/>
  <c r="D208" i="5"/>
  <c r="F209" i="5"/>
  <c r="B210" i="5"/>
  <c r="B211" i="5"/>
  <c r="D212" i="5"/>
  <c r="B213" i="5"/>
  <c r="D215" i="5"/>
  <c r="D216" i="5"/>
  <c r="D217" i="5"/>
  <c r="D219" i="5"/>
  <c r="D220" i="5"/>
  <c r="D221" i="5"/>
  <c r="D223" i="5"/>
  <c r="D224" i="5"/>
  <c r="F225" i="5"/>
  <c r="B226" i="5"/>
  <c r="D227" i="5"/>
  <c r="D228" i="5"/>
  <c r="D229" i="5"/>
  <c r="F231" i="5"/>
  <c r="D232" i="5"/>
  <c r="D233" i="5"/>
  <c r="B235" i="5"/>
  <c r="D236" i="5"/>
  <c r="B237" i="5"/>
  <c r="D239" i="5"/>
  <c r="D240" i="5"/>
  <c r="F241" i="5"/>
  <c r="B242" i="5"/>
  <c r="F243" i="5"/>
  <c r="D244" i="5"/>
  <c r="B245" i="5"/>
  <c r="D255" i="5"/>
  <c r="D256" i="5"/>
  <c r="D257" i="5"/>
  <c r="D261" i="5"/>
  <c r="B262" i="5"/>
  <c r="D265" i="5"/>
  <c r="D266" i="5"/>
  <c r="B267" i="5"/>
  <c r="D268" i="5"/>
  <c r="D269" i="5"/>
  <c r="B270" i="5"/>
  <c r="D273" i="5"/>
  <c r="D274" i="5"/>
  <c r="B276" i="5"/>
  <c r="D277" i="5"/>
  <c r="B278" i="5"/>
  <c r="D281" i="5"/>
  <c r="B283" i="5"/>
  <c r="D285" i="5"/>
  <c r="B286" i="5"/>
  <c r="B288" i="5"/>
  <c r="D289" i="5"/>
  <c r="D290" i="5"/>
  <c r="D293" i="5"/>
  <c r="D294" i="5"/>
  <c r="D297" i="5"/>
  <c r="B299" i="5"/>
  <c r="D302" i="5"/>
  <c r="D303" i="5"/>
  <c r="D306" i="5"/>
  <c r="D307" i="5"/>
  <c r="B309" i="5"/>
  <c r="D310" i="5"/>
  <c r="B311" i="5"/>
  <c r="D314" i="5"/>
  <c r="B316" i="5"/>
  <c r="D318" i="5"/>
  <c r="B319" i="5"/>
  <c r="B321" i="5"/>
  <c r="D322" i="5"/>
  <c r="D323" i="5"/>
  <c r="D326" i="5"/>
  <c r="B327" i="5"/>
  <c r="D328" i="5"/>
  <c r="D329" i="5"/>
  <c r="D330" i="5"/>
  <c r="D331" i="5"/>
  <c r="B332" i="5"/>
  <c r="D334" i="5"/>
  <c r="B335" i="5"/>
  <c r="D336" i="5"/>
  <c r="D338" i="5"/>
  <c r="D339" i="5"/>
  <c r="D340" i="5"/>
  <c r="D341" i="5"/>
  <c r="D342" i="5"/>
  <c r="B343" i="5"/>
  <c r="D344" i="5"/>
  <c r="D345" i="5"/>
  <c r="D346" i="5"/>
  <c r="B348" i="5"/>
  <c r="D349" i="5"/>
  <c r="D350" i="5"/>
  <c r="B351" i="5"/>
  <c r="D352" i="5"/>
  <c r="B353" i="5"/>
  <c r="D354" i="5"/>
  <c r="D355" i="5"/>
  <c r="D356" i="5"/>
  <c r="D357" i="5"/>
  <c r="D358" i="5"/>
  <c r="D359" i="5"/>
  <c r="D360" i="5"/>
  <c r="D361" i="5"/>
  <c r="D362" i="5"/>
  <c r="B364" i="5"/>
  <c r="D366" i="5"/>
  <c r="D367" i="5"/>
  <c r="D368" i="5"/>
  <c r="D370" i="5"/>
  <c r="D371" i="5"/>
  <c r="D372" i="5"/>
  <c r="B373" i="5"/>
  <c r="D374" i="5"/>
  <c r="F125" i="5"/>
  <c r="F127" i="5"/>
  <c r="F129" i="5"/>
  <c r="F131" i="5"/>
  <c r="F133" i="5"/>
  <c r="F135" i="5"/>
  <c r="F137" i="5"/>
  <c r="F139" i="5"/>
  <c r="F141" i="5"/>
  <c r="F143" i="5"/>
  <c r="F145" i="5"/>
  <c r="F147" i="5"/>
  <c r="F149" i="5"/>
  <c r="F151" i="5"/>
  <c r="F153" i="5"/>
  <c r="F155" i="5"/>
  <c r="F158" i="5"/>
  <c r="F160" i="5"/>
  <c r="F162" i="5"/>
  <c r="F164" i="5"/>
  <c r="F166" i="5"/>
  <c r="F168" i="5"/>
  <c r="F170" i="5"/>
  <c r="F172" i="5"/>
  <c r="F174" i="5"/>
  <c r="F176" i="5"/>
  <c r="F178" i="5"/>
  <c r="F180" i="5"/>
  <c r="F182" i="5"/>
  <c r="F184" i="5"/>
  <c r="F186" i="5"/>
  <c r="F188" i="5"/>
  <c r="F190" i="5"/>
  <c r="F192" i="5"/>
  <c r="F194" i="5"/>
  <c r="F196" i="5"/>
  <c r="F198" i="5"/>
  <c r="F200" i="5"/>
  <c r="F202" i="5"/>
  <c r="F204" i="5"/>
  <c r="F206" i="5"/>
  <c r="F208" i="5"/>
  <c r="F210" i="5"/>
  <c r="F212" i="5"/>
  <c r="F214" i="5"/>
  <c r="F216" i="5"/>
  <c r="F218" i="5"/>
  <c r="F220" i="5"/>
  <c r="F222" i="5"/>
  <c r="F224" i="5"/>
  <c r="F226" i="5"/>
  <c r="F230" i="5"/>
  <c r="F232" i="5"/>
  <c r="F234" i="5"/>
  <c r="F238" i="5"/>
  <c r="F240" i="5"/>
  <c r="F242" i="5"/>
  <c r="F245" i="5"/>
  <c r="F254" i="5"/>
  <c r="F255" i="5"/>
  <c r="F256" i="5"/>
  <c r="F257" i="5"/>
  <c r="F258" i="5"/>
  <c r="F259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D128" i="5"/>
  <c r="D132" i="5"/>
  <c r="D140" i="5"/>
  <c r="D144" i="5"/>
  <c r="D148" i="5"/>
  <c r="D161" i="5"/>
  <c r="D171" i="5"/>
  <c r="D173" i="5"/>
  <c r="D177" i="5"/>
  <c r="D181" i="5"/>
  <c r="D189" i="5"/>
  <c r="D197" i="5"/>
  <c r="D205" i="5"/>
  <c r="D213" i="5"/>
  <c r="D225" i="5"/>
  <c r="D241" i="5"/>
  <c r="D245" i="5"/>
  <c r="D259" i="5"/>
  <c r="D262" i="5"/>
  <c r="D264" i="5"/>
  <c r="D270" i="5"/>
  <c r="D272" i="5"/>
  <c r="D276" i="5"/>
  <c r="D278" i="5"/>
  <c r="D280" i="5"/>
  <c r="D282" i="5"/>
  <c r="D284" i="5"/>
  <c r="D286" i="5"/>
  <c r="D288" i="5"/>
  <c r="D292" i="5"/>
  <c r="D296" i="5"/>
  <c r="D298" i="5"/>
  <c r="D301" i="5"/>
  <c r="D305" i="5"/>
  <c r="D309" i="5"/>
  <c r="D311" i="5"/>
  <c r="D313" i="5"/>
  <c r="D315" i="5"/>
  <c r="D317" i="5"/>
  <c r="D319" i="5"/>
  <c r="D321" i="5"/>
  <c r="D325" i="5"/>
  <c r="D327" i="5"/>
  <c r="D333" i="5"/>
  <c r="D335" i="5"/>
  <c r="D337" i="5"/>
  <c r="D343" i="5"/>
  <c r="D347" i="5"/>
  <c r="D351" i="5"/>
  <c r="D353" i="5"/>
  <c r="D363" i="5"/>
  <c r="D365" i="5"/>
  <c r="D369" i="5"/>
  <c r="B127" i="5"/>
  <c r="B128" i="5"/>
  <c r="B132" i="5"/>
  <c r="B136" i="5"/>
  <c r="B142" i="5"/>
  <c r="B144" i="5"/>
  <c r="B152" i="5"/>
  <c r="B154" i="5"/>
  <c r="B159" i="5"/>
  <c r="B161" i="5"/>
  <c r="B169" i="5"/>
  <c r="B177" i="5"/>
  <c r="B185" i="5"/>
  <c r="B193" i="5"/>
  <c r="B201" i="5"/>
  <c r="B209" i="5"/>
  <c r="B217" i="5"/>
  <c r="B225" i="5"/>
  <c r="B231" i="5"/>
  <c r="B233" i="5"/>
  <c r="B241" i="5"/>
  <c r="B257" i="5"/>
  <c r="B259" i="5"/>
  <c r="B264" i="5"/>
  <c r="B266" i="5"/>
  <c r="B268" i="5"/>
  <c r="B272" i="5"/>
  <c r="B274" i="5"/>
  <c r="B280" i="5"/>
  <c r="B282" i="5"/>
  <c r="B284" i="5"/>
  <c r="B290" i="5"/>
  <c r="B292" i="5"/>
  <c r="B296" i="5"/>
  <c r="B298" i="5"/>
  <c r="B301" i="5"/>
  <c r="B305" i="5"/>
  <c r="B307" i="5"/>
  <c r="B313" i="5"/>
  <c r="B315" i="5"/>
  <c r="B317" i="5"/>
  <c r="B323" i="5"/>
  <c r="B325" i="5"/>
  <c r="B329" i="5"/>
  <c r="B331" i="5"/>
  <c r="B333" i="5"/>
  <c r="B337" i="5"/>
  <c r="B339" i="5"/>
  <c r="B345" i="5"/>
  <c r="B347" i="5"/>
  <c r="B355" i="5"/>
  <c r="B357" i="5"/>
  <c r="B363" i="5"/>
  <c r="B365" i="5"/>
  <c r="B369" i="5"/>
  <c r="B371" i="5"/>
  <c r="B124" i="5" l="1"/>
  <c r="D124" i="5"/>
  <c r="F244" i="5"/>
  <c r="F236" i="5"/>
  <c r="F228" i="5"/>
  <c r="F219" i="5"/>
  <c r="B243" i="5"/>
  <c r="B207" i="5"/>
  <c r="B167" i="5"/>
  <c r="F130" i="5"/>
  <c r="B223" i="5"/>
  <c r="B179" i="5"/>
  <c r="D199" i="5"/>
  <c r="F195" i="5"/>
  <c r="F142" i="5"/>
  <c r="B195" i="5"/>
  <c r="D146" i="5"/>
  <c r="F207" i="5"/>
  <c r="F154" i="5"/>
  <c r="B219" i="5"/>
  <c r="D231" i="5"/>
  <c r="B227" i="5"/>
  <c r="B191" i="5"/>
  <c r="B163" i="5"/>
  <c r="D243" i="5"/>
  <c r="D211" i="5"/>
  <c r="D179" i="5"/>
  <c r="D130" i="5"/>
  <c r="F235" i="5"/>
  <c r="F223" i="5"/>
  <c r="F211" i="5"/>
  <c r="F171" i="5"/>
  <c r="F159" i="5"/>
  <c r="F146" i="5"/>
  <c r="B239" i="5"/>
  <c r="B199" i="5"/>
  <c r="B187" i="5"/>
  <c r="B175" i="5"/>
  <c r="B134" i="5"/>
  <c r="B126" i="5"/>
  <c r="D191" i="5"/>
  <c r="F239" i="5"/>
  <c r="F227" i="5"/>
  <c r="F187" i="5"/>
  <c r="F175" i="5"/>
  <c r="F163" i="5"/>
  <c r="D235" i="5"/>
  <c r="D203" i="5"/>
  <c r="D138" i="5"/>
  <c r="F203" i="5"/>
  <c r="F138" i="5"/>
  <c r="F126" i="5"/>
  <c r="F215" i="5"/>
  <c r="F183" i="5"/>
  <c r="F167" i="5"/>
  <c r="F150" i="5"/>
  <c r="F134" i="5"/>
  <c r="D237" i="5"/>
  <c r="D209" i="5"/>
  <c r="F237" i="5"/>
  <c r="F233" i="5"/>
  <c r="F229" i="5"/>
  <c r="F221" i="5"/>
  <c r="F217" i="5"/>
  <c r="F213" i="5"/>
  <c r="F205" i="5"/>
  <c r="F201" i="5"/>
  <c r="F197" i="5"/>
  <c r="F193" i="5"/>
  <c r="F189" i="5"/>
  <c r="F185" i="5"/>
  <c r="F181" i="5"/>
  <c r="F173" i="5"/>
  <c r="F169" i="5"/>
  <c r="F165" i="5"/>
  <c r="F156" i="5"/>
  <c r="F152" i="5"/>
  <c r="F148" i="5"/>
  <c r="F140" i="5"/>
  <c r="F136" i="5"/>
  <c r="D373" i="5"/>
  <c r="B349" i="5"/>
  <c r="B361" i="5"/>
  <c r="B341" i="5"/>
  <c r="B255" i="5"/>
  <c r="B215" i="5"/>
  <c r="B183" i="5"/>
  <c r="B150" i="5"/>
  <c r="B367" i="5"/>
  <c r="B359" i="5"/>
  <c r="B303" i="5"/>
  <c r="B294" i="5"/>
  <c r="B229" i="5"/>
  <c r="B221" i="5"/>
  <c r="B165" i="5"/>
  <c r="B156" i="5"/>
  <c r="B330" i="5"/>
  <c r="B265" i="5"/>
  <c r="B192" i="5"/>
  <c r="B362" i="5"/>
  <c r="B297" i="5"/>
  <c r="B224" i="5"/>
  <c r="B160" i="5"/>
  <c r="B314" i="5"/>
  <c r="B240" i="5"/>
  <c r="B176" i="5"/>
  <c r="B346" i="5"/>
  <c r="B281" i="5"/>
  <c r="B208" i="5"/>
  <c r="B143" i="5"/>
  <c r="T67" i="5"/>
  <c r="T65" i="5"/>
  <c r="T69" i="5"/>
  <c r="T66" i="5"/>
  <c r="T64" i="5"/>
  <c r="T68" i="5"/>
  <c r="W69" i="5"/>
  <c r="Z69" i="5"/>
  <c r="V69" i="5"/>
  <c r="Y69" i="5"/>
  <c r="X69" i="5"/>
  <c r="B334" i="5"/>
  <c r="B318" i="5"/>
  <c r="B302" i="5"/>
  <c r="B285" i="5"/>
  <c r="B269" i="5"/>
  <c r="B244" i="5"/>
  <c r="B228" i="5"/>
  <c r="B212" i="5"/>
  <c r="B196" i="5"/>
  <c r="B180" i="5"/>
  <c r="B164" i="5"/>
  <c r="B147" i="5"/>
  <c r="B131" i="5"/>
  <c r="X68" i="5"/>
  <c r="W68" i="5"/>
  <c r="Z68" i="5"/>
  <c r="V68" i="5"/>
  <c r="Y68" i="5"/>
  <c r="B366" i="5"/>
  <c r="B370" i="5"/>
  <c r="B354" i="5"/>
  <c r="B338" i="5"/>
  <c r="B232" i="5"/>
  <c r="B216" i="5"/>
  <c r="B200" i="5"/>
  <c r="B184" i="5"/>
  <c r="B168" i="5"/>
  <c r="B151" i="5"/>
  <c r="B135" i="5"/>
  <c r="B350" i="5"/>
  <c r="B322" i="5"/>
  <c r="B306" i="5"/>
  <c r="B289" i="5"/>
  <c r="B273" i="5"/>
  <c r="B256" i="5"/>
  <c r="B374" i="5"/>
  <c r="B358" i="5"/>
  <c r="B342" i="5"/>
  <c r="B326" i="5"/>
  <c r="B310" i="5"/>
  <c r="B293" i="5"/>
  <c r="B277" i="5"/>
  <c r="B261" i="5"/>
  <c r="B236" i="5"/>
  <c r="B220" i="5"/>
  <c r="B204" i="5"/>
  <c r="B188" i="5"/>
  <c r="B172" i="5"/>
  <c r="B155" i="5"/>
  <c r="B139" i="5"/>
  <c r="W65" i="5"/>
  <c r="Z65" i="5"/>
  <c r="V65" i="5"/>
  <c r="Y65" i="5"/>
  <c r="X65" i="5"/>
  <c r="X64" i="5"/>
  <c r="W64" i="5"/>
  <c r="Z64" i="5"/>
  <c r="V64" i="5"/>
  <c r="Y64" i="5"/>
  <c r="D324" i="5"/>
  <c r="B324" i="5"/>
  <c r="B320" i="5"/>
  <c r="D320" i="5"/>
  <c r="D295" i="5"/>
  <c r="B295" i="5"/>
  <c r="D291" i="5"/>
  <c r="B291" i="5"/>
  <c r="B287" i="5"/>
  <c r="D287" i="5"/>
  <c r="D258" i="5"/>
  <c r="B258" i="5"/>
  <c r="D238" i="5"/>
  <c r="B238" i="5"/>
  <c r="D234" i="5"/>
  <c r="B234" i="5"/>
  <c r="B230" i="5"/>
  <c r="D230" i="5"/>
  <c r="D222" i="5"/>
  <c r="B222" i="5"/>
  <c r="D218" i="5"/>
  <c r="B218" i="5"/>
  <c r="B214" i="5"/>
  <c r="D214" i="5"/>
  <c r="D190" i="5"/>
  <c r="B190" i="5"/>
  <c r="B186" i="5"/>
  <c r="D186" i="5"/>
  <c r="B182" i="5"/>
  <c r="D182" i="5"/>
  <c r="D174" i="5"/>
  <c r="B174" i="5"/>
  <c r="B170" i="5"/>
  <c r="D170" i="5"/>
  <c r="B166" i="5"/>
  <c r="D166" i="5"/>
  <c r="D141" i="5"/>
  <c r="B141" i="5"/>
  <c r="B137" i="5"/>
  <c r="D137" i="5"/>
  <c r="B133" i="5"/>
  <c r="D133" i="5"/>
  <c r="X66" i="5"/>
  <c r="W66" i="5"/>
  <c r="Y66" i="5"/>
  <c r="Z66" i="5"/>
  <c r="V66" i="5"/>
  <c r="D364" i="5"/>
  <c r="D348" i="5"/>
  <c r="D332" i="5"/>
  <c r="D316" i="5"/>
  <c r="D299" i="5"/>
  <c r="D283" i="5"/>
  <c r="D267" i="5"/>
  <c r="D242" i="5"/>
  <c r="D226" i="5"/>
  <c r="D210" i="5"/>
  <c r="D194" i="5"/>
  <c r="D178" i="5"/>
  <c r="D162" i="5"/>
  <c r="D145" i="5"/>
  <c r="D129" i="5"/>
  <c r="D312" i="5"/>
  <c r="B312" i="5"/>
  <c r="B308" i="5"/>
  <c r="D308" i="5"/>
  <c r="B304" i="5"/>
  <c r="D304" i="5"/>
  <c r="D279" i="5"/>
  <c r="B279" i="5"/>
  <c r="D275" i="5"/>
  <c r="B275" i="5"/>
  <c r="B271" i="5"/>
  <c r="D271" i="5"/>
  <c r="D263" i="5"/>
  <c r="B263" i="5"/>
  <c r="B254" i="5"/>
  <c r="D254" i="5"/>
  <c r="D206" i="5"/>
  <c r="B206" i="5"/>
  <c r="B202" i="5"/>
  <c r="D202" i="5"/>
  <c r="B198" i="5"/>
  <c r="D198" i="5"/>
  <c r="D158" i="5"/>
  <c r="B158" i="5"/>
  <c r="B153" i="5"/>
  <c r="D153" i="5"/>
  <c r="B149" i="5"/>
  <c r="D149" i="5"/>
  <c r="D125" i="5"/>
  <c r="B125" i="5"/>
  <c r="W67" i="5"/>
  <c r="Z67" i="5"/>
  <c r="V67" i="5"/>
  <c r="Y67" i="5"/>
  <c r="X67" i="5"/>
  <c r="B372" i="5"/>
  <c r="B368" i="5"/>
  <c r="B360" i="5"/>
  <c r="B356" i="5"/>
  <c r="B352" i="5"/>
  <c r="B344" i="5"/>
  <c r="B340" i="5"/>
  <c r="B336" i="5"/>
  <c r="B328" i="5"/>
  <c r="M302" i="5"/>
  <c r="M140" i="5"/>
  <c r="E140" i="5"/>
  <c r="M139" i="5"/>
  <c r="E139" i="5"/>
  <c r="M138" i="5"/>
  <c r="E138" i="5"/>
  <c r="M137" i="5"/>
  <c r="E137" i="5"/>
  <c r="M136" i="5"/>
  <c r="E136" i="5"/>
  <c r="M135" i="5"/>
  <c r="E135" i="5"/>
  <c r="M134" i="5"/>
  <c r="E134" i="5"/>
  <c r="M133" i="5"/>
  <c r="E133" i="5"/>
  <c r="M132" i="5"/>
  <c r="E132" i="5"/>
  <c r="M131" i="5"/>
  <c r="E131" i="5"/>
  <c r="M130" i="5"/>
  <c r="E130" i="5"/>
  <c r="M129" i="5"/>
  <c r="E129" i="5"/>
  <c r="AA68" i="5" l="1"/>
  <c r="AA65" i="5"/>
  <c r="AA67" i="5"/>
  <c r="AA66" i="5"/>
  <c r="AA64" i="5"/>
  <c r="AA69" i="5"/>
  <c r="N129" i="5"/>
  <c r="U129" i="5" s="1" a="1"/>
  <c r="U129" i="5" s="1"/>
  <c r="G129" i="5"/>
  <c r="N133" i="5"/>
  <c r="U133" i="5" s="1" a="1"/>
  <c r="U133" i="5" s="1"/>
  <c r="G133" i="5"/>
  <c r="G139" i="5"/>
  <c r="N139" i="5"/>
  <c r="U139" i="5" s="1" a="1"/>
  <c r="U139" i="5" s="1"/>
  <c r="G131" i="5"/>
  <c r="N131" i="5"/>
  <c r="U131" i="5" s="1" a="1"/>
  <c r="U131" i="5" s="1"/>
  <c r="G135" i="5"/>
  <c r="N135" i="5"/>
  <c r="U135" i="5" s="1" a="1"/>
  <c r="U135" i="5" s="1"/>
  <c r="N137" i="5"/>
  <c r="U137" i="5" s="1" a="1"/>
  <c r="U137" i="5" s="1"/>
  <c r="G137" i="5"/>
  <c r="G130" i="5"/>
  <c r="N130" i="5"/>
  <c r="U130" i="5" s="1" a="1"/>
  <c r="U130" i="5" s="1"/>
  <c r="N132" i="5"/>
  <c r="U132" i="5" s="1" a="1"/>
  <c r="U132" i="5" s="1"/>
  <c r="G132" i="5"/>
  <c r="N134" i="5"/>
  <c r="U134" i="5" s="1" a="1"/>
  <c r="U134" i="5" s="1"/>
  <c r="G134" i="5"/>
  <c r="N136" i="5"/>
  <c r="U136" i="5" s="1" a="1"/>
  <c r="U136" i="5" s="1"/>
  <c r="G136" i="5"/>
  <c r="G138" i="5"/>
  <c r="N138" i="5"/>
  <c r="U138" i="5" s="1" a="1"/>
  <c r="U138" i="5" s="1"/>
  <c r="N140" i="5"/>
  <c r="U140" i="5" s="1" a="1"/>
  <c r="U140" i="5" s="1"/>
  <c r="G140" i="5"/>
  <c r="B375" i="5"/>
  <c r="W138" i="5" l="1"/>
  <c r="Q138" i="5"/>
  <c r="R138" i="5"/>
  <c r="O138" i="5"/>
  <c r="S138" i="5"/>
  <c r="P138" i="5"/>
  <c r="Z130" i="5"/>
  <c r="R130" i="5"/>
  <c r="O130" i="5"/>
  <c r="S130" i="5"/>
  <c r="P130" i="5"/>
  <c r="Q130" i="5"/>
  <c r="P135" i="5"/>
  <c r="Q135" i="5"/>
  <c r="R135" i="5"/>
  <c r="O135" i="5"/>
  <c r="S135" i="5"/>
  <c r="P139" i="5"/>
  <c r="Q139" i="5"/>
  <c r="R139" i="5"/>
  <c r="O139" i="5"/>
  <c r="S139" i="5"/>
  <c r="X134" i="5"/>
  <c r="Q134" i="5"/>
  <c r="R134" i="5"/>
  <c r="O134" i="5"/>
  <c r="S134" i="5"/>
  <c r="P134" i="5"/>
  <c r="O129" i="5"/>
  <c r="S129" i="5"/>
  <c r="P129" i="5"/>
  <c r="Q129" i="5"/>
  <c r="R129" i="5"/>
  <c r="Q131" i="5"/>
  <c r="X131" i="5"/>
  <c r="R131" i="5"/>
  <c r="O131" i="5"/>
  <c r="S131" i="5"/>
  <c r="P131" i="5"/>
  <c r="V140" i="5"/>
  <c r="O140" i="5"/>
  <c r="S140" i="5"/>
  <c r="P140" i="5"/>
  <c r="Q140" i="5"/>
  <c r="R140" i="5"/>
  <c r="V136" i="5"/>
  <c r="O136" i="5"/>
  <c r="S136" i="5"/>
  <c r="P136" i="5"/>
  <c r="Q136" i="5"/>
  <c r="R136" i="5"/>
  <c r="P132" i="5"/>
  <c r="Q132" i="5"/>
  <c r="R132" i="5"/>
  <c r="S132" i="5"/>
  <c r="Z132" i="5"/>
  <c r="O132" i="5"/>
  <c r="R137" i="5"/>
  <c r="O137" i="5"/>
  <c r="S137" i="5"/>
  <c r="P137" i="5"/>
  <c r="Q137" i="5"/>
  <c r="R133" i="5"/>
  <c r="O133" i="5"/>
  <c r="S133" i="5"/>
  <c r="P133" i="5"/>
  <c r="Q133" i="5"/>
  <c r="W134" i="5" l="1"/>
  <c r="Y131" i="5"/>
  <c r="W131" i="5"/>
  <c r="V131" i="5"/>
  <c r="Z131" i="5"/>
  <c r="Y134" i="5"/>
  <c r="T132" i="5"/>
  <c r="T134" i="5"/>
  <c r="V134" i="5"/>
  <c r="Y136" i="5"/>
  <c r="Z136" i="5"/>
  <c r="X136" i="5"/>
  <c r="W136" i="5"/>
  <c r="Z134" i="5"/>
  <c r="V130" i="5"/>
  <c r="X130" i="5"/>
  <c r="W130" i="5"/>
  <c r="Y130" i="5"/>
  <c r="T130" i="5"/>
  <c r="T138" i="5"/>
  <c r="Z138" i="5"/>
  <c r="Y138" i="5"/>
  <c r="V138" i="5"/>
  <c r="X138" i="5"/>
  <c r="W132" i="5"/>
  <c r="Y132" i="5"/>
  <c r="T136" i="5"/>
  <c r="V132" i="5"/>
  <c r="X132" i="5"/>
  <c r="T140" i="5"/>
  <c r="T131" i="5"/>
  <c r="T139" i="5"/>
  <c r="Z140" i="5"/>
  <c r="X140" i="5"/>
  <c r="T133" i="5"/>
  <c r="Y140" i="5"/>
  <c r="W140" i="5"/>
  <c r="T129" i="5"/>
  <c r="T137" i="5"/>
  <c r="T135" i="5"/>
  <c r="Y133" i="5"/>
  <c r="X133" i="5"/>
  <c r="Z133" i="5"/>
  <c r="V133" i="5"/>
  <c r="W133" i="5"/>
  <c r="Y129" i="5"/>
  <c r="X129" i="5"/>
  <c r="W129" i="5"/>
  <c r="Z129" i="5"/>
  <c r="V129" i="5"/>
  <c r="Y135" i="5"/>
  <c r="X135" i="5"/>
  <c r="W135" i="5"/>
  <c r="Z135" i="5"/>
  <c r="V135" i="5"/>
  <c r="Y139" i="5"/>
  <c r="X139" i="5"/>
  <c r="Z139" i="5"/>
  <c r="V139" i="5"/>
  <c r="W139" i="5"/>
  <c r="Y137" i="5"/>
  <c r="X137" i="5"/>
  <c r="Z137" i="5"/>
  <c r="V137" i="5"/>
  <c r="W137" i="5"/>
  <c r="AA131" i="5" l="1"/>
  <c r="AA134" i="5"/>
  <c r="AA136" i="5"/>
  <c r="AA130" i="5"/>
  <c r="AA132" i="5"/>
  <c r="AA138" i="5"/>
  <c r="AA133" i="5"/>
  <c r="AA137" i="5"/>
  <c r="AA140" i="5"/>
  <c r="AA139" i="5"/>
  <c r="AA135" i="5"/>
  <c r="AA129" i="5"/>
  <c r="M311" i="5"/>
  <c r="M375" i="5" l="1"/>
  <c r="E375" i="5"/>
  <c r="M374" i="5"/>
  <c r="E374" i="5"/>
  <c r="M373" i="5"/>
  <c r="E373" i="5"/>
  <c r="D375" i="5"/>
  <c r="G374" i="5" l="1"/>
  <c r="N374" i="5"/>
  <c r="U374" i="5" s="1" a="1"/>
  <c r="U374" i="5" s="1"/>
  <c r="G373" i="5"/>
  <c r="N373" i="5"/>
  <c r="U373" i="5" s="1" a="1"/>
  <c r="U373" i="5" s="1"/>
  <c r="G375" i="5"/>
  <c r="N375" i="5"/>
  <c r="U375" i="5" s="1" a="1"/>
  <c r="U375" i="5" s="1"/>
  <c r="Z375" i="5" l="1"/>
  <c r="R375" i="5"/>
  <c r="O375" i="5"/>
  <c r="S375" i="5"/>
  <c r="P375" i="5"/>
  <c r="Q375" i="5"/>
  <c r="W373" i="5"/>
  <c r="R373" i="5"/>
  <c r="O373" i="5"/>
  <c r="S373" i="5"/>
  <c r="P373" i="5"/>
  <c r="Q373" i="5"/>
  <c r="W374" i="5"/>
  <c r="Q374" i="5"/>
  <c r="R374" i="5"/>
  <c r="S374" i="5"/>
  <c r="O374" i="5"/>
  <c r="P374" i="5"/>
  <c r="X375" i="5" l="1"/>
  <c r="V375" i="5"/>
  <c r="W375" i="5"/>
  <c r="Z373" i="5"/>
  <c r="X373" i="5"/>
  <c r="T375" i="5"/>
  <c r="V373" i="5"/>
  <c r="Y375" i="5"/>
  <c r="Y373" i="5"/>
  <c r="T374" i="5"/>
  <c r="X374" i="5"/>
  <c r="V374" i="5"/>
  <c r="Y374" i="5"/>
  <c r="Z374" i="5"/>
  <c r="T373" i="5"/>
  <c r="AA375" i="5" l="1"/>
  <c r="AA373" i="5"/>
  <c r="AA374" i="5"/>
  <c r="F27" i="5" l="1"/>
  <c r="G27" i="5"/>
  <c r="F28" i="5"/>
  <c r="G28" i="5"/>
  <c r="F29" i="5"/>
  <c r="G29" i="5"/>
  <c r="F30" i="5"/>
  <c r="G30" i="5"/>
  <c r="F31" i="5"/>
  <c r="G31" i="5"/>
  <c r="F32" i="5"/>
  <c r="G32" i="5"/>
  <c r="F33" i="5"/>
  <c r="G33" i="5"/>
  <c r="F34" i="5"/>
  <c r="G34" i="5"/>
  <c r="F35" i="5"/>
  <c r="G35" i="5"/>
  <c r="F36" i="5"/>
  <c r="G36" i="5"/>
  <c r="F37" i="5"/>
  <c r="G37" i="5"/>
  <c r="F38" i="5"/>
  <c r="G38" i="5"/>
  <c r="F39" i="5"/>
  <c r="G39" i="5"/>
  <c r="F40" i="5"/>
  <c r="G40" i="5"/>
  <c r="F41" i="5"/>
  <c r="G41" i="5"/>
  <c r="F42" i="5"/>
  <c r="G42" i="5"/>
  <c r="F44" i="5"/>
  <c r="G44" i="5"/>
  <c r="F45" i="5"/>
  <c r="G45" i="5"/>
  <c r="F46" i="5"/>
  <c r="G46" i="5"/>
  <c r="F47" i="5"/>
  <c r="G47" i="5"/>
  <c r="F48" i="5"/>
  <c r="G48" i="5"/>
  <c r="F49" i="5"/>
  <c r="G49" i="5"/>
  <c r="F50" i="5"/>
  <c r="G50" i="5"/>
  <c r="F51" i="5"/>
  <c r="G51" i="5"/>
  <c r="F52" i="5"/>
  <c r="G52" i="5"/>
  <c r="F53" i="5"/>
  <c r="G53" i="5"/>
  <c r="F54" i="5"/>
  <c r="G54" i="5"/>
  <c r="F55" i="5"/>
  <c r="G55" i="5"/>
  <c r="F56" i="5"/>
  <c r="G56" i="5"/>
  <c r="F57" i="5"/>
  <c r="G57" i="5"/>
  <c r="F58" i="5"/>
  <c r="G58" i="5"/>
  <c r="F59" i="5"/>
  <c r="G59" i="5"/>
  <c r="F60" i="5"/>
  <c r="G60" i="5"/>
  <c r="F61" i="5"/>
  <c r="G61" i="5"/>
  <c r="F62" i="5"/>
  <c r="G62" i="5"/>
  <c r="F63" i="5"/>
  <c r="G63" i="5"/>
  <c r="F70" i="5"/>
  <c r="G70" i="5"/>
  <c r="F103" i="5"/>
  <c r="G103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70" i="5"/>
  <c r="D103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70" i="5"/>
  <c r="B103" i="5"/>
  <c r="G26" i="5"/>
  <c r="F26" i="5"/>
  <c r="B26" i="5"/>
  <c r="M70" i="5"/>
  <c r="E70" i="5"/>
  <c r="N70" i="5" s="1"/>
  <c r="U70" i="5" s="1" a="1"/>
  <c r="U70" i="5" s="1"/>
  <c r="M41" i="5"/>
  <c r="E41" i="5"/>
  <c r="N41" i="5" s="1"/>
  <c r="U41" i="5" s="1" a="1"/>
  <c r="U41" i="5" s="1"/>
  <c r="Y41" i="5" l="1"/>
  <c r="Q41" i="5"/>
  <c r="R41" i="5"/>
  <c r="O41" i="5"/>
  <c r="S41" i="5"/>
  <c r="P41" i="5"/>
  <c r="Q70" i="5"/>
  <c r="W70" i="5"/>
  <c r="O70" i="5"/>
  <c r="S70" i="5"/>
  <c r="R70" i="5"/>
  <c r="P70" i="5"/>
  <c r="W10" i="5"/>
  <c r="X10" i="5"/>
  <c r="Y10" i="5"/>
  <c r="Z10" i="5"/>
  <c r="V10" i="5"/>
  <c r="T70" i="5" l="1"/>
  <c r="T41" i="5"/>
  <c r="V41" i="5"/>
  <c r="Y70" i="5"/>
  <c r="X41" i="5"/>
  <c r="W41" i="5"/>
  <c r="Z70" i="5"/>
  <c r="X70" i="5"/>
  <c r="Z41" i="5"/>
  <c r="V70" i="5"/>
  <c r="M61" i="5"/>
  <c r="E61" i="5"/>
  <c r="N61" i="5" s="1"/>
  <c r="U61" i="5" s="1" a="1"/>
  <c r="U61" i="5" s="1"/>
  <c r="M60" i="5"/>
  <c r="E60" i="5"/>
  <c r="N60" i="5" s="1"/>
  <c r="U60" i="5" s="1" a="1"/>
  <c r="U60" i="5" s="1"/>
  <c r="M63" i="5"/>
  <c r="E63" i="5"/>
  <c r="N63" i="5" s="1"/>
  <c r="U63" i="5" s="1" a="1"/>
  <c r="U63" i="5" s="1"/>
  <c r="AA70" i="5" l="1"/>
  <c r="AA41" i="5"/>
  <c r="P63" i="5"/>
  <c r="Q63" i="5"/>
  <c r="R63" i="5"/>
  <c r="O63" i="5"/>
  <c r="S63" i="5"/>
  <c r="V63" i="5"/>
  <c r="Y61" i="5"/>
  <c r="R61" i="5"/>
  <c r="O61" i="5"/>
  <c r="S61" i="5"/>
  <c r="P61" i="5"/>
  <c r="Q61" i="5"/>
  <c r="O60" i="5"/>
  <c r="S60" i="5"/>
  <c r="P60" i="5"/>
  <c r="Q60" i="5"/>
  <c r="R60" i="5"/>
  <c r="Z60" i="5"/>
  <c r="Z61" i="5" l="1"/>
  <c r="Y63" i="5"/>
  <c r="T63" i="5"/>
  <c r="T60" i="5"/>
  <c r="T61" i="5"/>
  <c r="W63" i="5"/>
  <c r="X61" i="5"/>
  <c r="X63" i="5"/>
  <c r="Z63" i="5"/>
  <c r="W60" i="5"/>
  <c r="V61" i="5"/>
  <c r="Y60" i="5"/>
  <c r="X60" i="5"/>
  <c r="V60" i="5"/>
  <c r="W61" i="5"/>
  <c r="B13" i="2"/>
  <c r="D13" i="2"/>
  <c r="C13" i="2"/>
  <c r="AA61" i="5" l="1"/>
  <c r="AA60" i="5"/>
  <c r="AA63" i="5"/>
  <c r="E31" i="5"/>
  <c r="N31" i="5" s="1"/>
  <c r="U31" i="5" s="1" a="1"/>
  <c r="U31" i="5" s="1"/>
  <c r="E17" i="5"/>
  <c r="N17" i="5" s="1"/>
  <c r="U17" i="5" s="1" a="1"/>
  <c r="U17" i="5" s="1"/>
  <c r="N7" i="5"/>
  <c r="U7" i="5" s="1" a="1"/>
  <c r="U7" i="5" s="1"/>
  <c r="N5" i="5"/>
  <c r="U5" i="5" s="1" a="1"/>
  <c r="U5" i="5" s="1"/>
  <c r="E27" i="5"/>
  <c r="N27" i="5" s="1"/>
  <c r="U27" i="5" s="1" a="1"/>
  <c r="U27" i="5" s="1"/>
  <c r="O27" i="5" l="1"/>
  <c r="S27" i="5"/>
  <c r="P27" i="5"/>
  <c r="Q27" i="5"/>
  <c r="R27" i="5"/>
  <c r="O31" i="5"/>
  <c r="S31" i="5"/>
  <c r="P31" i="5"/>
  <c r="Q31" i="5"/>
  <c r="R31" i="5"/>
  <c r="M115" i="5"/>
  <c r="F115" i="5"/>
  <c r="E115" i="5"/>
  <c r="N115" i="5" s="1"/>
  <c r="U115" i="5" s="1" a="1"/>
  <c r="U115" i="5" s="1"/>
  <c r="D115" i="5"/>
  <c r="B115" i="5"/>
  <c r="M113" i="5"/>
  <c r="F113" i="5"/>
  <c r="E113" i="5"/>
  <c r="N113" i="5" s="1"/>
  <c r="U113" i="5" s="1" a="1"/>
  <c r="U113" i="5" s="1"/>
  <c r="D113" i="5"/>
  <c r="B113" i="5"/>
  <c r="M114" i="5"/>
  <c r="F114" i="5"/>
  <c r="E114" i="5"/>
  <c r="N114" i="5" s="1"/>
  <c r="U114" i="5" s="1" a="1"/>
  <c r="U114" i="5" s="1"/>
  <c r="D114" i="5"/>
  <c r="B114" i="5"/>
  <c r="Q114" i="5" l="1"/>
  <c r="R114" i="5"/>
  <c r="O114" i="5"/>
  <c r="S114" i="5"/>
  <c r="P114" i="5"/>
  <c r="R113" i="5"/>
  <c r="O113" i="5"/>
  <c r="S113" i="5"/>
  <c r="P113" i="5"/>
  <c r="Q113" i="5"/>
  <c r="P115" i="5"/>
  <c r="Q115" i="5"/>
  <c r="R115" i="5"/>
  <c r="O115" i="5"/>
  <c r="S115" i="5"/>
  <c r="F13" i="2"/>
  <c r="E13" i="2"/>
  <c r="T113" i="5" l="1"/>
  <c r="T115" i="5"/>
  <c r="T114" i="5"/>
  <c r="W115" i="5"/>
  <c r="Z115" i="5"/>
  <c r="V115" i="5"/>
  <c r="Y115" i="5"/>
  <c r="X115" i="5"/>
  <c r="W113" i="5"/>
  <c r="Z113" i="5"/>
  <c r="V113" i="5"/>
  <c r="Y113" i="5"/>
  <c r="X113" i="5"/>
  <c r="W114" i="5"/>
  <c r="Y114" i="5"/>
  <c r="X114" i="5"/>
  <c r="Z114" i="5"/>
  <c r="V114" i="5"/>
  <c r="AA113" i="5" l="1"/>
  <c r="AA114" i="5"/>
  <c r="AA115" i="5"/>
  <c r="D17" i="2" l="1"/>
  <c r="N6" i="5"/>
  <c r="U6" i="5" s="1" a="1"/>
  <c r="U6" i="5" s="1"/>
  <c r="E30" i="5"/>
  <c r="N30" i="5" s="1"/>
  <c r="U30" i="5" s="1" a="1"/>
  <c r="U30" i="5" s="1"/>
  <c r="E23" i="5"/>
  <c r="N23" i="5" s="1"/>
  <c r="U23" i="5" s="1" a="1"/>
  <c r="U23" i="5" s="1"/>
  <c r="E18" i="5"/>
  <c r="N18" i="5" s="1"/>
  <c r="U18" i="5" s="1" a="1"/>
  <c r="U18" i="5" s="1"/>
  <c r="Q18" i="5" l="1"/>
  <c r="S18" i="5"/>
  <c r="R18" i="5"/>
  <c r="P18" i="5"/>
  <c r="O18" i="5"/>
  <c r="P23" i="5"/>
  <c r="O23" i="5"/>
  <c r="R23" i="5"/>
  <c r="S23" i="5"/>
  <c r="Q23" i="5"/>
  <c r="P30" i="5"/>
  <c r="Q30" i="5"/>
  <c r="R30" i="5"/>
  <c r="O30" i="5"/>
  <c r="S30" i="5"/>
  <c r="E108" i="5"/>
  <c r="E106" i="5"/>
  <c r="U106" i="5" s="1" a="1"/>
  <c r="U106" i="5" s="1"/>
  <c r="E14" i="5" l="1"/>
  <c r="N14" i="5" s="1"/>
  <c r="U14" i="5" s="1" a="1"/>
  <c r="U14" i="5" s="1"/>
  <c r="N108" i="5" l="1"/>
  <c r="U108" i="5" s="1" a="1"/>
  <c r="U108" i="5" s="1"/>
  <c r="E26" i="5"/>
  <c r="E107" i="5"/>
  <c r="U107" i="5" s="1" a="1"/>
  <c r="U107" i="5" s="1"/>
  <c r="E109" i="5"/>
  <c r="N109" i="5" s="1"/>
  <c r="U109" i="5" s="1" a="1"/>
  <c r="U109" i="5" s="1"/>
  <c r="E110" i="5"/>
  <c r="N110" i="5" s="1"/>
  <c r="U110" i="5" s="1" a="1"/>
  <c r="U110" i="5" s="1"/>
  <c r="E111" i="5"/>
  <c r="N111" i="5" s="1"/>
  <c r="U111" i="5" s="1" a="1"/>
  <c r="U111" i="5" s="1"/>
  <c r="E112" i="5"/>
  <c r="N112" i="5" s="1"/>
  <c r="U112" i="5" s="1" a="1"/>
  <c r="U112" i="5" s="1"/>
  <c r="E116" i="5"/>
  <c r="N116" i="5" s="1"/>
  <c r="U116" i="5" s="1" a="1"/>
  <c r="U116" i="5" s="1"/>
  <c r="E117" i="5"/>
  <c r="N117" i="5" s="1"/>
  <c r="U117" i="5" s="1" a="1"/>
  <c r="U117" i="5" s="1"/>
  <c r="E118" i="5"/>
  <c r="U118" i="5" s="1" a="1"/>
  <c r="U118" i="5" s="1"/>
  <c r="E119" i="5"/>
  <c r="U119" i="5" s="1" a="1"/>
  <c r="U119" i="5" s="1"/>
  <c r="E120" i="5"/>
  <c r="U120" i="5" s="1" a="1"/>
  <c r="U120" i="5" s="1"/>
  <c r="E123" i="5"/>
  <c r="Q110" i="5" l="1"/>
  <c r="R110" i="5"/>
  <c r="O110" i="5"/>
  <c r="S110" i="5"/>
  <c r="P110" i="5"/>
  <c r="O116" i="5"/>
  <c r="S116" i="5"/>
  <c r="P116" i="5"/>
  <c r="Q116" i="5"/>
  <c r="R116" i="5"/>
  <c r="R109" i="5"/>
  <c r="O109" i="5"/>
  <c r="S109" i="5"/>
  <c r="P109" i="5"/>
  <c r="Q109" i="5"/>
  <c r="O112" i="5"/>
  <c r="S112" i="5"/>
  <c r="P112" i="5"/>
  <c r="Q112" i="5"/>
  <c r="R112" i="5"/>
  <c r="R117" i="5"/>
  <c r="O117" i="5"/>
  <c r="S117" i="5"/>
  <c r="P117" i="5"/>
  <c r="Q117" i="5"/>
  <c r="P111" i="5"/>
  <c r="Q111" i="5"/>
  <c r="R111" i="5"/>
  <c r="O111" i="5"/>
  <c r="S111" i="5"/>
  <c r="O108" i="5"/>
  <c r="S108" i="5"/>
  <c r="P108" i="5"/>
  <c r="Q108" i="5"/>
  <c r="R108" i="5"/>
  <c r="N26" i="5"/>
  <c r="U26" i="5" s="1" a="1"/>
  <c r="U26" i="5" s="1"/>
  <c r="M22" i="5"/>
  <c r="M18" i="5"/>
  <c r="S26" i="5" l="1"/>
  <c r="P26" i="5"/>
  <c r="O26" i="5"/>
  <c r="Q26" i="5"/>
  <c r="R26" i="5"/>
  <c r="T18" i="5"/>
  <c r="W18" i="5"/>
  <c r="Z18" i="5"/>
  <c r="X18" i="5"/>
  <c r="Y18" i="5"/>
  <c r="V18" i="5"/>
  <c r="AA18" i="5" l="1"/>
  <c r="M272" i="5" l="1"/>
  <c r="E272" i="5"/>
  <c r="M271" i="5"/>
  <c r="E271" i="5"/>
  <c r="M168" i="5"/>
  <c r="E168" i="5"/>
  <c r="M169" i="5"/>
  <c r="E169" i="5"/>
  <c r="M170" i="5"/>
  <c r="E170" i="5"/>
  <c r="M167" i="5"/>
  <c r="E167" i="5"/>
  <c r="N170" i="5" l="1"/>
  <c r="U170" i="5" s="1" a="1"/>
  <c r="U170" i="5" s="1"/>
  <c r="G170" i="5"/>
  <c r="G168" i="5"/>
  <c r="N168" i="5"/>
  <c r="U168" i="5" s="1" a="1"/>
  <c r="U168" i="5" s="1"/>
  <c r="N272" i="5"/>
  <c r="U272" i="5" s="1" a="1"/>
  <c r="U272" i="5" s="1"/>
  <c r="G272" i="5"/>
  <c r="N167" i="5"/>
  <c r="U167" i="5" s="1" a="1"/>
  <c r="U167" i="5" s="1"/>
  <c r="G167" i="5"/>
  <c r="N169" i="5"/>
  <c r="U169" i="5" s="1" a="1"/>
  <c r="U169" i="5" s="1"/>
  <c r="G169" i="5"/>
  <c r="N271" i="5"/>
  <c r="U271" i="5" s="1" a="1"/>
  <c r="U271" i="5" s="1"/>
  <c r="G271" i="5"/>
  <c r="Y169" i="5" l="1"/>
  <c r="P169" i="5"/>
  <c r="R169" i="5"/>
  <c r="S169" i="5"/>
  <c r="O169" i="5"/>
  <c r="Q169" i="5"/>
  <c r="Q168" i="5"/>
  <c r="Y168" i="5"/>
  <c r="O168" i="5"/>
  <c r="S168" i="5"/>
  <c r="P168" i="5"/>
  <c r="R168" i="5"/>
  <c r="W167" i="5"/>
  <c r="R167" i="5"/>
  <c r="P167" i="5"/>
  <c r="O167" i="5"/>
  <c r="Q167" i="5"/>
  <c r="S167" i="5"/>
  <c r="V271" i="5"/>
  <c r="P271" i="5"/>
  <c r="Q271" i="5"/>
  <c r="O271" i="5"/>
  <c r="R271" i="5"/>
  <c r="S271" i="5"/>
  <c r="X272" i="5"/>
  <c r="O272" i="5"/>
  <c r="S272" i="5"/>
  <c r="P272" i="5"/>
  <c r="Q272" i="5"/>
  <c r="R272" i="5"/>
  <c r="W170" i="5"/>
  <c r="O170" i="5"/>
  <c r="S170" i="5"/>
  <c r="Q170" i="5"/>
  <c r="P170" i="5"/>
  <c r="R170" i="5"/>
  <c r="Z169" i="5" l="1"/>
  <c r="X169" i="5"/>
  <c r="W169" i="5"/>
  <c r="V167" i="5"/>
  <c r="V169" i="5"/>
  <c r="T168" i="5"/>
  <c r="X167" i="5"/>
  <c r="W168" i="5"/>
  <c r="T271" i="5"/>
  <c r="Z272" i="5"/>
  <c r="Y170" i="5"/>
  <c r="Z167" i="5"/>
  <c r="V272" i="5"/>
  <c r="Y271" i="5"/>
  <c r="Y272" i="5"/>
  <c r="X271" i="5"/>
  <c r="V168" i="5"/>
  <c r="W271" i="5"/>
  <c r="V170" i="5"/>
  <c r="T170" i="5"/>
  <c r="T272" i="5"/>
  <c r="T167" i="5"/>
  <c r="T169" i="5"/>
  <c r="Z170" i="5"/>
  <c r="X170" i="5"/>
  <c r="W272" i="5"/>
  <c r="X168" i="5"/>
  <c r="Y167" i="5"/>
  <c r="Z271" i="5"/>
  <c r="Z168" i="5"/>
  <c r="AA169" i="5" l="1"/>
  <c r="AA167" i="5"/>
  <c r="AA271" i="5"/>
  <c r="AA272" i="5"/>
  <c r="AA170" i="5"/>
  <c r="AA168" i="5"/>
  <c r="E14" i="2"/>
  <c r="F14" i="2" l="1"/>
  <c r="D14" i="2"/>
  <c r="C14" i="2"/>
  <c r="B14" i="2"/>
  <c r="N8" i="5" l="1"/>
  <c r="U8" i="5" s="1" a="1"/>
  <c r="U8" i="5" s="1"/>
  <c r="E22" i="5" l="1"/>
  <c r="N22" i="5" s="1"/>
  <c r="U22" i="5" s="1" a="1"/>
  <c r="U22" i="5" s="1"/>
  <c r="M30" i="5"/>
  <c r="E21" i="5"/>
  <c r="N21" i="5" s="1"/>
  <c r="U21" i="5" s="1" a="1"/>
  <c r="U21" i="5" s="1"/>
  <c r="E10" i="5"/>
  <c r="U10" i="5" s="1" a="1"/>
  <c r="U10" i="5" s="1"/>
  <c r="E12" i="5"/>
  <c r="N12" i="5" s="1"/>
  <c r="E15" i="5"/>
  <c r="N15" i="5" s="1"/>
  <c r="U15" i="5" s="1" a="1"/>
  <c r="U15" i="5" s="1"/>
  <c r="E16" i="5"/>
  <c r="N16" i="5" s="1"/>
  <c r="U16" i="5" s="1" a="1"/>
  <c r="U16" i="5" s="1"/>
  <c r="E19" i="5"/>
  <c r="U19" i="5" s="1" a="1"/>
  <c r="U19" i="5" s="1"/>
  <c r="E20" i="5"/>
  <c r="U20" i="5" s="1" a="1"/>
  <c r="U20" i="5" s="1"/>
  <c r="E28" i="5"/>
  <c r="E29" i="5"/>
  <c r="E32" i="5"/>
  <c r="E33" i="5"/>
  <c r="E34" i="5"/>
  <c r="E35" i="5"/>
  <c r="E36" i="5"/>
  <c r="E37" i="5"/>
  <c r="E38" i="5"/>
  <c r="E39" i="5"/>
  <c r="E40" i="5"/>
  <c r="E42" i="5"/>
  <c r="E44" i="5"/>
  <c r="E45" i="5"/>
  <c r="E46" i="5"/>
  <c r="E47" i="5"/>
  <c r="E48" i="5"/>
  <c r="E49" i="5"/>
  <c r="E50" i="5"/>
  <c r="E51" i="5"/>
  <c r="E52" i="5"/>
  <c r="N52" i="5" s="1"/>
  <c r="U52" i="5" s="1" a="1"/>
  <c r="U52" i="5" s="1"/>
  <c r="E53" i="5"/>
  <c r="E54" i="5"/>
  <c r="E55" i="5"/>
  <c r="E56" i="5"/>
  <c r="E57" i="5"/>
  <c r="E58" i="5"/>
  <c r="E59" i="5"/>
  <c r="E62" i="5"/>
  <c r="N62" i="5" s="1"/>
  <c r="U62" i="5" s="1" a="1"/>
  <c r="U62" i="5" s="1"/>
  <c r="E103" i="5"/>
  <c r="E124" i="5"/>
  <c r="E125" i="5"/>
  <c r="E126" i="5"/>
  <c r="E127" i="5"/>
  <c r="E128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8" i="5"/>
  <c r="E159" i="5"/>
  <c r="E160" i="5"/>
  <c r="E161" i="5"/>
  <c r="E162" i="5"/>
  <c r="E163" i="5"/>
  <c r="E164" i="5"/>
  <c r="E165" i="5"/>
  <c r="E166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54" i="5"/>
  <c r="E255" i="5"/>
  <c r="E256" i="5"/>
  <c r="E257" i="5"/>
  <c r="E258" i="5"/>
  <c r="E259" i="5"/>
  <c r="E261" i="5"/>
  <c r="E262" i="5"/>
  <c r="E263" i="5"/>
  <c r="E264" i="5"/>
  <c r="E265" i="5"/>
  <c r="E266" i="5"/>
  <c r="E267" i="5"/>
  <c r="E268" i="5"/>
  <c r="E269" i="5"/>
  <c r="E270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59" i="5"/>
  <c r="E360" i="5"/>
  <c r="E361" i="5"/>
  <c r="E362" i="5"/>
  <c r="E363" i="5"/>
  <c r="E364" i="5"/>
  <c r="E365" i="5"/>
  <c r="E366" i="5"/>
  <c r="E367" i="5"/>
  <c r="E368" i="5"/>
  <c r="E369" i="5"/>
  <c r="E370" i="5"/>
  <c r="E371" i="5"/>
  <c r="E372" i="5"/>
  <c r="U12" i="5" l="1" a="1"/>
  <c r="U12" i="5" s="1"/>
  <c r="P22" i="5"/>
  <c r="Q22" i="5"/>
  <c r="O22" i="5"/>
  <c r="R22" i="5"/>
  <c r="S22" i="5"/>
  <c r="O52" i="5"/>
  <c r="S52" i="5"/>
  <c r="P52" i="5"/>
  <c r="Q52" i="5"/>
  <c r="R52" i="5"/>
  <c r="Q62" i="5"/>
  <c r="R62" i="5"/>
  <c r="O62" i="5"/>
  <c r="S62" i="5"/>
  <c r="P62" i="5"/>
  <c r="N371" i="5"/>
  <c r="U371" i="5" s="1" a="1"/>
  <c r="U371" i="5" s="1"/>
  <c r="G371" i="5"/>
  <c r="N359" i="5"/>
  <c r="U359" i="5" s="1" a="1"/>
  <c r="U359" i="5" s="1"/>
  <c r="G359" i="5"/>
  <c r="N347" i="5"/>
  <c r="U347" i="5" s="1" a="1"/>
  <c r="U347" i="5" s="1"/>
  <c r="G347" i="5"/>
  <c r="N335" i="5"/>
  <c r="U335" i="5" s="1" a="1"/>
  <c r="U335" i="5" s="1"/>
  <c r="G335" i="5"/>
  <c r="N319" i="5"/>
  <c r="U319" i="5" s="1" a="1"/>
  <c r="U319" i="5" s="1"/>
  <c r="G319" i="5"/>
  <c r="N307" i="5"/>
  <c r="U307" i="5" s="1" a="1"/>
  <c r="U307" i="5" s="1"/>
  <c r="G307" i="5"/>
  <c r="N294" i="5"/>
  <c r="U294" i="5" s="1" a="1"/>
  <c r="U294" i="5" s="1"/>
  <c r="G294" i="5"/>
  <c r="N282" i="5"/>
  <c r="U282" i="5" s="1" a="1"/>
  <c r="U282" i="5" s="1"/>
  <c r="G282" i="5"/>
  <c r="G268" i="5"/>
  <c r="N268" i="5"/>
  <c r="U268" i="5" s="1" a="1"/>
  <c r="U268" i="5" s="1"/>
  <c r="N255" i="5"/>
  <c r="U255" i="5" s="1" a="1"/>
  <c r="U255" i="5" s="1"/>
  <c r="G255" i="5"/>
  <c r="G235" i="5"/>
  <c r="N235" i="5"/>
  <c r="U235" i="5" s="1" a="1"/>
  <c r="U235" i="5" s="1"/>
  <c r="N223" i="5"/>
  <c r="U223" i="5" s="1" a="1"/>
  <c r="U223" i="5" s="1"/>
  <c r="G223" i="5"/>
  <c r="G211" i="5"/>
  <c r="N211" i="5"/>
  <c r="U211" i="5" s="1" a="1"/>
  <c r="U211" i="5" s="1"/>
  <c r="G195" i="5"/>
  <c r="N195" i="5"/>
  <c r="U195" i="5" s="1" a="1"/>
  <c r="U195" i="5" s="1"/>
  <c r="N183" i="5"/>
  <c r="U183" i="5" s="1" a="1"/>
  <c r="U183" i="5" s="1"/>
  <c r="G183" i="5"/>
  <c r="G163" i="5"/>
  <c r="N163" i="5"/>
  <c r="U163" i="5" s="1" a="1"/>
  <c r="U163" i="5" s="1"/>
  <c r="N142" i="5"/>
  <c r="U142" i="5" s="1" a="1"/>
  <c r="U142" i="5" s="1"/>
  <c r="G142" i="5"/>
  <c r="G366" i="5"/>
  <c r="N366" i="5"/>
  <c r="U366" i="5" s="1" a="1"/>
  <c r="U366" i="5" s="1"/>
  <c r="G358" i="5"/>
  <c r="N358" i="5"/>
  <c r="U358" i="5" s="1" a="1"/>
  <c r="U358" i="5" s="1"/>
  <c r="G350" i="5"/>
  <c r="N350" i="5"/>
  <c r="U350" i="5" s="1" a="1"/>
  <c r="U350" i="5" s="1"/>
  <c r="G342" i="5"/>
  <c r="N342" i="5"/>
  <c r="U342" i="5" s="1" a="1"/>
  <c r="U342" i="5" s="1"/>
  <c r="G334" i="5"/>
  <c r="N334" i="5"/>
  <c r="U334" i="5" s="1" a="1"/>
  <c r="U334" i="5" s="1"/>
  <c r="N330" i="5"/>
  <c r="U330" i="5" s="1" a="1"/>
  <c r="U330" i="5" s="1"/>
  <c r="G330" i="5"/>
  <c r="G326" i="5"/>
  <c r="N326" i="5"/>
  <c r="U326" i="5" s="1" a="1"/>
  <c r="U326" i="5" s="1"/>
  <c r="N322" i="5"/>
  <c r="U322" i="5" s="1" a="1"/>
  <c r="U322" i="5" s="1"/>
  <c r="G322" i="5"/>
  <c r="G318" i="5"/>
  <c r="N318" i="5"/>
  <c r="U318" i="5" s="1" a="1"/>
  <c r="U318" i="5" s="1"/>
  <c r="N314" i="5"/>
  <c r="U314" i="5" s="1" a="1"/>
  <c r="U314" i="5" s="1"/>
  <c r="G314" i="5"/>
  <c r="G310" i="5"/>
  <c r="N310" i="5"/>
  <c r="U310" i="5" s="1" a="1"/>
  <c r="U310" i="5" s="1"/>
  <c r="N306" i="5"/>
  <c r="U306" i="5" s="1" a="1"/>
  <c r="U306" i="5" s="1"/>
  <c r="G306" i="5"/>
  <c r="G302" i="5"/>
  <c r="N302" i="5"/>
  <c r="U302" i="5" s="1" a="1"/>
  <c r="U302" i="5" s="1"/>
  <c r="N297" i="5"/>
  <c r="U297" i="5" s="1" a="1"/>
  <c r="U297" i="5" s="1"/>
  <c r="G297" i="5"/>
  <c r="G293" i="5"/>
  <c r="N293" i="5"/>
  <c r="U293" i="5" s="1" a="1"/>
  <c r="U293" i="5" s="1"/>
  <c r="N289" i="5"/>
  <c r="U289" i="5" s="1" a="1"/>
  <c r="U289" i="5" s="1"/>
  <c r="G289" i="5"/>
  <c r="G285" i="5"/>
  <c r="N285" i="5"/>
  <c r="U285" i="5" s="1" a="1"/>
  <c r="U285" i="5" s="1"/>
  <c r="N281" i="5"/>
  <c r="U281" i="5" s="1" a="1"/>
  <c r="U281" i="5" s="1"/>
  <c r="G281" i="5"/>
  <c r="G277" i="5"/>
  <c r="N277" i="5"/>
  <c r="U277" i="5" s="1" a="1"/>
  <c r="U277" i="5" s="1"/>
  <c r="N273" i="5"/>
  <c r="U273" i="5" s="1" a="1"/>
  <c r="U273" i="5" s="1"/>
  <c r="G273" i="5"/>
  <c r="N267" i="5"/>
  <c r="U267" i="5" s="1" a="1"/>
  <c r="U267" i="5" s="1"/>
  <c r="G267" i="5"/>
  <c r="N263" i="5"/>
  <c r="U263" i="5" s="1" a="1"/>
  <c r="U263" i="5" s="1"/>
  <c r="G263" i="5"/>
  <c r="N258" i="5"/>
  <c r="U258" i="5" s="1" a="1"/>
  <c r="U258" i="5" s="1"/>
  <c r="G258" i="5"/>
  <c r="N254" i="5"/>
  <c r="U254" i="5" s="1" a="1"/>
  <c r="U254" i="5" s="1"/>
  <c r="G254" i="5"/>
  <c r="N242" i="5"/>
  <c r="U242" i="5" s="1" a="1"/>
  <c r="U242" i="5" s="1"/>
  <c r="G242" i="5"/>
  <c r="N238" i="5"/>
  <c r="U238" i="5" s="1" a="1"/>
  <c r="U238" i="5" s="1"/>
  <c r="G238" i="5"/>
  <c r="N234" i="5"/>
  <c r="U234" i="5" s="1" a="1"/>
  <c r="U234" i="5" s="1"/>
  <c r="G234" i="5"/>
  <c r="N230" i="5"/>
  <c r="U230" i="5" s="1" a="1"/>
  <c r="U230" i="5" s="1"/>
  <c r="G230" i="5"/>
  <c r="N226" i="5"/>
  <c r="U226" i="5" s="1" a="1"/>
  <c r="U226" i="5" s="1"/>
  <c r="G226" i="5"/>
  <c r="N222" i="5"/>
  <c r="U222" i="5" s="1" a="1"/>
  <c r="U222" i="5" s="1"/>
  <c r="G222" i="5"/>
  <c r="N218" i="5"/>
  <c r="U218" i="5" s="1" a="1"/>
  <c r="U218" i="5" s="1"/>
  <c r="G218" i="5"/>
  <c r="N214" i="5"/>
  <c r="U214" i="5" s="1" a="1"/>
  <c r="U214" i="5" s="1"/>
  <c r="G214" i="5"/>
  <c r="N210" i="5"/>
  <c r="U210" i="5" s="1" a="1"/>
  <c r="U210" i="5" s="1"/>
  <c r="G210" i="5"/>
  <c r="N206" i="5"/>
  <c r="U206" i="5" s="1" a="1"/>
  <c r="U206" i="5" s="1"/>
  <c r="G206" i="5"/>
  <c r="N202" i="5"/>
  <c r="U202" i="5" s="1" a="1"/>
  <c r="U202" i="5" s="1"/>
  <c r="G202" i="5"/>
  <c r="N198" i="5"/>
  <c r="U198" i="5" s="1" a="1"/>
  <c r="U198" i="5" s="1"/>
  <c r="G198" i="5"/>
  <c r="N194" i="5"/>
  <c r="U194" i="5" s="1" a="1"/>
  <c r="U194" i="5" s="1"/>
  <c r="G194" i="5"/>
  <c r="N190" i="5"/>
  <c r="U190" i="5" s="1" a="1"/>
  <c r="U190" i="5" s="1"/>
  <c r="G190" i="5"/>
  <c r="N186" i="5"/>
  <c r="U186" i="5" s="1" a="1"/>
  <c r="U186" i="5" s="1"/>
  <c r="G186" i="5"/>
  <c r="N182" i="5"/>
  <c r="U182" i="5" s="1" a="1"/>
  <c r="U182" i="5" s="1"/>
  <c r="G182" i="5"/>
  <c r="N178" i="5"/>
  <c r="U178" i="5" s="1" a="1"/>
  <c r="U178" i="5" s="1"/>
  <c r="G178" i="5"/>
  <c r="N174" i="5"/>
  <c r="U174" i="5" s="1" a="1"/>
  <c r="U174" i="5" s="1"/>
  <c r="G174" i="5"/>
  <c r="N166" i="5"/>
  <c r="U166" i="5" s="1" a="1"/>
  <c r="U166" i="5" s="1"/>
  <c r="G166" i="5"/>
  <c r="N162" i="5"/>
  <c r="U162" i="5" s="1" a="1"/>
  <c r="U162" i="5" s="1"/>
  <c r="G162" i="5"/>
  <c r="N158" i="5"/>
  <c r="U158" i="5" s="1" a="1"/>
  <c r="U158" i="5" s="1"/>
  <c r="G158" i="5"/>
  <c r="N153" i="5"/>
  <c r="U153" i="5" s="1" a="1"/>
  <c r="U153" i="5" s="1"/>
  <c r="G153" i="5"/>
  <c r="N149" i="5"/>
  <c r="U149" i="5" s="1" a="1"/>
  <c r="U149" i="5" s="1"/>
  <c r="G149" i="5"/>
  <c r="N145" i="5"/>
  <c r="U145" i="5" s="1" a="1"/>
  <c r="U145" i="5" s="1"/>
  <c r="G145" i="5"/>
  <c r="N141" i="5"/>
  <c r="U141" i="5" s="1" a="1"/>
  <c r="U141" i="5" s="1"/>
  <c r="G141" i="5"/>
  <c r="N125" i="5"/>
  <c r="U125" i="5" s="1" a="1"/>
  <c r="U125" i="5" s="1"/>
  <c r="G125" i="5"/>
  <c r="N363" i="5"/>
  <c r="U363" i="5" s="1" a="1"/>
  <c r="U363" i="5" s="1"/>
  <c r="G363" i="5"/>
  <c r="N355" i="5"/>
  <c r="U355" i="5" s="1" a="1"/>
  <c r="U355" i="5" s="1"/>
  <c r="G355" i="5"/>
  <c r="N343" i="5"/>
  <c r="U343" i="5" s="1" a="1"/>
  <c r="U343" i="5" s="1"/>
  <c r="G343" i="5"/>
  <c r="N331" i="5"/>
  <c r="U331" i="5" s="1" a="1"/>
  <c r="U331" i="5" s="1"/>
  <c r="G331" i="5"/>
  <c r="N323" i="5"/>
  <c r="U323" i="5" s="1" a="1"/>
  <c r="U323" i="5" s="1"/>
  <c r="G323" i="5"/>
  <c r="N311" i="5"/>
  <c r="U311" i="5" s="1" a="1"/>
  <c r="U311" i="5" s="1"/>
  <c r="G311" i="5"/>
  <c r="N298" i="5"/>
  <c r="U298" i="5" s="1" a="1"/>
  <c r="U298" i="5" s="1"/>
  <c r="G298" i="5"/>
  <c r="N286" i="5"/>
  <c r="U286" i="5" s="1" a="1"/>
  <c r="U286" i="5" s="1"/>
  <c r="G286" i="5"/>
  <c r="N274" i="5"/>
  <c r="U274" i="5" s="1" a="1"/>
  <c r="U274" i="5" s="1"/>
  <c r="G274" i="5"/>
  <c r="G259" i="5"/>
  <c r="N259" i="5"/>
  <c r="U259" i="5" s="1" a="1"/>
  <c r="U259" i="5" s="1"/>
  <c r="N239" i="5"/>
  <c r="U239" i="5" s="1" a="1"/>
  <c r="U239" i="5" s="1"/>
  <c r="G239" i="5"/>
  <c r="G227" i="5"/>
  <c r="N227" i="5"/>
  <c r="U227" i="5" s="1" a="1"/>
  <c r="U227" i="5" s="1"/>
  <c r="N215" i="5"/>
  <c r="U215" i="5" s="1" a="1"/>
  <c r="U215" i="5" s="1"/>
  <c r="G215" i="5"/>
  <c r="N207" i="5"/>
  <c r="U207" i="5" s="1" a="1"/>
  <c r="U207" i="5" s="1"/>
  <c r="G207" i="5"/>
  <c r="N199" i="5"/>
  <c r="U199" i="5" s="1" a="1"/>
  <c r="U199" i="5" s="1"/>
  <c r="G199" i="5"/>
  <c r="G187" i="5"/>
  <c r="N187" i="5"/>
  <c r="U187" i="5" s="1" a="1"/>
  <c r="U187" i="5" s="1"/>
  <c r="N175" i="5"/>
  <c r="U175" i="5" s="1" a="1"/>
  <c r="U175" i="5" s="1"/>
  <c r="G175" i="5"/>
  <c r="N159" i="5"/>
  <c r="U159" i="5" s="1" a="1"/>
  <c r="U159" i="5" s="1"/>
  <c r="G159" i="5"/>
  <c r="G154" i="5"/>
  <c r="N154" i="5"/>
  <c r="U154" i="5" s="1" a="1"/>
  <c r="U154" i="5" s="1"/>
  <c r="G146" i="5"/>
  <c r="N146" i="5"/>
  <c r="U146" i="5" s="1" a="1"/>
  <c r="U146" i="5" s="1"/>
  <c r="N126" i="5"/>
  <c r="U126" i="5" s="1" a="1"/>
  <c r="U126" i="5" s="1"/>
  <c r="G126" i="5"/>
  <c r="N370" i="5"/>
  <c r="U370" i="5" s="1" a="1"/>
  <c r="U370" i="5" s="1"/>
  <c r="G370" i="5"/>
  <c r="N362" i="5"/>
  <c r="U362" i="5" s="1" a="1"/>
  <c r="U362" i="5" s="1"/>
  <c r="G362" i="5"/>
  <c r="N354" i="5"/>
  <c r="U354" i="5" s="1" a="1"/>
  <c r="U354" i="5" s="1"/>
  <c r="G354" i="5"/>
  <c r="N346" i="5"/>
  <c r="U346" i="5" s="1" a="1"/>
  <c r="U346" i="5" s="1"/>
  <c r="G346" i="5"/>
  <c r="N338" i="5"/>
  <c r="U338" i="5" s="1" a="1"/>
  <c r="U338" i="5" s="1"/>
  <c r="G338" i="5"/>
  <c r="N369" i="5"/>
  <c r="U369" i="5" s="1" a="1"/>
  <c r="U369" i="5" s="1"/>
  <c r="G369" i="5"/>
  <c r="G365" i="5"/>
  <c r="N365" i="5"/>
  <c r="U365" i="5" s="1" a="1"/>
  <c r="U365" i="5" s="1"/>
  <c r="N361" i="5"/>
  <c r="U361" i="5" s="1" a="1"/>
  <c r="U361" i="5" s="1"/>
  <c r="G361" i="5"/>
  <c r="G357" i="5"/>
  <c r="N357" i="5"/>
  <c r="U357" i="5" s="1" a="1"/>
  <c r="U357" i="5" s="1"/>
  <c r="N353" i="5"/>
  <c r="U353" i="5" s="1" a="1"/>
  <c r="U353" i="5" s="1"/>
  <c r="G353" i="5"/>
  <c r="G349" i="5"/>
  <c r="N349" i="5"/>
  <c r="U349" i="5" s="1" a="1"/>
  <c r="U349" i="5" s="1"/>
  <c r="N345" i="5"/>
  <c r="U345" i="5" s="1" a="1"/>
  <c r="U345" i="5" s="1"/>
  <c r="G345" i="5"/>
  <c r="G341" i="5"/>
  <c r="N341" i="5"/>
  <c r="U341" i="5" s="1" a="1"/>
  <c r="U341" i="5" s="1"/>
  <c r="N337" i="5"/>
  <c r="U337" i="5" s="1" a="1"/>
  <c r="U337" i="5" s="1"/>
  <c r="G337" i="5"/>
  <c r="G333" i="5"/>
  <c r="N333" i="5"/>
  <c r="U333" i="5" s="1" a="1"/>
  <c r="U333" i="5" s="1"/>
  <c r="N329" i="5"/>
  <c r="U329" i="5" s="1" a="1"/>
  <c r="U329" i="5" s="1"/>
  <c r="G329" i="5"/>
  <c r="G325" i="5"/>
  <c r="N325" i="5"/>
  <c r="U325" i="5" s="1" a="1"/>
  <c r="U325" i="5" s="1"/>
  <c r="N321" i="5"/>
  <c r="U321" i="5" s="1" a="1"/>
  <c r="U321" i="5" s="1"/>
  <c r="G321" i="5"/>
  <c r="G317" i="5"/>
  <c r="N317" i="5"/>
  <c r="U317" i="5" s="1" a="1"/>
  <c r="U317" i="5" s="1"/>
  <c r="N313" i="5"/>
  <c r="U313" i="5" s="1" a="1"/>
  <c r="U313" i="5" s="1"/>
  <c r="G313" i="5"/>
  <c r="G309" i="5"/>
  <c r="N309" i="5"/>
  <c r="U309" i="5" s="1" a="1"/>
  <c r="U309" i="5" s="1"/>
  <c r="N305" i="5"/>
  <c r="U305" i="5" s="1" a="1"/>
  <c r="U305" i="5" s="1"/>
  <c r="G305" i="5"/>
  <c r="G301" i="5"/>
  <c r="N301" i="5"/>
  <c r="U301" i="5" s="1" a="1"/>
  <c r="U301" i="5" s="1"/>
  <c r="N296" i="5"/>
  <c r="U296" i="5" s="1" a="1"/>
  <c r="U296" i="5" s="1"/>
  <c r="G296" i="5"/>
  <c r="G292" i="5"/>
  <c r="N292" i="5"/>
  <c r="U292" i="5" s="1" a="1"/>
  <c r="U292" i="5" s="1"/>
  <c r="N288" i="5"/>
  <c r="U288" i="5" s="1" a="1"/>
  <c r="U288" i="5" s="1"/>
  <c r="G288" i="5"/>
  <c r="G284" i="5"/>
  <c r="N284" i="5"/>
  <c r="U284" i="5" s="1" a="1"/>
  <c r="U284" i="5" s="1"/>
  <c r="N280" i="5"/>
  <c r="U280" i="5" s="1" a="1"/>
  <c r="U280" i="5" s="1"/>
  <c r="G280" i="5"/>
  <c r="G276" i="5"/>
  <c r="N276" i="5"/>
  <c r="U276" i="5" s="1" a="1"/>
  <c r="U276" i="5" s="1"/>
  <c r="N270" i="5"/>
  <c r="U270" i="5" s="1" a="1"/>
  <c r="U270" i="5" s="1"/>
  <c r="G270" i="5"/>
  <c r="N266" i="5"/>
  <c r="U266" i="5" s="1" a="1"/>
  <c r="U266" i="5" s="1"/>
  <c r="G266" i="5"/>
  <c r="N262" i="5"/>
  <c r="U262" i="5" s="1" a="1"/>
  <c r="U262" i="5" s="1"/>
  <c r="G262" i="5"/>
  <c r="N257" i="5"/>
  <c r="U257" i="5" s="1" a="1"/>
  <c r="U257" i="5" s="1"/>
  <c r="G257" i="5"/>
  <c r="N245" i="5"/>
  <c r="U245" i="5" s="1" a="1"/>
  <c r="U245" i="5" s="1"/>
  <c r="G245" i="5"/>
  <c r="N241" i="5"/>
  <c r="U241" i="5" s="1" a="1"/>
  <c r="U241" i="5" s="1"/>
  <c r="G241" i="5"/>
  <c r="N237" i="5"/>
  <c r="U237" i="5" s="1" a="1"/>
  <c r="U237" i="5" s="1"/>
  <c r="G237" i="5"/>
  <c r="N233" i="5"/>
  <c r="U233" i="5" s="1" a="1"/>
  <c r="U233" i="5" s="1"/>
  <c r="G233" i="5"/>
  <c r="N229" i="5"/>
  <c r="U229" i="5" s="1" a="1"/>
  <c r="U229" i="5" s="1"/>
  <c r="G229" i="5"/>
  <c r="N225" i="5"/>
  <c r="U225" i="5" s="1" a="1"/>
  <c r="U225" i="5" s="1"/>
  <c r="G225" i="5"/>
  <c r="N221" i="5"/>
  <c r="U221" i="5" s="1" a="1"/>
  <c r="U221" i="5" s="1"/>
  <c r="G221" i="5"/>
  <c r="N217" i="5"/>
  <c r="U217" i="5" s="1" a="1"/>
  <c r="U217" i="5" s="1"/>
  <c r="G217" i="5"/>
  <c r="N213" i="5"/>
  <c r="U213" i="5" s="1" a="1"/>
  <c r="U213" i="5" s="1"/>
  <c r="G213" i="5"/>
  <c r="N209" i="5"/>
  <c r="U209" i="5" s="1" a="1"/>
  <c r="U209" i="5" s="1"/>
  <c r="G209" i="5"/>
  <c r="N205" i="5"/>
  <c r="U205" i="5" s="1" a="1"/>
  <c r="U205" i="5" s="1"/>
  <c r="G205" i="5"/>
  <c r="N201" i="5"/>
  <c r="U201" i="5" s="1" a="1"/>
  <c r="U201" i="5" s="1"/>
  <c r="G201" i="5"/>
  <c r="N197" i="5"/>
  <c r="U197" i="5" s="1" a="1"/>
  <c r="U197" i="5" s="1"/>
  <c r="G197" i="5"/>
  <c r="N193" i="5"/>
  <c r="U193" i="5" s="1" a="1"/>
  <c r="U193" i="5" s="1"/>
  <c r="G193" i="5"/>
  <c r="N189" i="5"/>
  <c r="U189" i="5" s="1" a="1"/>
  <c r="U189" i="5" s="1"/>
  <c r="G189" i="5"/>
  <c r="N185" i="5"/>
  <c r="U185" i="5" s="1" a="1"/>
  <c r="U185" i="5" s="1"/>
  <c r="G185" i="5"/>
  <c r="N181" i="5"/>
  <c r="U181" i="5" s="1" a="1"/>
  <c r="U181" i="5" s="1"/>
  <c r="G181" i="5"/>
  <c r="N177" i="5"/>
  <c r="U177" i="5" s="1" a="1"/>
  <c r="U177" i="5" s="1"/>
  <c r="G177" i="5"/>
  <c r="N173" i="5"/>
  <c r="U173" i="5" s="1" a="1"/>
  <c r="U173" i="5" s="1"/>
  <c r="G173" i="5"/>
  <c r="N165" i="5"/>
  <c r="U165" i="5" s="1" a="1"/>
  <c r="U165" i="5" s="1"/>
  <c r="G165" i="5"/>
  <c r="N161" i="5"/>
  <c r="U161" i="5" s="1" a="1"/>
  <c r="U161" i="5" s="1"/>
  <c r="G161" i="5"/>
  <c r="N156" i="5"/>
  <c r="U156" i="5" s="1" a="1"/>
  <c r="U156" i="5" s="1"/>
  <c r="G156" i="5"/>
  <c r="N152" i="5"/>
  <c r="U152" i="5" s="1" a="1"/>
  <c r="U152" i="5" s="1"/>
  <c r="G152" i="5"/>
  <c r="N148" i="5"/>
  <c r="U148" i="5" s="1" a="1"/>
  <c r="U148" i="5" s="1"/>
  <c r="G148" i="5"/>
  <c r="N144" i="5"/>
  <c r="U144" i="5" s="1" a="1"/>
  <c r="U144" i="5" s="1"/>
  <c r="G144" i="5"/>
  <c r="N128" i="5"/>
  <c r="U128" i="5" s="1" a="1"/>
  <c r="U128" i="5" s="1"/>
  <c r="G128" i="5"/>
  <c r="N124" i="5"/>
  <c r="U124" i="5" s="1" a="1"/>
  <c r="U124" i="5" s="1"/>
  <c r="G124" i="5"/>
  <c r="N367" i="5"/>
  <c r="U367" i="5" s="1" a="1"/>
  <c r="U367" i="5" s="1"/>
  <c r="G367" i="5"/>
  <c r="N351" i="5"/>
  <c r="U351" i="5" s="1" a="1"/>
  <c r="U351" i="5" s="1"/>
  <c r="G351" i="5"/>
  <c r="N339" i="5"/>
  <c r="U339" i="5" s="1" a="1"/>
  <c r="U339" i="5" s="1"/>
  <c r="G339" i="5"/>
  <c r="N327" i="5"/>
  <c r="U327" i="5" s="1" a="1"/>
  <c r="U327" i="5" s="1"/>
  <c r="G327" i="5"/>
  <c r="N315" i="5"/>
  <c r="U315" i="5" s="1" a="1"/>
  <c r="U315" i="5" s="1"/>
  <c r="G315" i="5"/>
  <c r="N303" i="5"/>
  <c r="U303" i="5" s="1" a="1"/>
  <c r="U303" i="5" s="1"/>
  <c r="G303" i="5"/>
  <c r="N290" i="5"/>
  <c r="U290" i="5" s="1" a="1"/>
  <c r="U290" i="5" s="1"/>
  <c r="G290" i="5"/>
  <c r="N278" i="5"/>
  <c r="U278" i="5" s="1" a="1"/>
  <c r="U278" i="5" s="1"/>
  <c r="G278" i="5"/>
  <c r="N264" i="5"/>
  <c r="U264" i="5" s="1" a="1"/>
  <c r="U264" i="5" s="1"/>
  <c r="G264" i="5"/>
  <c r="G243" i="5"/>
  <c r="N243" i="5"/>
  <c r="U243" i="5" s="1" a="1"/>
  <c r="U243" i="5" s="1"/>
  <c r="N231" i="5"/>
  <c r="U231" i="5" s="1" a="1"/>
  <c r="U231" i="5" s="1"/>
  <c r="G231" i="5"/>
  <c r="G219" i="5"/>
  <c r="N219" i="5"/>
  <c r="U219" i="5" s="1" a="1"/>
  <c r="U219" i="5" s="1"/>
  <c r="N203" i="5"/>
  <c r="U203" i="5" s="1" a="1"/>
  <c r="U203" i="5" s="1"/>
  <c r="G203" i="5"/>
  <c r="N191" i="5"/>
  <c r="U191" i="5" s="1" a="1"/>
  <c r="U191" i="5" s="1"/>
  <c r="G191" i="5"/>
  <c r="G179" i="5"/>
  <c r="N179" i="5"/>
  <c r="U179" i="5" s="1" a="1"/>
  <c r="U179" i="5" s="1"/>
  <c r="G171" i="5"/>
  <c r="N171" i="5"/>
  <c r="U171" i="5" s="1" a="1"/>
  <c r="U171" i="5" s="1"/>
  <c r="N150" i="5"/>
  <c r="U150" i="5" s="1" a="1"/>
  <c r="U150" i="5" s="1"/>
  <c r="G150" i="5"/>
  <c r="N372" i="5"/>
  <c r="U372" i="5" s="1" a="1"/>
  <c r="U372" i="5" s="1"/>
  <c r="G372" i="5"/>
  <c r="N368" i="5"/>
  <c r="U368" i="5" s="1" a="1"/>
  <c r="U368" i="5" s="1"/>
  <c r="G368" i="5"/>
  <c r="N364" i="5"/>
  <c r="U364" i="5" s="1" a="1"/>
  <c r="U364" i="5" s="1"/>
  <c r="G364" i="5"/>
  <c r="N360" i="5"/>
  <c r="U360" i="5" s="1" a="1"/>
  <c r="U360" i="5" s="1"/>
  <c r="G360" i="5"/>
  <c r="N356" i="5"/>
  <c r="U356" i="5" s="1" a="1"/>
  <c r="U356" i="5" s="1"/>
  <c r="G356" i="5"/>
  <c r="N352" i="5"/>
  <c r="U352" i="5" s="1" a="1"/>
  <c r="U352" i="5" s="1"/>
  <c r="G352" i="5"/>
  <c r="N348" i="5"/>
  <c r="U348" i="5" s="1" a="1"/>
  <c r="U348" i="5" s="1"/>
  <c r="G348" i="5"/>
  <c r="N344" i="5"/>
  <c r="U344" i="5" s="1" a="1"/>
  <c r="U344" i="5" s="1"/>
  <c r="G344" i="5"/>
  <c r="N340" i="5"/>
  <c r="U340" i="5" s="1" a="1"/>
  <c r="U340" i="5" s="1"/>
  <c r="G340" i="5"/>
  <c r="N336" i="5"/>
  <c r="U336" i="5" s="1" a="1"/>
  <c r="U336" i="5" s="1"/>
  <c r="G336" i="5"/>
  <c r="N332" i="5"/>
  <c r="U332" i="5" s="1" a="1"/>
  <c r="U332" i="5" s="1"/>
  <c r="G332" i="5"/>
  <c r="N328" i="5"/>
  <c r="U328" i="5" s="1" a="1"/>
  <c r="U328" i="5" s="1"/>
  <c r="G328" i="5"/>
  <c r="N324" i="5"/>
  <c r="U324" i="5" s="1" a="1"/>
  <c r="U324" i="5" s="1"/>
  <c r="G324" i="5"/>
  <c r="N320" i="5"/>
  <c r="U320" i="5" s="1" a="1"/>
  <c r="U320" i="5" s="1"/>
  <c r="G320" i="5"/>
  <c r="N316" i="5"/>
  <c r="U316" i="5" s="1" a="1"/>
  <c r="U316" i="5" s="1"/>
  <c r="G316" i="5"/>
  <c r="N312" i="5"/>
  <c r="U312" i="5" s="1" a="1"/>
  <c r="U312" i="5" s="1"/>
  <c r="G312" i="5"/>
  <c r="N308" i="5"/>
  <c r="U308" i="5" s="1" a="1"/>
  <c r="U308" i="5" s="1"/>
  <c r="G308" i="5"/>
  <c r="N304" i="5"/>
  <c r="U304" i="5" s="1" a="1"/>
  <c r="U304" i="5" s="1"/>
  <c r="G304" i="5"/>
  <c r="N299" i="5"/>
  <c r="U299" i="5" s="1" a="1"/>
  <c r="U299" i="5" s="1"/>
  <c r="G299" i="5"/>
  <c r="N295" i="5"/>
  <c r="U295" i="5" s="1" a="1"/>
  <c r="U295" i="5" s="1"/>
  <c r="G295" i="5"/>
  <c r="N291" i="5"/>
  <c r="U291" i="5" s="1" a="1"/>
  <c r="U291" i="5" s="1"/>
  <c r="G291" i="5"/>
  <c r="N287" i="5"/>
  <c r="U287" i="5" s="1" a="1"/>
  <c r="U287" i="5" s="1"/>
  <c r="G287" i="5"/>
  <c r="N283" i="5"/>
  <c r="U283" i="5" s="1" a="1"/>
  <c r="U283" i="5" s="1"/>
  <c r="G283" i="5"/>
  <c r="N279" i="5"/>
  <c r="U279" i="5" s="1" a="1"/>
  <c r="U279" i="5" s="1"/>
  <c r="G279" i="5"/>
  <c r="N275" i="5"/>
  <c r="U275" i="5" s="1" a="1"/>
  <c r="U275" i="5" s="1"/>
  <c r="G275" i="5"/>
  <c r="G269" i="5"/>
  <c r="N269" i="5"/>
  <c r="U269" i="5" s="1" a="1"/>
  <c r="U269" i="5" s="1"/>
  <c r="N265" i="5"/>
  <c r="U265" i="5" s="1" a="1"/>
  <c r="U265" i="5" s="1"/>
  <c r="G265" i="5"/>
  <c r="G261" i="5"/>
  <c r="N261" i="5"/>
  <c r="U261" i="5" s="1" a="1"/>
  <c r="U261" i="5" s="1"/>
  <c r="N256" i="5"/>
  <c r="U256" i="5" s="1" a="1"/>
  <c r="U256" i="5" s="1"/>
  <c r="G256" i="5"/>
  <c r="G244" i="5"/>
  <c r="N244" i="5"/>
  <c r="U244" i="5" s="1" a="1"/>
  <c r="U244" i="5" s="1"/>
  <c r="N240" i="5"/>
  <c r="U240" i="5" s="1" a="1"/>
  <c r="U240" i="5" s="1"/>
  <c r="G240" i="5"/>
  <c r="G236" i="5"/>
  <c r="N236" i="5"/>
  <c r="U236" i="5" s="1" a="1"/>
  <c r="U236" i="5" s="1"/>
  <c r="N232" i="5"/>
  <c r="U232" i="5" s="1" a="1"/>
  <c r="U232" i="5" s="1"/>
  <c r="G232" i="5"/>
  <c r="G228" i="5"/>
  <c r="N228" i="5"/>
  <c r="U228" i="5" s="1" a="1"/>
  <c r="U228" i="5" s="1"/>
  <c r="N224" i="5"/>
  <c r="U224" i="5" s="1" a="1"/>
  <c r="U224" i="5" s="1"/>
  <c r="G224" i="5"/>
  <c r="G220" i="5"/>
  <c r="N220" i="5"/>
  <c r="U220" i="5" s="1" a="1"/>
  <c r="U220" i="5" s="1"/>
  <c r="N216" i="5"/>
  <c r="U216" i="5" s="1" a="1"/>
  <c r="U216" i="5" s="1"/>
  <c r="G216" i="5"/>
  <c r="G212" i="5"/>
  <c r="N212" i="5"/>
  <c r="U212" i="5" s="1" a="1"/>
  <c r="U212" i="5" s="1"/>
  <c r="N208" i="5"/>
  <c r="U208" i="5" s="1" a="1"/>
  <c r="U208" i="5" s="1"/>
  <c r="G208" i="5"/>
  <c r="N204" i="5"/>
  <c r="U204" i="5" s="1" a="1"/>
  <c r="U204" i="5" s="1"/>
  <c r="G204" i="5"/>
  <c r="G200" i="5"/>
  <c r="N200" i="5"/>
  <c r="U200" i="5" s="1" a="1"/>
  <c r="U200" i="5" s="1"/>
  <c r="G196" i="5"/>
  <c r="N196" i="5"/>
  <c r="U196" i="5" s="1" a="1"/>
  <c r="U196" i="5" s="1"/>
  <c r="G192" i="5"/>
  <c r="N192" i="5"/>
  <c r="U192" i="5" s="1" a="1"/>
  <c r="U192" i="5" s="1"/>
  <c r="G188" i="5"/>
  <c r="N188" i="5"/>
  <c r="U188" i="5" s="1" a="1"/>
  <c r="U188" i="5" s="1"/>
  <c r="G184" i="5"/>
  <c r="N184" i="5"/>
  <c r="U184" i="5" s="1" a="1"/>
  <c r="U184" i="5" s="1"/>
  <c r="G180" i="5"/>
  <c r="N180" i="5"/>
  <c r="U180" i="5" s="1" a="1"/>
  <c r="U180" i="5" s="1"/>
  <c r="G176" i="5"/>
  <c r="N176" i="5"/>
  <c r="U176" i="5" s="1" a="1"/>
  <c r="U176" i="5" s="1"/>
  <c r="G172" i="5"/>
  <c r="N172" i="5"/>
  <c r="U172" i="5" s="1" a="1"/>
  <c r="U172" i="5" s="1"/>
  <c r="G164" i="5"/>
  <c r="N164" i="5"/>
  <c r="U164" i="5" s="1" a="1"/>
  <c r="U164" i="5" s="1"/>
  <c r="G160" i="5"/>
  <c r="N160" i="5"/>
  <c r="U160" i="5" s="1" a="1"/>
  <c r="U160" i="5" s="1"/>
  <c r="G155" i="5"/>
  <c r="N155" i="5"/>
  <c r="U155" i="5" s="1" a="1"/>
  <c r="U155" i="5" s="1"/>
  <c r="G151" i="5"/>
  <c r="N151" i="5"/>
  <c r="U151" i="5" s="1" a="1"/>
  <c r="U151" i="5" s="1"/>
  <c r="G147" i="5"/>
  <c r="N147" i="5"/>
  <c r="U147" i="5" s="1" a="1"/>
  <c r="U147" i="5" s="1"/>
  <c r="G143" i="5"/>
  <c r="N143" i="5"/>
  <c r="U143" i="5" s="1" a="1"/>
  <c r="U143" i="5" s="1"/>
  <c r="G127" i="5"/>
  <c r="N127" i="5"/>
  <c r="U127" i="5" s="1" a="1"/>
  <c r="U127" i="5" s="1"/>
  <c r="N56" i="5"/>
  <c r="U56" i="5" s="1" a="1"/>
  <c r="U56" i="5" s="1"/>
  <c r="N44" i="5"/>
  <c r="U44" i="5" s="1" a="1"/>
  <c r="U44" i="5" s="1"/>
  <c r="N59" i="5"/>
  <c r="U59" i="5" s="1" a="1"/>
  <c r="U59" i="5" s="1"/>
  <c r="N55" i="5"/>
  <c r="U55" i="5" s="1" a="1"/>
  <c r="U55" i="5" s="1"/>
  <c r="N51" i="5"/>
  <c r="U51" i="5" s="1" a="1"/>
  <c r="U51" i="5" s="1"/>
  <c r="N47" i="5"/>
  <c r="U47" i="5" s="1" a="1"/>
  <c r="U47" i="5" s="1"/>
  <c r="N42" i="5"/>
  <c r="U42" i="5" s="1" a="1"/>
  <c r="U42" i="5" s="1"/>
  <c r="N37" i="5"/>
  <c r="U37" i="5" s="1" a="1"/>
  <c r="U37" i="5" s="1"/>
  <c r="N33" i="5"/>
  <c r="U33" i="5" s="1" a="1"/>
  <c r="U33" i="5" s="1"/>
  <c r="N28" i="5"/>
  <c r="U28" i="5" s="1" a="1"/>
  <c r="U28" i="5" s="1"/>
  <c r="N48" i="5"/>
  <c r="U48" i="5" s="1" a="1"/>
  <c r="U48" i="5" s="1"/>
  <c r="N38" i="5"/>
  <c r="U38" i="5" s="1" a="1"/>
  <c r="U38" i="5" s="1"/>
  <c r="N34" i="5"/>
  <c r="U34" i="5" s="1" a="1"/>
  <c r="U34" i="5" s="1"/>
  <c r="N29" i="5"/>
  <c r="U29" i="5" s="1" a="1"/>
  <c r="U29" i="5" s="1"/>
  <c r="N58" i="5"/>
  <c r="U58" i="5" s="1" a="1"/>
  <c r="U58" i="5" s="1"/>
  <c r="N54" i="5"/>
  <c r="U54" i="5" s="1" a="1"/>
  <c r="U54" i="5" s="1"/>
  <c r="N50" i="5"/>
  <c r="U50" i="5" s="1" a="1"/>
  <c r="U50" i="5" s="1"/>
  <c r="N46" i="5"/>
  <c r="U46" i="5" s="1" a="1"/>
  <c r="U46" i="5" s="1"/>
  <c r="N40" i="5"/>
  <c r="U40" i="5" s="1" a="1"/>
  <c r="U40" i="5" s="1"/>
  <c r="N36" i="5"/>
  <c r="U36" i="5" s="1" a="1"/>
  <c r="U36" i="5" s="1"/>
  <c r="N32" i="5"/>
  <c r="U32" i="5" s="1" a="1"/>
  <c r="U32" i="5" s="1"/>
  <c r="N103" i="5"/>
  <c r="U103" i="5" s="1" a="1"/>
  <c r="U103" i="5" s="1"/>
  <c r="N57" i="5"/>
  <c r="U57" i="5" s="1" a="1"/>
  <c r="U57" i="5" s="1"/>
  <c r="N53" i="5"/>
  <c r="U53" i="5" s="1" a="1"/>
  <c r="U53" i="5" s="1"/>
  <c r="N49" i="5"/>
  <c r="U49" i="5" s="1" a="1"/>
  <c r="U49" i="5" s="1"/>
  <c r="N45" i="5"/>
  <c r="U45" i="5" s="1" a="1"/>
  <c r="U45" i="5" s="1"/>
  <c r="N39" i="5"/>
  <c r="U39" i="5" s="1" a="1"/>
  <c r="U39" i="5" s="1"/>
  <c r="N35" i="5"/>
  <c r="U35" i="5" s="1" a="1"/>
  <c r="U35" i="5" s="1"/>
  <c r="M54" i="5"/>
  <c r="M55" i="5"/>
  <c r="M56" i="5"/>
  <c r="M57" i="5"/>
  <c r="M58" i="5"/>
  <c r="M59" i="5"/>
  <c r="P304" i="5" l="1"/>
  <c r="Q304" i="5"/>
  <c r="R304" i="5"/>
  <c r="S304" i="5"/>
  <c r="O304" i="5"/>
  <c r="P344" i="5"/>
  <c r="S344" i="5"/>
  <c r="O344" i="5"/>
  <c r="Q344" i="5"/>
  <c r="R344" i="5"/>
  <c r="Q303" i="5"/>
  <c r="P303" i="5"/>
  <c r="R303" i="5"/>
  <c r="O303" i="5"/>
  <c r="S303" i="5"/>
  <c r="Q327" i="5"/>
  <c r="S327" i="5"/>
  <c r="O327" i="5"/>
  <c r="R327" i="5"/>
  <c r="P327" i="5"/>
  <c r="Q351" i="5"/>
  <c r="P351" i="5"/>
  <c r="R351" i="5"/>
  <c r="S351" i="5"/>
  <c r="O351" i="5"/>
  <c r="P124" i="5"/>
  <c r="Q124" i="5"/>
  <c r="R124" i="5"/>
  <c r="O124" i="5"/>
  <c r="S124" i="5"/>
  <c r="O144" i="5"/>
  <c r="S144" i="5"/>
  <c r="P144" i="5"/>
  <c r="Q144" i="5"/>
  <c r="R144" i="5"/>
  <c r="O152" i="5"/>
  <c r="S152" i="5"/>
  <c r="P152" i="5"/>
  <c r="Q152" i="5"/>
  <c r="R152" i="5"/>
  <c r="O161" i="5"/>
  <c r="S161" i="5"/>
  <c r="P161" i="5"/>
  <c r="Q161" i="5"/>
  <c r="R161" i="5"/>
  <c r="P173" i="5"/>
  <c r="R173" i="5"/>
  <c r="O173" i="5"/>
  <c r="Q173" i="5"/>
  <c r="S173" i="5"/>
  <c r="P181" i="5"/>
  <c r="R181" i="5"/>
  <c r="O181" i="5"/>
  <c r="Q181" i="5"/>
  <c r="S181" i="5"/>
  <c r="O189" i="5"/>
  <c r="S189" i="5"/>
  <c r="P189" i="5"/>
  <c r="Q189" i="5"/>
  <c r="R189" i="5"/>
  <c r="O197" i="5"/>
  <c r="S197" i="5"/>
  <c r="P197" i="5"/>
  <c r="Q197" i="5"/>
  <c r="R197" i="5"/>
  <c r="O205" i="5"/>
  <c r="S205" i="5"/>
  <c r="P205" i="5"/>
  <c r="Q205" i="5"/>
  <c r="R205" i="5"/>
  <c r="O213" i="5"/>
  <c r="S213" i="5"/>
  <c r="P213" i="5"/>
  <c r="Q213" i="5"/>
  <c r="R213" i="5"/>
  <c r="O221" i="5"/>
  <c r="S221" i="5"/>
  <c r="P221" i="5"/>
  <c r="Q221" i="5"/>
  <c r="R221" i="5"/>
  <c r="O229" i="5"/>
  <c r="S229" i="5"/>
  <c r="P229" i="5"/>
  <c r="Q229" i="5"/>
  <c r="R229" i="5"/>
  <c r="O237" i="5"/>
  <c r="S237" i="5"/>
  <c r="P237" i="5"/>
  <c r="Q237" i="5"/>
  <c r="R237" i="5"/>
  <c r="Q245" i="5"/>
  <c r="R245" i="5"/>
  <c r="S245" i="5"/>
  <c r="O245" i="5"/>
  <c r="P245" i="5"/>
  <c r="Q262" i="5"/>
  <c r="R262" i="5"/>
  <c r="S262" i="5"/>
  <c r="O262" i="5"/>
  <c r="P262" i="5"/>
  <c r="Q270" i="5"/>
  <c r="R270" i="5"/>
  <c r="S270" i="5"/>
  <c r="O270" i="5"/>
  <c r="P270" i="5"/>
  <c r="O280" i="5"/>
  <c r="S280" i="5"/>
  <c r="P280" i="5"/>
  <c r="Q280" i="5"/>
  <c r="R280" i="5"/>
  <c r="O288" i="5"/>
  <c r="S288" i="5"/>
  <c r="P288" i="5"/>
  <c r="Q288" i="5"/>
  <c r="R288" i="5"/>
  <c r="O296" i="5"/>
  <c r="S296" i="5"/>
  <c r="P296" i="5"/>
  <c r="R296" i="5"/>
  <c r="Q296" i="5"/>
  <c r="O305" i="5"/>
  <c r="S305" i="5"/>
  <c r="Q305" i="5"/>
  <c r="R305" i="5"/>
  <c r="P305" i="5"/>
  <c r="O313" i="5"/>
  <c r="S313" i="5"/>
  <c r="P313" i="5"/>
  <c r="Q313" i="5"/>
  <c r="R313" i="5"/>
  <c r="O321" i="5"/>
  <c r="S321" i="5"/>
  <c r="Q321" i="5"/>
  <c r="R321" i="5"/>
  <c r="P321" i="5"/>
  <c r="O329" i="5"/>
  <c r="S329" i="5"/>
  <c r="P329" i="5"/>
  <c r="R329" i="5"/>
  <c r="Q329" i="5"/>
  <c r="O337" i="5"/>
  <c r="S337" i="5"/>
  <c r="Q337" i="5"/>
  <c r="R337" i="5"/>
  <c r="P337" i="5"/>
  <c r="O345" i="5"/>
  <c r="S345" i="5"/>
  <c r="P345" i="5"/>
  <c r="Q345" i="5"/>
  <c r="R345" i="5"/>
  <c r="O353" i="5"/>
  <c r="S353" i="5"/>
  <c r="Q353" i="5"/>
  <c r="R353" i="5"/>
  <c r="P353" i="5"/>
  <c r="R361" i="5"/>
  <c r="O361" i="5"/>
  <c r="S361" i="5"/>
  <c r="P361" i="5"/>
  <c r="Q361" i="5"/>
  <c r="R369" i="5"/>
  <c r="O369" i="5"/>
  <c r="S369" i="5"/>
  <c r="P369" i="5"/>
  <c r="Q369" i="5"/>
  <c r="Q146" i="5"/>
  <c r="R146" i="5"/>
  <c r="O146" i="5"/>
  <c r="S146" i="5"/>
  <c r="P146" i="5"/>
  <c r="Q187" i="5"/>
  <c r="R187" i="5"/>
  <c r="S187" i="5"/>
  <c r="O187" i="5"/>
  <c r="P187" i="5"/>
  <c r="Q227" i="5"/>
  <c r="R227" i="5"/>
  <c r="S227" i="5"/>
  <c r="O227" i="5"/>
  <c r="P227" i="5"/>
  <c r="O259" i="5"/>
  <c r="S259" i="5"/>
  <c r="P259" i="5"/>
  <c r="Q259" i="5"/>
  <c r="R259" i="5"/>
  <c r="R277" i="5"/>
  <c r="O277" i="5"/>
  <c r="S277" i="5"/>
  <c r="P277" i="5"/>
  <c r="Q277" i="5"/>
  <c r="R285" i="5"/>
  <c r="O285" i="5"/>
  <c r="S285" i="5"/>
  <c r="P285" i="5"/>
  <c r="Q285" i="5"/>
  <c r="R293" i="5"/>
  <c r="S293" i="5"/>
  <c r="O293" i="5"/>
  <c r="P293" i="5"/>
  <c r="Q293" i="5"/>
  <c r="R302" i="5"/>
  <c r="P302" i="5"/>
  <c r="Q302" i="5"/>
  <c r="S302" i="5"/>
  <c r="O302" i="5"/>
  <c r="R310" i="5"/>
  <c r="S310" i="5"/>
  <c r="O310" i="5"/>
  <c r="Q310" i="5"/>
  <c r="P310" i="5"/>
  <c r="R318" i="5"/>
  <c r="P318" i="5"/>
  <c r="Q318" i="5"/>
  <c r="O318" i="5"/>
  <c r="S318" i="5"/>
  <c r="R326" i="5"/>
  <c r="S326" i="5"/>
  <c r="O326" i="5"/>
  <c r="P326" i="5"/>
  <c r="Q326" i="5"/>
  <c r="R334" i="5"/>
  <c r="P334" i="5"/>
  <c r="Q334" i="5"/>
  <c r="S334" i="5"/>
  <c r="O334" i="5"/>
  <c r="R350" i="5"/>
  <c r="P350" i="5"/>
  <c r="Q350" i="5"/>
  <c r="O350" i="5"/>
  <c r="S350" i="5"/>
  <c r="Q366" i="5"/>
  <c r="R366" i="5"/>
  <c r="S366" i="5"/>
  <c r="O366" i="5"/>
  <c r="P366" i="5"/>
  <c r="Q211" i="5"/>
  <c r="R211" i="5"/>
  <c r="S211" i="5"/>
  <c r="O211" i="5"/>
  <c r="P211" i="5"/>
  <c r="Q235" i="5"/>
  <c r="R235" i="5"/>
  <c r="S235" i="5"/>
  <c r="O235" i="5"/>
  <c r="P235" i="5"/>
  <c r="O268" i="5"/>
  <c r="S268" i="5"/>
  <c r="P268" i="5"/>
  <c r="Q268" i="5"/>
  <c r="R268" i="5"/>
  <c r="P204" i="5"/>
  <c r="Q204" i="5"/>
  <c r="O204" i="5"/>
  <c r="R204" i="5"/>
  <c r="S204" i="5"/>
  <c r="P295" i="5"/>
  <c r="S295" i="5"/>
  <c r="O295" i="5"/>
  <c r="Q295" i="5"/>
  <c r="R295" i="5"/>
  <c r="P320" i="5"/>
  <c r="Q320" i="5"/>
  <c r="R320" i="5"/>
  <c r="S320" i="5"/>
  <c r="O320" i="5"/>
  <c r="P352" i="5"/>
  <c r="Q352" i="5"/>
  <c r="R352" i="5"/>
  <c r="S352" i="5"/>
  <c r="O352" i="5"/>
  <c r="Q278" i="5"/>
  <c r="R278" i="5"/>
  <c r="S278" i="5"/>
  <c r="O278" i="5"/>
  <c r="P278" i="5"/>
  <c r="P164" i="5"/>
  <c r="Q164" i="5"/>
  <c r="O164" i="5"/>
  <c r="S164" i="5"/>
  <c r="R164" i="5"/>
  <c r="Q176" i="5"/>
  <c r="O176" i="5"/>
  <c r="S176" i="5"/>
  <c r="P176" i="5"/>
  <c r="R176" i="5"/>
  <c r="P200" i="5"/>
  <c r="Q200" i="5"/>
  <c r="R200" i="5"/>
  <c r="S200" i="5"/>
  <c r="O200" i="5"/>
  <c r="R179" i="5"/>
  <c r="P179" i="5"/>
  <c r="Q179" i="5"/>
  <c r="S179" i="5"/>
  <c r="O179" i="5"/>
  <c r="O276" i="5"/>
  <c r="S276" i="5"/>
  <c r="P276" i="5"/>
  <c r="Q276" i="5"/>
  <c r="R276" i="5"/>
  <c r="O284" i="5"/>
  <c r="S284" i="5"/>
  <c r="P284" i="5"/>
  <c r="Q284" i="5"/>
  <c r="R284" i="5"/>
  <c r="O292" i="5"/>
  <c r="S292" i="5"/>
  <c r="R292" i="5"/>
  <c r="P292" i="5"/>
  <c r="Q292" i="5"/>
  <c r="O301" i="5"/>
  <c r="S301" i="5"/>
  <c r="P301" i="5"/>
  <c r="Q301" i="5"/>
  <c r="R301" i="5"/>
  <c r="O309" i="5"/>
  <c r="S309" i="5"/>
  <c r="R309" i="5"/>
  <c r="P309" i="5"/>
  <c r="Q309" i="5"/>
  <c r="O317" i="5"/>
  <c r="S317" i="5"/>
  <c r="P317" i="5"/>
  <c r="Q317" i="5"/>
  <c r="R317" i="5"/>
  <c r="O325" i="5"/>
  <c r="S325" i="5"/>
  <c r="R325" i="5"/>
  <c r="Q325" i="5"/>
  <c r="P325" i="5"/>
  <c r="O333" i="5"/>
  <c r="S333" i="5"/>
  <c r="P333" i="5"/>
  <c r="Q333" i="5"/>
  <c r="R333" i="5"/>
  <c r="O341" i="5"/>
  <c r="S341" i="5"/>
  <c r="R341" i="5"/>
  <c r="P341" i="5"/>
  <c r="Q341" i="5"/>
  <c r="O349" i="5"/>
  <c r="S349" i="5"/>
  <c r="P349" i="5"/>
  <c r="Q349" i="5"/>
  <c r="R349" i="5"/>
  <c r="R357" i="5"/>
  <c r="O357" i="5"/>
  <c r="S357" i="5"/>
  <c r="P357" i="5"/>
  <c r="Q357" i="5"/>
  <c r="R365" i="5"/>
  <c r="O365" i="5"/>
  <c r="S365" i="5"/>
  <c r="P365" i="5"/>
  <c r="Q365" i="5"/>
  <c r="R338" i="5"/>
  <c r="Q338" i="5"/>
  <c r="S338" i="5"/>
  <c r="O338" i="5"/>
  <c r="P338" i="5"/>
  <c r="Q354" i="5"/>
  <c r="R354" i="5"/>
  <c r="O354" i="5"/>
  <c r="P354" i="5"/>
  <c r="S354" i="5"/>
  <c r="Q370" i="5"/>
  <c r="R370" i="5"/>
  <c r="O370" i="5"/>
  <c r="P370" i="5"/>
  <c r="S370" i="5"/>
  <c r="Q159" i="5"/>
  <c r="R159" i="5"/>
  <c r="O159" i="5"/>
  <c r="S159" i="5"/>
  <c r="P159" i="5"/>
  <c r="Q207" i="5"/>
  <c r="R207" i="5"/>
  <c r="O207" i="5"/>
  <c r="P207" i="5"/>
  <c r="S207" i="5"/>
  <c r="Q286" i="5"/>
  <c r="R286" i="5"/>
  <c r="S286" i="5"/>
  <c r="O286" i="5"/>
  <c r="P286" i="5"/>
  <c r="Q311" i="5"/>
  <c r="S311" i="5"/>
  <c r="O311" i="5"/>
  <c r="P311" i="5"/>
  <c r="R311" i="5"/>
  <c r="Q331" i="5"/>
  <c r="O331" i="5"/>
  <c r="P331" i="5"/>
  <c r="R331" i="5"/>
  <c r="S331" i="5"/>
  <c r="P355" i="5"/>
  <c r="Q355" i="5"/>
  <c r="R355" i="5"/>
  <c r="S355" i="5"/>
  <c r="O355" i="5"/>
  <c r="R141" i="5"/>
  <c r="O141" i="5"/>
  <c r="S141" i="5"/>
  <c r="P141" i="5"/>
  <c r="Q141" i="5"/>
  <c r="R149" i="5"/>
  <c r="O149" i="5"/>
  <c r="S149" i="5"/>
  <c r="P149" i="5"/>
  <c r="Q149" i="5"/>
  <c r="R158" i="5"/>
  <c r="O158" i="5"/>
  <c r="S158" i="5"/>
  <c r="P158" i="5"/>
  <c r="Q158" i="5"/>
  <c r="O166" i="5"/>
  <c r="S166" i="5"/>
  <c r="Q166" i="5"/>
  <c r="R166" i="5"/>
  <c r="P166" i="5"/>
  <c r="O178" i="5"/>
  <c r="S178" i="5"/>
  <c r="Q178" i="5"/>
  <c r="P178" i="5"/>
  <c r="R178" i="5"/>
  <c r="R186" i="5"/>
  <c r="O186" i="5"/>
  <c r="S186" i="5"/>
  <c r="P186" i="5"/>
  <c r="Q186" i="5"/>
  <c r="R194" i="5"/>
  <c r="O194" i="5"/>
  <c r="S194" i="5"/>
  <c r="P194" i="5"/>
  <c r="Q194" i="5"/>
  <c r="R202" i="5"/>
  <c r="O202" i="5"/>
  <c r="S202" i="5"/>
  <c r="P202" i="5"/>
  <c r="Q202" i="5"/>
  <c r="R210" i="5"/>
  <c r="O210" i="5"/>
  <c r="S210" i="5"/>
  <c r="P210" i="5"/>
  <c r="Q210" i="5"/>
  <c r="R218" i="5"/>
  <c r="O218" i="5"/>
  <c r="S218" i="5"/>
  <c r="P218" i="5"/>
  <c r="Q218" i="5"/>
  <c r="R226" i="5"/>
  <c r="O226" i="5"/>
  <c r="S226" i="5"/>
  <c r="P226" i="5"/>
  <c r="Q226" i="5"/>
  <c r="R234" i="5"/>
  <c r="O234" i="5"/>
  <c r="S234" i="5"/>
  <c r="P234" i="5"/>
  <c r="Q234" i="5"/>
  <c r="O242" i="5"/>
  <c r="P242" i="5"/>
  <c r="Q242" i="5"/>
  <c r="R242" i="5"/>
  <c r="S242" i="5"/>
  <c r="P258" i="5"/>
  <c r="Q258" i="5"/>
  <c r="R258" i="5"/>
  <c r="S258" i="5"/>
  <c r="O258" i="5"/>
  <c r="P267" i="5"/>
  <c r="Q267" i="5"/>
  <c r="R267" i="5"/>
  <c r="S267" i="5"/>
  <c r="O267" i="5"/>
  <c r="Q142" i="5"/>
  <c r="R142" i="5"/>
  <c r="O142" i="5"/>
  <c r="S142" i="5"/>
  <c r="P142" i="5"/>
  <c r="R183" i="5"/>
  <c r="P183" i="5"/>
  <c r="O183" i="5"/>
  <c r="Q183" i="5"/>
  <c r="S183" i="5"/>
  <c r="Q294" i="5"/>
  <c r="S294" i="5"/>
  <c r="O294" i="5"/>
  <c r="P294" i="5"/>
  <c r="R294" i="5"/>
  <c r="Q319" i="5"/>
  <c r="P319" i="5"/>
  <c r="R319" i="5"/>
  <c r="S319" i="5"/>
  <c r="O319" i="5"/>
  <c r="Q347" i="5"/>
  <c r="O347" i="5"/>
  <c r="P347" i="5"/>
  <c r="R347" i="5"/>
  <c r="S347" i="5"/>
  <c r="P371" i="5"/>
  <c r="Q371" i="5"/>
  <c r="R371" i="5"/>
  <c r="S371" i="5"/>
  <c r="O371" i="5"/>
  <c r="P279" i="5"/>
  <c r="Q279" i="5"/>
  <c r="R279" i="5"/>
  <c r="O279" i="5"/>
  <c r="S279" i="5"/>
  <c r="P312" i="5"/>
  <c r="S312" i="5"/>
  <c r="O312" i="5"/>
  <c r="R312" i="5"/>
  <c r="Q312" i="5"/>
  <c r="P336" i="5"/>
  <c r="Q336" i="5"/>
  <c r="R336" i="5"/>
  <c r="S336" i="5"/>
  <c r="O336" i="5"/>
  <c r="O368" i="5"/>
  <c r="S368" i="5"/>
  <c r="P368" i="5"/>
  <c r="Q368" i="5"/>
  <c r="R368" i="5"/>
  <c r="Q127" i="5"/>
  <c r="R127" i="5"/>
  <c r="O127" i="5"/>
  <c r="S127" i="5"/>
  <c r="P127" i="5"/>
  <c r="P147" i="5"/>
  <c r="Q147" i="5"/>
  <c r="R147" i="5"/>
  <c r="O147" i="5"/>
  <c r="S147" i="5"/>
  <c r="O184" i="5"/>
  <c r="P184" i="5"/>
  <c r="Q184" i="5"/>
  <c r="R184" i="5"/>
  <c r="S184" i="5"/>
  <c r="P208" i="5"/>
  <c r="Q208" i="5"/>
  <c r="R208" i="5"/>
  <c r="S208" i="5"/>
  <c r="O208" i="5"/>
  <c r="P224" i="5"/>
  <c r="Q224" i="5"/>
  <c r="R224" i="5"/>
  <c r="S224" i="5"/>
  <c r="O224" i="5"/>
  <c r="P240" i="5"/>
  <c r="Q240" i="5"/>
  <c r="R240" i="5"/>
  <c r="S240" i="5"/>
  <c r="O240" i="5"/>
  <c r="R265" i="5"/>
  <c r="O265" i="5"/>
  <c r="S265" i="5"/>
  <c r="P265" i="5"/>
  <c r="Q265" i="5"/>
  <c r="P283" i="5"/>
  <c r="Q283" i="5"/>
  <c r="R283" i="5"/>
  <c r="S283" i="5"/>
  <c r="O283" i="5"/>
  <c r="P299" i="5"/>
  <c r="O299" i="5"/>
  <c r="Q299" i="5"/>
  <c r="R299" i="5"/>
  <c r="S299" i="5"/>
  <c r="P316" i="5"/>
  <c r="O316" i="5"/>
  <c r="Q316" i="5"/>
  <c r="S316" i="5"/>
  <c r="R316" i="5"/>
  <c r="P324" i="5"/>
  <c r="R324" i="5"/>
  <c r="S324" i="5"/>
  <c r="O324" i="5"/>
  <c r="Q324" i="5"/>
  <c r="P332" i="5"/>
  <c r="O332" i="5"/>
  <c r="Q332" i="5"/>
  <c r="R332" i="5"/>
  <c r="S332" i="5"/>
  <c r="P340" i="5"/>
  <c r="R340" i="5"/>
  <c r="S340" i="5"/>
  <c r="O340" i="5"/>
  <c r="Q340" i="5"/>
  <c r="P348" i="5"/>
  <c r="O348" i="5"/>
  <c r="Q348" i="5"/>
  <c r="R348" i="5"/>
  <c r="S348" i="5"/>
  <c r="O356" i="5"/>
  <c r="S356" i="5"/>
  <c r="P356" i="5"/>
  <c r="Q356" i="5"/>
  <c r="R356" i="5"/>
  <c r="O364" i="5"/>
  <c r="S364" i="5"/>
  <c r="P364" i="5"/>
  <c r="Q364" i="5"/>
  <c r="R364" i="5"/>
  <c r="O372" i="5"/>
  <c r="S372" i="5"/>
  <c r="P372" i="5"/>
  <c r="Q372" i="5"/>
  <c r="R372" i="5"/>
  <c r="Q150" i="5"/>
  <c r="R150" i="5"/>
  <c r="O150" i="5"/>
  <c r="S150" i="5"/>
  <c r="P150" i="5"/>
  <c r="Q203" i="5"/>
  <c r="R203" i="5"/>
  <c r="S203" i="5"/>
  <c r="O203" i="5"/>
  <c r="P203" i="5"/>
  <c r="Q231" i="5"/>
  <c r="R231" i="5"/>
  <c r="O231" i="5"/>
  <c r="P231" i="5"/>
  <c r="S231" i="5"/>
  <c r="O264" i="5"/>
  <c r="S264" i="5"/>
  <c r="P264" i="5"/>
  <c r="Q264" i="5"/>
  <c r="R264" i="5"/>
  <c r="Q290" i="5"/>
  <c r="R290" i="5"/>
  <c r="S290" i="5"/>
  <c r="O290" i="5"/>
  <c r="P290" i="5"/>
  <c r="Q315" i="5"/>
  <c r="O315" i="5"/>
  <c r="P315" i="5"/>
  <c r="R315" i="5"/>
  <c r="S315" i="5"/>
  <c r="Q339" i="5"/>
  <c r="R339" i="5"/>
  <c r="S339" i="5"/>
  <c r="O339" i="5"/>
  <c r="P339" i="5"/>
  <c r="P367" i="5"/>
  <c r="Q367" i="5"/>
  <c r="O367" i="5"/>
  <c r="R367" i="5"/>
  <c r="S367" i="5"/>
  <c r="P128" i="5"/>
  <c r="Q128" i="5"/>
  <c r="R128" i="5"/>
  <c r="O128" i="5"/>
  <c r="S128" i="5"/>
  <c r="O148" i="5"/>
  <c r="S148" i="5"/>
  <c r="P148" i="5"/>
  <c r="Q148" i="5"/>
  <c r="R148" i="5"/>
  <c r="O156" i="5"/>
  <c r="S156" i="5"/>
  <c r="P156" i="5"/>
  <c r="Q156" i="5"/>
  <c r="R156" i="5"/>
  <c r="P165" i="5"/>
  <c r="R165" i="5"/>
  <c r="O165" i="5"/>
  <c r="Q165" i="5"/>
  <c r="S165" i="5"/>
  <c r="P177" i="5"/>
  <c r="R177" i="5"/>
  <c r="S177" i="5"/>
  <c r="O177" i="5"/>
  <c r="Q177" i="5"/>
  <c r="O185" i="5"/>
  <c r="S185" i="5"/>
  <c r="P185" i="5"/>
  <c r="Q185" i="5"/>
  <c r="R185" i="5"/>
  <c r="O193" i="5"/>
  <c r="S193" i="5"/>
  <c r="P193" i="5"/>
  <c r="Q193" i="5"/>
  <c r="R193" i="5"/>
  <c r="O201" i="5"/>
  <c r="S201" i="5"/>
  <c r="P201" i="5"/>
  <c r="Q201" i="5"/>
  <c r="R201" i="5"/>
  <c r="O209" i="5"/>
  <c r="S209" i="5"/>
  <c r="P209" i="5"/>
  <c r="Q209" i="5"/>
  <c r="R209" i="5"/>
  <c r="O217" i="5"/>
  <c r="S217" i="5"/>
  <c r="P217" i="5"/>
  <c r="Q217" i="5"/>
  <c r="R217" i="5"/>
  <c r="O225" i="5"/>
  <c r="S225" i="5"/>
  <c r="P225" i="5"/>
  <c r="Q225" i="5"/>
  <c r="R225" i="5"/>
  <c r="O233" i="5"/>
  <c r="S233" i="5"/>
  <c r="P233" i="5"/>
  <c r="Q233" i="5"/>
  <c r="R233" i="5"/>
  <c r="O241" i="5"/>
  <c r="S241" i="5"/>
  <c r="P241" i="5"/>
  <c r="Q241" i="5"/>
  <c r="R241" i="5"/>
  <c r="Q257" i="5"/>
  <c r="R257" i="5"/>
  <c r="O257" i="5"/>
  <c r="P257" i="5"/>
  <c r="S257" i="5"/>
  <c r="Q266" i="5"/>
  <c r="R266" i="5"/>
  <c r="O266" i="5"/>
  <c r="S266" i="5"/>
  <c r="P266" i="5"/>
  <c r="Q154" i="5"/>
  <c r="R154" i="5"/>
  <c r="O154" i="5"/>
  <c r="S154" i="5"/>
  <c r="P154" i="5"/>
  <c r="R342" i="5"/>
  <c r="S342" i="5"/>
  <c r="O342" i="5"/>
  <c r="P342" i="5"/>
  <c r="Q342" i="5"/>
  <c r="Q358" i="5"/>
  <c r="R358" i="5"/>
  <c r="S358" i="5"/>
  <c r="O358" i="5"/>
  <c r="P358" i="5"/>
  <c r="Q163" i="5"/>
  <c r="R163" i="5"/>
  <c r="O163" i="5"/>
  <c r="S163" i="5"/>
  <c r="P163" i="5"/>
  <c r="Q195" i="5"/>
  <c r="R195" i="5"/>
  <c r="S195" i="5"/>
  <c r="O195" i="5"/>
  <c r="P195" i="5"/>
  <c r="P287" i="5"/>
  <c r="Q287" i="5"/>
  <c r="O287" i="5"/>
  <c r="R287" i="5"/>
  <c r="S287" i="5"/>
  <c r="P328" i="5"/>
  <c r="S328" i="5"/>
  <c r="O328" i="5"/>
  <c r="Q328" i="5"/>
  <c r="R328" i="5"/>
  <c r="O360" i="5"/>
  <c r="S360" i="5"/>
  <c r="P360" i="5"/>
  <c r="Q360" i="5"/>
  <c r="R360" i="5"/>
  <c r="Q191" i="5"/>
  <c r="R191" i="5"/>
  <c r="O191" i="5"/>
  <c r="P191" i="5"/>
  <c r="S191" i="5"/>
  <c r="P155" i="5"/>
  <c r="Q155" i="5"/>
  <c r="R155" i="5"/>
  <c r="O155" i="5"/>
  <c r="S155" i="5"/>
  <c r="P192" i="5"/>
  <c r="Q192" i="5"/>
  <c r="R192" i="5"/>
  <c r="S192" i="5"/>
  <c r="O192" i="5"/>
  <c r="P216" i="5"/>
  <c r="Q216" i="5"/>
  <c r="R216" i="5"/>
  <c r="S216" i="5"/>
  <c r="O216" i="5"/>
  <c r="P232" i="5"/>
  <c r="Q232" i="5"/>
  <c r="R232" i="5"/>
  <c r="S232" i="5"/>
  <c r="O232" i="5"/>
  <c r="R256" i="5"/>
  <c r="O256" i="5"/>
  <c r="S256" i="5"/>
  <c r="P256" i="5"/>
  <c r="Q256" i="5"/>
  <c r="P275" i="5"/>
  <c r="Q275" i="5"/>
  <c r="R275" i="5"/>
  <c r="S275" i="5"/>
  <c r="O275" i="5"/>
  <c r="P291" i="5"/>
  <c r="R291" i="5"/>
  <c r="O291" i="5"/>
  <c r="S291" i="5"/>
  <c r="Q291" i="5"/>
  <c r="P308" i="5"/>
  <c r="R308" i="5"/>
  <c r="S308" i="5"/>
  <c r="O308" i="5"/>
  <c r="Q308" i="5"/>
  <c r="P143" i="5"/>
  <c r="Q143" i="5"/>
  <c r="R143" i="5"/>
  <c r="O143" i="5"/>
  <c r="S143" i="5"/>
  <c r="P151" i="5"/>
  <c r="Q151" i="5"/>
  <c r="R151" i="5"/>
  <c r="O151" i="5"/>
  <c r="S151" i="5"/>
  <c r="P160" i="5"/>
  <c r="Q160" i="5"/>
  <c r="R160" i="5"/>
  <c r="O160" i="5"/>
  <c r="S160" i="5"/>
  <c r="Q172" i="5"/>
  <c r="O172" i="5"/>
  <c r="S172" i="5"/>
  <c r="P172" i="5"/>
  <c r="R172" i="5"/>
  <c r="Q180" i="5"/>
  <c r="O180" i="5"/>
  <c r="S180" i="5"/>
  <c r="P180" i="5"/>
  <c r="R180" i="5"/>
  <c r="P188" i="5"/>
  <c r="Q188" i="5"/>
  <c r="O188" i="5"/>
  <c r="R188" i="5"/>
  <c r="S188" i="5"/>
  <c r="P196" i="5"/>
  <c r="Q196" i="5"/>
  <c r="O196" i="5"/>
  <c r="R196" i="5"/>
  <c r="S196" i="5"/>
  <c r="P212" i="5"/>
  <c r="Q212" i="5"/>
  <c r="O212" i="5"/>
  <c r="R212" i="5"/>
  <c r="S212" i="5"/>
  <c r="P220" i="5"/>
  <c r="Q220" i="5"/>
  <c r="O220" i="5"/>
  <c r="R220" i="5"/>
  <c r="S220" i="5"/>
  <c r="P228" i="5"/>
  <c r="Q228" i="5"/>
  <c r="O228" i="5"/>
  <c r="R228" i="5"/>
  <c r="S228" i="5"/>
  <c r="P236" i="5"/>
  <c r="Q236" i="5"/>
  <c r="O236" i="5"/>
  <c r="R236" i="5"/>
  <c r="S236" i="5"/>
  <c r="R244" i="5"/>
  <c r="O244" i="5"/>
  <c r="S244" i="5"/>
  <c r="P244" i="5"/>
  <c r="Q244" i="5"/>
  <c r="R261" i="5"/>
  <c r="O261" i="5"/>
  <c r="S261" i="5"/>
  <c r="P261" i="5"/>
  <c r="Q261" i="5"/>
  <c r="R269" i="5"/>
  <c r="O269" i="5"/>
  <c r="S269" i="5"/>
  <c r="P269" i="5"/>
  <c r="Q269" i="5"/>
  <c r="R171" i="5"/>
  <c r="P171" i="5"/>
  <c r="Q171" i="5"/>
  <c r="S171" i="5"/>
  <c r="O171" i="5"/>
  <c r="Q219" i="5"/>
  <c r="R219" i="5"/>
  <c r="S219" i="5"/>
  <c r="O219" i="5"/>
  <c r="P219" i="5"/>
  <c r="O243" i="5"/>
  <c r="S243" i="5"/>
  <c r="P243" i="5"/>
  <c r="Q243" i="5"/>
  <c r="R243" i="5"/>
  <c r="R346" i="5"/>
  <c r="O346" i="5"/>
  <c r="P346" i="5"/>
  <c r="Q346" i="5"/>
  <c r="S346" i="5"/>
  <c r="Q362" i="5"/>
  <c r="R362" i="5"/>
  <c r="O362" i="5"/>
  <c r="S362" i="5"/>
  <c r="P362" i="5"/>
  <c r="R126" i="5"/>
  <c r="O126" i="5"/>
  <c r="S126" i="5"/>
  <c r="P126" i="5"/>
  <c r="Q126" i="5"/>
  <c r="R175" i="5"/>
  <c r="P175" i="5"/>
  <c r="O175" i="5"/>
  <c r="Q175" i="5"/>
  <c r="S175" i="5"/>
  <c r="Q199" i="5"/>
  <c r="R199" i="5"/>
  <c r="O199" i="5"/>
  <c r="P199" i="5"/>
  <c r="S199" i="5"/>
  <c r="Q215" i="5"/>
  <c r="R215" i="5"/>
  <c r="O215" i="5"/>
  <c r="P215" i="5"/>
  <c r="S215" i="5"/>
  <c r="Q239" i="5"/>
  <c r="R239" i="5"/>
  <c r="O239" i="5"/>
  <c r="P239" i="5"/>
  <c r="S239" i="5"/>
  <c r="Q274" i="5"/>
  <c r="R274" i="5"/>
  <c r="O274" i="5"/>
  <c r="P274" i="5"/>
  <c r="S274" i="5"/>
  <c r="Q298" i="5"/>
  <c r="O298" i="5"/>
  <c r="P298" i="5"/>
  <c r="R298" i="5"/>
  <c r="S298" i="5"/>
  <c r="Q323" i="5"/>
  <c r="R323" i="5"/>
  <c r="S323" i="5"/>
  <c r="P323" i="5"/>
  <c r="O323" i="5"/>
  <c r="Q343" i="5"/>
  <c r="S343" i="5"/>
  <c r="O343" i="5"/>
  <c r="P343" i="5"/>
  <c r="R343" i="5"/>
  <c r="P363" i="5"/>
  <c r="Q363" i="5"/>
  <c r="R363" i="5"/>
  <c r="O363" i="5"/>
  <c r="S363" i="5"/>
  <c r="O125" i="5"/>
  <c r="S125" i="5"/>
  <c r="P125" i="5"/>
  <c r="Q125" i="5"/>
  <c r="R125" i="5"/>
  <c r="R145" i="5"/>
  <c r="O145" i="5"/>
  <c r="S145" i="5"/>
  <c r="P145" i="5"/>
  <c r="Q145" i="5"/>
  <c r="R153" i="5"/>
  <c r="O153" i="5"/>
  <c r="S153" i="5"/>
  <c r="P153" i="5"/>
  <c r="Q153" i="5"/>
  <c r="R162" i="5"/>
  <c r="O162" i="5"/>
  <c r="S162" i="5"/>
  <c r="P162" i="5"/>
  <c r="Q162" i="5"/>
  <c r="O174" i="5"/>
  <c r="S174" i="5"/>
  <c r="Q174" i="5"/>
  <c r="R174" i="5"/>
  <c r="P174" i="5"/>
  <c r="O182" i="5"/>
  <c r="S182" i="5"/>
  <c r="Q182" i="5"/>
  <c r="R182" i="5"/>
  <c r="P182" i="5"/>
  <c r="R190" i="5"/>
  <c r="O190" i="5"/>
  <c r="S190" i="5"/>
  <c r="P190" i="5"/>
  <c r="Q190" i="5"/>
  <c r="R198" i="5"/>
  <c r="O198" i="5"/>
  <c r="S198" i="5"/>
  <c r="P198" i="5"/>
  <c r="Q198" i="5"/>
  <c r="R206" i="5"/>
  <c r="O206" i="5"/>
  <c r="S206" i="5"/>
  <c r="P206" i="5"/>
  <c r="Q206" i="5"/>
  <c r="R214" i="5"/>
  <c r="O214" i="5"/>
  <c r="S214" i="5"/>
  <c r="P214" i="5"/>
  <c r="Q214" i="5"/>
  <c r="R222" i="5"/>
  <c r="O222" i="5"/>
  <c r="S222" i="5"/>
  <c r="P222" i="5"/>
  <c r="Q222" i="5"/>
  <c r="R230" i="5"/>
  <c r="O230" i="5"/>
  <c r="S230" i="5"/>
  <c r="P230" i="5"/>
  <c r="Q230" i="5"/>
  <c r="R238" i="5"/>
  <c r="O238" i="5"/>
  <c r="S238" i="5"/>
  <c r="P238" i="5"/>
  <c r="Q238" i="5"/>
  <c r="P254" i="5"/>
  <c r="Q254" i="5"/>
  <c r="R254" i="5"/>
  <c r="O254" i="5"/>
  <c r="S254" i="5"/>
  <c r="P263" i="5"/>
  <c r="Q263" i="5"/>
  <c r="R263" i="5"/>
  <c r="O263" i="5"/>
  <c r="S263" i="5"/>
  <c r="R273" i="5"/>
  <c r="O273" i="5"/>
  <c r="S273" i="5"/>
  <c r="P273" i="5"/>
  <c r="Q273" i="5"/>
  <c r="R281" i="5"/>
  <c r="O281" i="5"/>
  <c r="S281" i="5"/>
  <c r="P281" i="5"/>
  <c r="Q281" i="5"/>
  <c r="R289" i="5"/>
  <c r="Q289" i="5"/>
  <c r="O289" i="5"/>
  <c r="S289" i="5"/>
  <c r="P289" i="5"/>
  <c r="R297" i="5"/>
  <c r="O297" i="5"/>
  <c r="P297" i="5"/>
  <c r="Q297" i="5"/>
  <c r="S297" i="5"/>
  <c r="R306" i="5"/>
  <c r="Q306" i="5"/>
  <c r="S306" i="5"/>
  <c r="P306" i="5"/>
  <c r="O306" i="5"/>
  <c r="R314" i="5"/>
  <c r="O314" i="5"/>
  <c r="P314" i="5"/>
  <c r="S314" i="5"/>
  <c r="Q314" i="5"/>
  <c r="R322" i="5"/>
  <c r="Q322" i="5"/>
  <c r="S322" i="5"/>
  <c r="O322" i="5"/>
  <c r="P322" i="5"/>
  <c r="R330" i="5"/>
  <c r="O330" i="5"/>
  <c r="P330" i="5"/>
  <c r="Q330" i="5"/>
  <c r="S330" i="5"/>
  <c r="Q223" i="5"/>
  <c r="R223" i="5"/>
  <c r="O223" i="5"/>
  <c r="P223" i="5"/>
  <c r="S223" i="5"/>
  <c r="O255" i="5"/>
  <c r="S255" i="5"/>
  <c r="P255" i="5"/>
  <c r="Q255" i="5"/>
  <c r="R255" i="5"/>
  <c r="Q282" i="5"/>
  <c r="R282" i="5"/>
  <c r="O282" i="5"/>
  <c r="S282" i="5"/>
  <c r="P282" i="5"/>
  <c r="Q307" i="5"/>
  <c r="R307" i="5"/>
  <c r="S307" i="5"/>
  <c r="O307" i="5"/>
  <c r="P307" i="5"/>
  <c r="Q335" i="5"/>
  <c r="P335" i="5"/>
  <c r="R335" i="5"/>
  <c r="O335" i="5"/>
  <c r="S335" i="5"/>
  <c r="P359" i="5"/>
  <c r="Q359" i="5"/>
  <c r="R359" i="5"/>
  <c r="S359" i="5"/>
  <c r="O359" i="5"/>
  <c r="O35" i="5"/>
  <c r="S35" i="5"/>
  <c r="P35" i="5"/>
  <c r="Q35" i="5"/>
  <c r="R35" i="5"/>
  <c r="R57" i="5"/>
  <c r="O57" i="5"/>
  <c r="S57" i="5"/>
  <c r="P57" i="5"/>
  <c r="Q57" i="5"/>
  <c r="R40" i="5"/>
  <c r="O40" i="5"/>
  <c r="S40" i="5"/>
  <c r="P40" i="5"/>
  <c r="Q40" i="5"/>
  <c r="Q58" i="5"/>
  <c r="R58" i="5"/>
  <c r="O58" i="5"/>
  <c r="S58" i="5"/>
  <c r="P58" i="5"/>
  <c r="O48" i="5"/>
  <c r="S48" i="5"/>
  <c r="P48" i="5"/>
  <c r="Q48" i="5"/>
  <c r="R48" i="5"/>
  <c r="P42" i="5"/>
  <c r="Q42" i="5"/>
  <c r="R42" i="5"/>
  <c r="S42" i="5"/>
  <c r="O42" i="5"/>
  <c r="P59" i="5"/>
  <c r="Q59" i="5"/>
  <c r="R59" i="5"/>
  <c r="S59" i="5"/>
  <c r="O59" i="5"/>
  <c r="O39" i="5"/>
  <c r="S39" i="5"/>
  <c r="P39" i="5"/>
  <c r="Q39" i="5"/>
  <c r="R39" i="5"/>
  <c r="R45" i="5"/>
  <c r="O45" i="5"/>
  <c r="S45" i="5"/>
  <c r="P45" i="5"/>
  <c r="Q45" i="5"/>
  <c r="O103" i="5"/>
  <c r="S103" i="5"/>
  <c r="P103" i="5"/>
  <c r="R103" i="5"/>
  <c r="Q103" i="5"/>
  <c r="Q46" i="5"/>
  <c r="R46" i="5"/>
  <c r="O46" i="5"/>
  <c r="S46" i="5"/>
  <c r="P46" i="5"/>
  <c r="Q29" i="5"/>
  <c r="R29" i="5"/>
  <c r="O29" i="5"/>
  <c r="S29" i="5"/>
  <c r="P29" i="5"/>
  <c r="R28" i="5"/>
  <c r="O28" i="5"/>
  <c r="S28" i="5"/>
  <c r="P28" i="5"/>
  <c r="Q28" i="5"/>
  <c r="P47" i="5"/>
  <c r="Q47" i="5"/>
  <c r="R47" i="5"/>
  <c r="O47" i="5"/>
  <c r="S47" i="5"/>
  <c r="O44" i="5"/>
  <c r="S44" i="5"/>
  <c r="P44" i="5"/>
  <c r="Q44" i="5"/>
  <c r="R44" i="5"/>
  <c r="R49" i="5"/>
  <c r="O49" i="5"/>
  <c r="S49" i="5"/>
  <c r="P49" i="5"/>
  <c r="Q49" i="5"/>
  <c r="R32" i="5"/>
  <c r="O32" i="5"/>
  <c r="S32" i="5"/>
  <c r="P32" i="5"/>
  <c r="Q32" i="5"/>
  <c r="Q50" i="5"/>
  <c r="R50" i="5"/>
  <c r="O50" i="5"/>
  <c r="S50" i="5"/>
  <c r="P50" i="5"/>
  <c r="P34" i="5"/>
  <c r="Q34" i="5"/>
  <c r="R34" i="5"/>
  <c r="O34" i="5"/>
  <c r="S34" i="5"/>
  <c r="Q33" i="5"/>
  <c r="R33" i="5"/>
  <c r="O33" i="5"/>
  <c r="S33" i="5"/>
  <c r="P33" i="5"/>
  <c r="P51" i="5"/>
  <c r="Q51" i="5"/>
  <c r="R51" i="5"/>
  <c r="O51" i="5"/>
  <c r="S51" i="5"/>
  <c r="O56" i="5"/>
  <c r="S56" i="5"/>
  <c r="P56" i="5"/>
  <c r="Q56" i="5"/>
  <c r="R56" i="5"/>
  <c r="R53" i="5"/>
  <c r="O53" i="5"/>
  <c r="S53" i="5"/>
  <c r="P53" i="5"/>
  <c r="Q53" i="5"/>
  <c r="R36" i="5"/>
  <c r="O36" i="5"/>
  <c r="S36" i="5"/>
  <c r="P36" i="5"/>
  <c r="Q36" i="5"/>
  <c r="Q54" i="5"/>
  <c r="R54" i="5"/>
  <c r="O54" i="5"/>
  <c r="S54" i="5"/>
  <c r="P54" i="5"/>
  <c r="P38" i="5"/>
  <c r="Q38" i="5"/>
  <c r="R38" i="5"/>
  <c r="O38" i="5"/>
  <c r="S38" i="5"/>
  <c r="Q37" i="5"/>
  <c r="R37" i="5"/>
  <c r="O37" i="5"/>
  <c r="S37" i="5"/>
  <c r="P37" i="5"/>
  <c r="P55" i="5"/>
  <c r="Q55" i="5"/>
  <c r="R55" i="5"/>
  <c r="O55" i="5"/>
  <c r="S55" i="5"/>
  <c r="W22" i="5"/>
  <c r="Z22" i="5"/>
  <c r="V22" i="5"/>
  <c r="Y22" i="5"/>
  <c r="X22" i="5"/>
  <c r="T302" i="5" l="1"/>
  <c r="V302" i="5"/>
  <c r="Y302" i="5"/>
  <c r="Z302" i="5"/>
  <c r="X302" i="5"/>
  <c r="W302" i="5"/>
  <c r="T311" i="5"/>
  <c r="Z311" i="5"/>
  <c r="Y311" i="5"/>
  <c r="W311" i="5"/>
  <c r="V311" i="5"/>
  <c r="X311" i="5"/>
  <c r="T22" i="5"/>
  <c r="AA22" i="5"/>
  <c r="F2" i="12"/>
  <c r="E2" i="12"/>
  <c r="D2" i="12"/>
  <c r="C2" i="12"/>
  <c r="B2" i="12"/>
  <c r="AA311" i="5" l="1"/>
  <c r="AA302" i="5"/>
  <c r="M270" i="5"/>
  <c r="M229" i="5"/>
  <c r="M228" i="5"/>
  <c r="M227" i="5"/>
  <c r="M226" i="5"/>
  <c r="M225" i="5"/>
  <c r="M224" i="5"/>
  <c r="M223" i="5"/>
  <c r="M222" i="5"/>
  <c r="M221" i="5"/>
  <c r="M220" i="5"/>
  <c r="M219" i="5"/>
  <c r="M218" i="5"/>
  <c r="M217" i="5"/>
  <c r="M216" i="5"/>
  <c r="M215" i="5"/>
  <c r="M214" i="5"/>
  <c r="M213" i="5"/>
  <c r="M212" i="5"/>
  <c r="F107" i="5" l="1"/>
  <c r="F108" i="5"/>
  <c r="F109" i="5"/>
  <c r="F110" i="5"/>
  <c r="F111" i="5"/>
  <c r="F112" i="5"/>
  <c r="F116" i="5"/>
  <c r="F117" i="5"/>
  <c r="F118" i="5"/>
  <c r="F119" i="5"/>
  <c r="F120" i="5"/>
  <c r="F106" i="5"/>
  <c r="D107" i="5"/>
  <c r="D108" i="5"/>
  <c r="D109" i="5"/>
  <c r="D110" i="5"/>
  <c r="D111" i="5"/>
  <c r="D112" i="5"/>
  <c r="D116" i="5"/>
  <c r="D117" i="5"/>
  <c r="D118" i="5"/>
  <c r="D119" i="5"/>
  <c r="D120" i="5"/>
  <c r="D106" i="5"/>
  <c r="B107" i="5"/>
  <c r="B108" i="5"/>
  <c r="B109" i="5"/>
  <c r="B110" i="5"/>
  <c r="B111" i="5"/>
  <c r="B112" i="5"/>
  <c r="B116" i="5"/>
  <c r="B117" i="5"/>
  <c r="B118" i="5"/>
  <c r="B119" i="5"/>
  <c r="B120" i="5"/>
  <c r="B106" i="5"/>
  <c r="C123" i="5"/>
  <c r="N123" i="5" l="1"/>
  <c r="U123" i="5" s="1" a="1"/>
  <c r="U123" i="5" s="1"/>
  <c r="D123" i="5"/>
  <c r="F123" i="5"/>
  <c r="G123" i="5"/>
  <c r="B123" i="5"/>
  <c r="Z223" i="5"/>
  <c r="V229" i="5"/>
  <c r="W222" i="5"/>
  <c r="Y220" i="5"/>
  <c r="V213" i="5"/>
  <c r="T227" i="5"/>
  <c r="X225" i="5"/>
  <c r="V225" i="5"/>
  <c r="Y225" i="5"/>
  <c r="W225" i="5"/>
  <c r="Z225" i="5"/>
  <c r="X219" i="5"/>
  <c r="Z219" i="5"/>
  <c r="V219" i="5"/>
  <c r="Y219" i="5"/>
  <c r="W219" i="5"/>
  <c r="T219" i="5"/>
  <c r="W226" i="5"/>
  <c r="V226" i="5"/>
  <c r="Y226" i="5"/>
  <c r="X226" i="5"/>
  <c r="Z226" i="5"/>
  <c r="T214" i="5"/>
  <c r="T221" i="5"/>
  <c r="Y228" i="5"/>
  <c r="W228" i="5"/>
  <c r="Z228" i="5"/>
  <c r="X228" i="5"/>
  <c r="V228" i="5"/>
  <c r="T218" i="5"/>
  <c r="T212" i="5"/>
  <c r="Y224" i="5"/>
  <c r="V224" i="5"/>
  <c r="X224" i="5"/>
  <c r="W224" i="5"/>
  <c r="Z224" i="5"/>
  <c r="Z227" i="5"/>
  <c r="V227" i="5"/>
  <c r="W227" i="5"/>
  <c r="Y227" i="5"/>
  <c r="X227" i="5"/>
  <c r="Z221" i="5"/>
  <c r="V221" i="5"/>
  <c r="X221" i="5"/>
  <c r="W221" i="5"/>
  <c r="Y221" i="5"/>
  <c r="T215" i="5"/>
  <c r="Y218" i="5"/>
  <c r="W218" i="5"/>
  <c r="V218" i="5"/>
  <c r="Z218" i="5"/>
  <c r="X218" i="5"/>
  <c r="W216" i="5"/>
  <c r="Y216" i="5"/>
  <c r="X216" i="5"/>
  <c r="Z216" i="5"/>
  <c r="V216" i="5"/>
  <c r="T224" i="5"/>
  <c r="T225" i="5"/>
  <c r="X215" i="5"/>
  <c r="Z215" i="5"/>
  <c r="V215" i="5"/>
  <c r="Y215" i="5"/>
  <c r="W215" i="5"/>
  <c r="T228" i="5"/>
  <c r="T226" i="5"/>
  <c r="T216" i="5"/>
  <c r="Y214" i="5"/>
  <c r="W214" i="5"/>
  <c r="Z214" i="5"/>
  <c r="V214" i="5"/>
  <c r="X214" i="5"/>
  <c r="W212" i="5"/>
  <c r="Y212" i="5"/>
  <c r="X212" i="5"/>
  <c r="V212" i="5"/>
  <c r="Z212" i="5"/>
  <c r="O123" i="5" l="1"/>
  <c r="P123" i="5"/>
  <c r="S123" i="5"/>
  <c r="R123" i="5"/>
  <c r="Q123" i="5"/>
  <c r="Y229" i="5"/>
  <c r="Z229" i="5"/>
  <c r="W229" i="5"/>
  <c r="X229" i="5"/>
  <c r="V222" i="5"/>
  <c r="T229" i="5"/>
  <c r="X222" i="5"/>
  <c r="Z222" i="5"/>
  <c r="Y222" i="5"/>
  <c r="X220" i="5"/>
  <c r="T223" i="5"/>
  <c r="T213" i="5"/>
  <c r="Y213" i="5"/>
  <c r="Z213" i="5"/>
  <c r="X213" i="5"/>
  <c r="W213" i="5"/>
  <c r="W223" i="5"/>
  <c r="V220" i="5"/>
  <c r="Z220" i="5"/>
  <c r="X223" i="5"/>
  <c r="W220" i="5"/>
  <c r="V223" i="5"/>
  <c r="Y223" i="5"/>
  <c r="T222" i="5"/>
  <c r="T220" i="5"/>
  <c r="T217" i="5"/>
  <c r="T270" i="5"/>
  <c r="Z270" i="5"/>
  <c r="V270" i="5"/>
  <c r="X270" i="5"/>
  <c r="W270" i="5"/>
  <c r="Y270" i="5"/>
  <c r="Z217" i="5"/>
  <c r="V217" i="5"/>
  <c r="X217" i="5"/>
  <c r="W217" i="5"/>
  <c r="Y217" i="5"/>
  <c r="M120" i="5"/>
  <c r="M119" i="5"/>
  <c r="M118" i="5"/>
  <c r="M117" i="5"/>
  <c r="M116" i="5"/>
  <c r="M112" i="5"/>
  <c r="M111" i="5"/>
  <c r="M110" i="5"/>
  <c r="M109" i="5"/>
  <c r="M108" i="5"/>
  <c r="M107" i="5"/>
  <c r="M106" i="5"/>
  <c r="M42" i="5"/>
  <c r="M40" i="5"/>
  <c r="H7" i="5" l="1"/>
  <c r="O7" i="5" s="1"/>
  <c r="I7" i="5"/>
  <c r="P7" i="5" s="1"/>
  <c r="J7" i="5"/>
  <c r="Q7" i="5" s="1"/>
  <c r="K7" i="5"/>
  <c r="R7" i="5" s="1"/>
  <c r="L7" i="5"/>
  <c r="S7" i="5" s="1"/>
  <c r="H8" i="5"/>
  <c r="O8" i="5" s="1"/>
  <c r="I8" i="5"/>
  <c r="P8" i="5" s="1"/>
  <c r="J8" i="5"/>
  <c r="Q8" i="5" s="1"/>
  <c r="K8" i="5"/>
  <c r="R8" i="5" s="1"/>
  <c r="L8" i="5"/>
  <c r="S8" i="5" s="1"/>
  <c r="H6" i="5"/>
  <c r="O6" i="5" s="1"/>
  <c r="I6" i="5"/>
  <c r="P6" i="5" s="1"/>
  <c r="J6" i="5"/>
  <c r="Q6" i="5" s="1"/>
  <c r="K6" i="5"/>
  <c r="R6" i="5" s="1"/>
  <c r="L6" i="5"/>
  <c r="S6" i="5" s="1"/>
  <c r="H5" i="5"/>
  <c r="O5" i="5" s="1"/>
  <c r="I5" i="5"/>
  <c r="P5" i="5" s="1"/>
  <c r="J5" i="5"/>
  <c r="Q5" i="5" s="1"/>
  <c r="K5" i="5"/>
  <c r="R5" i="5" s="1"/>
  <c r="L5" i="5"/>
  <c r="S5" i="5" s="1"/>
  <c r="K16" i="5"/>
  <c r="H9" i="5"/>
  <c r="L9" i="5" l="1"/>
  <c r="I9" i="5"/>
  <c r="K9" i="5"/>
  <c r="J9" i="5"/>
  <c r="Q9" i="5" s="1"/>
  <c r="P9" i="5"/>
  <c r="W9" i="5"/>
  <c r="S9" i="5"/>
  <c r="Z9" i="5"/>
  <c r="O9" i="5"/>
  <c r="V9" i="5"/>
  <c r="R9" i="5"/>
  <c r="Y9" i="5"/>
  <c r="X5" i="5"/>
  <c r="V7" i="5"/>
  <c r="Y7" i="5"/>
  <c r="W5" i="5"/>
  <c r="Z5" i="5"/>
  <c r="V5" i="5"/>
  <c r="X7" i="5"/>
  <c r="Z7" i="5"/>
  <c r="W7" i="5"/>
  <c r="X9" i="5" l="1"/>
  <c r="AA9" i="5" s="1"/>
  <c r="M9" i="5"/>
  <c r="T9" i="5"/>
  <c r="E8" i="12"/>
  <c r="D8" i="12"/>
  <c r="B8" i="12"/>
  <c r="C8" i="12"/>
  <c r="F8" i="12"/>
  <c r="B6" i="12"/>
  <c r="F6" i="12"/>
  <c r="C6" i="12"/>
  <c r="D6" i="12"/>
  <c r="M5" i="5"/>
  <c r="Y5" i="5"/>
  <c r="E6" i="12" l="1"/>
  <c r="F19" i="2"/>
  <c r="D19" i="2"/>
  <c r="B19" i="2"/>
  <c r="F17" i="2"/>
  <c r="K13" i="5" l="1"/>
  <c r="H13" i="5"/>
  <c r="L13" i="5"/>
  <c r="I12" i="5"/>
  <c r="P12" i="5" s="1"/>
  <c r="W6" i="5"/>
  <c r="Y6" i="5"/>
  <c r="X6" i="5"/>
  <c r="Z6" i="5"/>
  <c r="V6" i="5"/>
  <c r="S13" i="5" l="1"/>
  <c r="Z13" i="5"/>
  <c r="O13" i="5"/>
  <c r="V13" i="5"/>
  <c r="R13" i="5"/>
  <c r="Y13" i="5"/>
  <c r="J13" i="5"/>
  <c r="I13" i="5"/>
  <c r="I21" i="5"/>
  <c r="K17" i="5"/>
  <c r="R17" i="5" s="1"/>
  <c r="I16" i="5"/>
  <c r="P16" i="5" s="1"/>
  <c r="L17" i="5"/>
  <c r="S17" i="5" s="1"/>
  <c r="H12" i="5"/>
  <c r="O12" i="5" s="1"/>
  <c r="K21" i="5"/>
  <c r="I15" i="5"/>
  <c r="P15" i="5" s="1"/>
  <c r="J16" i="5"/>
  <c r="Q16" i="5" s="1"/>
  <c r="V21" i="5"/>
  <c r="L21" i="5"/>
  <c r="K15" i="5"/>
  <c r="R15" i="5" s="1"/>
  <c r="H16" i="5"/>
  <c r="O16" i="5" s="1"/>
  <c r="H15" i="5"/>
  <c r="O15" i="5" s="1"/>
  <c r="J15" i="5"/>
  <c r="Q15" i="5" s="1"/>
  <c r="L12" i="5"/>
  <c r="S12" i="5" s="1"/>
  <c r="H17" i="5"/>
  <c r="O17" i="5" s="1"/>
  <c r="I17" i="5"/>
  <c r="P17" i="5" s="1"/>
  <c r="K12" i="5"/>
  <c r="R12" i="5" s="1"/>
  <c r="L15" i="5"/>
  <c r="S15" i="5" s="1"/>
  <c r="J12" i="5"/>
  <c r="Q12" i="5" s="1"/>
  <c r="J17" i="5"/>
  <c r="Q17" i="5" s="1"/>
  <c r="L16" i="5"/>
  <c r="S16" i="5" s="1"/>
  <c r="J21" i="5"/>
  <c r="R16" i="5"/>
  <c r="F7" i="12"/>
  <c r="B7" i="12"/>
  <c r="D7" i="12"/>
  <c r="E7" i="12"/>
  <c r="C7" i="12"/>
  <c r="A2" i="12"/>
  <c r="Q13" i="5" l="1"/>
  <c r="X13" i="5"/>
  <c r="Q21" i="5"/>
  <c r="X21" i="5"/>
  <c r="D13" i="12" s="1"/>
  <c r="P13" i="5"/>
  <c r="W13" i="5"/>
  <c r="AA13" i="5" s="1"/>
  <c r="R21" i="5"/>
  <c r="Y21" i="5"/>
  <c r="E13" i="12" s="1"/>
  <c r="S21" i="5"/>
  <c r="Z21" i="5"/>
  <c r="F13" i="12" s="1"/>
  <c r="B13" i="12"/>
  <c r="P21" i="5"/>
  <c r="W21" i="5"/>
  <c r="C13" i="12" s="1"/>
  <c r="M21" i="5"/>
  <c r="O21" i="5"/>
  <c r="M13" i="5"/>
  <c r="X16" i="5"/>
  <c r="Z16" i="5"/>
  <c r="V16" i="5"/>
  <c r="Y16" i="5"/>
  <c r="W16" i="5"/>
  <c r="W17" i="5"/>
  <c r="C16" i="12" s="1"/>
  <c r="Y17" i="5"/>
  <c r="E16" i="12" s="1"/>
  <c r="X17" i="5"/>
  <c r="D16" i="12" s="1"/>
  <c r="Z17" i="5"/>
  <c r="F16" i="12" s="1"/>
  <c r="V17" i="5"/>
  <c r="B16" i="12" s="1"/>
  <c r="Y15" i="5"/>
  <c r="W15" i="5"/>
  <c r="Z15" i="5"/>
  <c r="V15" i="5"/>
  <c r="X15" i="5"/>
  <c r="Z14" i="5"/>
  <c r="V14" i="5"/>
  <c r="X14" i="5"/>
  <c r="W14" i="5"/>
  <c r="Y14" i="5"/>
  <c r="T13" i="5" l="1"/>
  <c r="T21" i="5"/>
  <c r="AA21" i="5"/>
  <c r="F15" i="12"/>
  <c r="C15" i="12"/>
  <c r="E15" i="12"/>
  <c r="D15" i="12"/>
  <c r="B15" i="12"/>
  <c r="D12" i="12"/>
  <c r="F12" i="12"/>
  <c r="E12" i="12"/>
  <c r="C12" i="12"/>
  <c r="B12" i="12"/>
  <c r="G13" i="12"/>
  <c r="G8" i="12"/>
  <c r="G16" i="12"/>
  <c r="G7" i="12"/>
  <c r="G6" i="12"/>
  <c r="G15" i="12" l="1"/>
  <c r="G12" i="12"/>
  <c r="AC2" i="5" l="1"/>
  <c r="M372" i="5" l="1"/>
  <c r="M371" i="5"/>
  <c r="M370" i="5"/>
  <c r="M369" i="5"/>
  <c r="M368" i="5"/>
  <c r="M367" i="5"/>
  <c r="M366" i="5"/>
  <c r="M365" i="5"/>
  <c r="M364" i="5"/>
  <c r="M363" i="5"/>
  <c r="M362" i="5"/>
  <c r="M361" i="5"/>
  <c r="M360" i="5"/>
  <c r="M359" i="5"/>
  <c r="M358" i="5"/>
  <c r="M357" i="5"/>
  <c r="M356" i="5"/>
  <c r="M355" i="5"/>
  <c r="M354" i="5"/>
  <c r="M353" i="5"/>
  <c r="M352" i="5"/>
  <c r="M351" i="5"/>
  <c r="M350" i="5"/>
  <c r="M349" i="5"/>
  <c r="M348" i="5"/>
  <c r="M347" i="5"/>
  <c r="M346" i="5"/>
  <c r="M345" i="5"/>
  <c r="M344" i="5"/>
  <c r="M343" i="5"/>
  <c r="M342" i="5"/>
  <c r="M341" i="5"/>
  <c r="M340" i="5"/>
  <c r="M339" i="5"/>
  <c r="M338" i="5"/>
  <c r="M337" i="5"/>
  <c r="M336" i="5"/>
  <c r="M335" i="5"/>
  <c r="M334" i="5"/>
  <c r="M333" i="5"/>
  <c r="M332" i="5"/>
  <c r="M331" i="5"/>
  <c r="M330" i="5"/>
  <c r="M329" i="5"/>
  <c r="M328" i="5"/>
  <c r="M327" i="5"/>
  <c r="M326" i="5"/>
  <c r="M325" i="5"/>
  <c r="M324" i="5"/>
  <c r="M323" i="5"/>
  <c r="M322" i="5"/>
  <c r="M321" i="5"/>
  <c r="M320" i="5"/>
  <c r="M319" i="5"/>
  <c r="M318" i="5"/>
  <c r="M317" i="5"/>
  <c r="M316" i="5"/>
  <c r="M315" i="5"/>
  <c r="M314" i="5"/>
  <c r="M313" i="5"/>
  <c r="M312" i="5"/>
  <c r="M310" i="5"/>
  <c r="M309" i="5"/>
  <c r="M308" i="5"/>
  <c r="M307" i="5"/>
  <c r="M306" i="5"/>
  <c r="M305" i="5"/>
  <c r="M304" i="5"/>
  <c r="M303" i="5"/>
  <c r="M301" i="5"/>
  <c r="M299" i="5"/>
  <c r="M298" i="5"/>
  <c r="M297" i="5"/>
  <c r="M296" i="5"/>
  <c r="M295" i="5"/>
  <c r="M294" i="5"/>
  <c r="M293" i="5"/>
  <c r="M292" i="5"/>
  <c r="M291" i="5"/>
  <c r="M290" i="5"/>
  <c r="M289" i="5"/>
  <c r="M288" i="5"/>
  <c r="M287" i="5"/>
  <c r="M286" i="5"/>
  <c r="M285" i="5"/>
  <c r="M284" i="5"/>
  <c r="M283" i="5"/>
  <c r="M282" i="5"/>
  <c r="M281" i="5"/>
  <c r="M280" i="5"/>
  <c r="M279" i="5"/>
  <c r="M278" i="5"/>
  <c r="M277" i="5"/>
  <c r="M276" i="5"/>
  <c r="M275" i="5"/>
  <c r="M274" i="5"/>
  <c r="M273" i="5"/>
  <c r="M269" i="5"/>
  <c r="M268" i="5"/>
  <c r="M267" i="5"/>
  <c r="M266" i="5"/>
  <c r="M265" i="5"/>
  <c r="M264" i="5"/>
  <c r="M263" i="5"/>
  <c r="M262" i="5"/>
  <c r="M261" i="5"/>
  <c r="M259" i="5"/>
  <c r="M258" i="5"/>
  <c r="M257" i="5"/>
  <c r="M256" i="5"/>
  <c r="M255" i="5"/>
  <c r="M254" i="5"/>
  <c r="M245" i="5"/>
  <c r="M244" i="5"/>
  <c r="M243" i="5"/>
  <c r="M242" i="5"/>
  <c r="M241" i="5"/>
  <c r="M240" i="5"/>
  <c r="M239" i="5"/>
  <c r="M238" i="5"/>
  <c r="M237" i="5"/>
  <c r="M236" i="5"/>
  <c r="M235" i="5"/>
  <c r="M234" i="5"/>
  <c r="M233" i="5"/>
  <c r="M232" i="5"/>
  <c r="M231" i="5"/>
  <c r="M230" i="5"/>
  <c r="M211" i="5"/>
  <c r="M210" i="5"/>
  <c r="M209" i="5"/>
  <c r="M208" i="5"/>
  <c r="M207" i="5"/>
  <c r="M206" i="5"/>
  <c r="M205" i="5"/>
  <c r="M204" i="5"/>
  <c r="M203" i="5"/>
  <c r="M202" i="5"/>
  <c r="M201" i="5"/>
  <c r="M200" i="5"/>
  <c r="M199" i="5"/>
  <c r="M198" i="5"/>
  <c r="M197" i="5"/>
  <c r="M196" i="5"/>
  <c r="M195" i="5"/>
  <c r="M194" i="5"/>
  <c r="M193" i="5"/>
  <c r="M192" i="5"/>
  <c r="M191" i="5"/>
  <c r="M190" i="5"/>
  <c r="M189" i="5"/>
  <c r="M188" i="5"/>
  <c r="M187" i="5"/>
  <c r="M186" i="5"/>
  <c r="M185" i="5"/>
  <c r="M184" i="5"/>
  <c r="M183" i="5"/>
  <c r="M182" i="5"/>
  <c r="M181" i="5"/>
  <c r="M180" i="5"/>
  <c r="M179" i="5"/>
  <c r="M178" i="5"/>
  <c r="M177" i="5"/>
  <c r="M176" i="5"/>
  <c r="M175" i="5"/>
  <c r="M174" i="5"/>
  <c r="M173" i="5"/>
  <c r="M172" i="5"/>
  <c r="M171" i="5"/>
  <c r="M166" i="5"/>
  <c r="M165" i="5"/>
  <c r="M164" i="5"/>
  <c r="M163" i="5"/>
  <c r="M162" i="5"/>
  <c r="M161" i="5"/>
  <c r="M160" i="5"/>
  <c r="M159" i="5"/>
  <c r="M158" i="5"/>
  <c r="M156" i="5"/>
  <c r="M155" i="5"/>
  <c r="M154" i="5"/>
  <c r="M153" i="5"/>
  <c r="M152" i="5"/>
  <c r="M151" i="5"/>
  <c r="M150" i="5"/>
  <c r="M149" i="5"/>
  <c r="M148" i="5"/>
  <c r="M147" i="5"/>
  <c r="M146" i="5"/>
  <c r="M145" i="5"/>
  <c r="M144" i="5"/>
  <c r="M143" i="5"/>
  <c r="M142" i="5"/>
  <c r="M141" i="5"/>
  <c r="M128" i="5"/>
  <c r="M127" i="5"/>
  <c r="M126" i="5"/>
  <c r="M125" i="5"/>
  <c r="M124" i="5"/>
  <c r="M123" i="5"/>
  <c r="M103" i="5"/>
  <c r="M62" i="5"/>
  <c r="M53" i="5"/>
  <c r="M52" i="5"/>
  <c r="M51" i="5"/>
  <c r="M50" i="5"/>
  <c r="M49" i="5"/>
  <c r="M48" i="5"/>
  <c r="M47" i="5"/>
  <c r="M46" i="5"/>
  <c r="M45" i="5"/>
  <c r="M44" i="5"/>
  <c r="M39" i="5"/>
  <c r="M38" i="5"/>
  <c r="M37" i="5"/>
  <c r="M36" i="5"/>
  <c r="M35" i="5"/>
  <c r="M34" i="5"/>
  <c r="M33" i="5"/>
  <c r="M32" i="5"/>
  <c r="M31" i="5"/>
  <c r="M29" i="5"/>
  <c r="M28" i="5"/>
  <c r="M27" i="5"/>
  <c r="M26" i="5"/>
  <c r="T30" i="5" l="1"/>
  <c r="Y30" i="5"/>
  <c r="X30" i="5"/>
  <c r="W30" i="5"/>
  <c r="Z30" i="5"/>
  <c r="V30" i="5"/>
  <c r="AA30" i="5" l="1"/>
  <c r="T55" i="5"/>
  <c r="Y20" i="5"/>
  <c r="W20" i="5"/>
  <c r="V20" i="5"/>
  <c r="Z20" i="5"/>
  <c r="X20" i="5"/>
  <c r="Z40" i="5"/>
  <c r="V40" i="5"/>
  <c r="X40" i="5"/>
  <c r="W40" i="5"/>
  <c r="Y40" i="5"/>
  <c r="W103" i="5"/>
  <c r="Y103" i="5"/>
  <c r="X103" i="5"/>
  <c r="Z103" i="5"/>
  <c r="V103" i="5"/>
  <c r="Y47" i="5"/>
  <c r="W47" i="5"/>
  <c r="V47" i="5"/>
  <c r="Z47" i="5"/>
  <c r="X47" i="5"/>
  <c r="Z32" i="5"/>
  <c r="V32" i="5"/>
  <c r="X32" i="5"/>
  <c r="W32" i="5"/>
  <c r="Y32" i="5"/>
  <c r="Z27" i="5"/>
  <c r="V27" i="5"/>
  <c r="X27" i="5"/>
  <c r="W27" i="5"/>
  <c r="Y27" i="5"/>
  <c r="X23" i="5"/>
  <c r="Z23" i="5"/>
  <c r="V23" i="5"/>
  <c r="Y23" i="5"/>
  <c r="W23" i="5"/>
  <c r="X29" i="5"/>
  <c r="Z29" i="5"/>
  <c r="V29" i="5"/>
  <c r="Y29" i="5"/>
  <c r="W29" i="5"/>
  <c r="W35" i="5"/>
  <c r="Y35" i="5"/>
  <c r="X35" i="5"/>
  <c r="Z35" i="5"/>
  <c r="V35" i="5"/>
  <c r="Y28" i="5"/>
  <c r="W28" i="5"/>
  <c r="Z28" i="5"/>
  <c r="V28" i="5"/>
  <c r="X28" i="5"/>
  <c r="X56" i="5"/>
  <c r="Z56" i="5"/>
  <c r="V56" i="5"/>
  <c r="Y56" i="5"/>
  <c r="W56" i="5"/>
  <c r="W26" i="5"/>
  <c r="Y26" i="5"/>
  <c r="X26" i="5"/>
  <c r="V26" i="5"/>
  <c r="Z26" i="5"/>
  <c r="Y42" i="5"/>
  <c r="W42" i="5"/>
  <c r="V42" i="5"/>
  <c r="Z42" i="5"/>
  <c r="X42" i="5"/>
  <c r="Z46" i="5"/>
  <c r="V46" i="5"/>
  <c r="X46" i="5"/>
  <c r="W46" i="5"/>
  <c r="Y46" i="5"/>
  <c r="X44" i="5"/>
  <c r="Z44" i="5"/>
  <c r="V44" i="5"/>
  <c r="Y44" i="5"/>
  <c r="W44" i="5"/>
  <c r="W49" i="5"/>
  <c r="Y49" i="5"/>
  <c r="X49" i="5"/>
  <c r="V49" i="5"/>
  <c r="Z49" i="5"/>
  <c r="Y8" i="5"/>
  <c r="W8" i="5"/>
  <c r="V8" i="5"/>
  <c r="Z8" i="5"/>
  <c r="X8" i="5"/>
  <c r="Z54" i="5"/>
  <c r="V54" i="5"/>
  <c r="X54" i="5"/>
  <c r="W54" i="5"/>
  <c r="Y54" i="5"/>
  <c r="Y55" i="5"/>
  <c r="W55" i="5"/>
  <c r="V55" i="5"/>
  <c r="Z55" i="5"/>
  <c r="X55" i="5"/>
  <c r="X38" i="5"/>
  <c r="Z38" i="5"/>
  <c r="V38" i="5"/>
  <c r="Y38" i="5"/>
  <c r="W38" i="5"/>
  <c r="Y37" i="5"/>
  <c r="W37" i="5"/>
  <c r="Z37" i="5"/>
  <c r="V37" i="5"/>
  <c r="X37" i="5"/>
  <c r="X62" i="5"/>
  <c r="Z62" i="5"/>
  <c r="V62" i="5"/>
  <c r="Y62" i="5"/>
  <c r="W62" i="5"/>
  <c r="W45" i="5"/>
  <c r="Y45" i="5"/>
  <c r="X45" i="5"/>
  <c r="V45" i="5"/>
  <c r="Z45" i="5"/>
  <c r="Z50" i="5"/>
  <c r="V50" i="5"/>
  <c r="X50" i="5"/>
  <c r="W50" i="5"/>
  <c r="Y50" i="5"/>
  <c r="Z58" i="5"/>
  <c r="V58" i="5"/>
  <c r="X58" i="5"/>
  <c r="W58" i="5"/>
  <c r="Y58" i="5"/>
  <c r="X34" i="5"/>
  <c r="Z34" i="5"/>
  <c r="V34" i="5"/>
  <c r="Y34" i="5"/>
  <c r="W34" i="5"/>
  <c r="X48" i="5"/>
  <c r="Z48" i="5"/>
  <c r="V48" i="5"/>
  <c r="Y48" i="5"/>
  <c r="W48" i="5"/>
  <c r="W53" i="5"/>
  <c r="Y53" i="5"/>
  <c r="X53" i="5"/>
  <c r="Z53" i="5"/>
  <c r="V53" i="5"/>
  <c r="X52" i="5"/>
  <c r="Z52" i="5"/>
  <c r="V52" i="5"/>
  <c r="Y52" i="5"/>
  <c r="W52" i="5"/>
  <c r="W31" i="5"/>
  <c r="Y31" i="5"/>
  <c r="X31" i="5"/>
  <c r="Z31" i="5"/>
  <c r="V31" i="5"/>
  <c r="Y51" i="5"/>
  <c r="W51" i="5"/>
  <c r="Z51" i="5"/>
  <c r="V51" i="5"/>
  <c r="X51" i="5"/>
  <c r="Z36" i="5"/>
  <c r="V36" i="5"/>
  <c r="X36" i="5"/>
  <c r="W36" i="5"/>
  <c r="Y36" i="5"/>
  <c r="Y59" i="5"/>
  <c r="W59" i="5"/>
  <c r="Z59" i="5"/>
  <c r="V59" i="5"/>
  <c r="X59" i="5"/>
  <c r="W57" i="5"/>
  <c r="Y57" i="5"/>
  <c r="X57" i="5"/>
  <c r="V57" i="5"/>
  <c r="Z57" i="5"/>
  <c r="W39" i="5"/>
  <c r="Y39" i="5"/>
  <c r="X39" i="5"/>
  <c r="Z39" i="5"/>
  <c r="V39" i="5"/>
  <c r="Y33" i="5"/>
  <c r="W33" i="5"/>
  <c r="V33" i="5"/>
  <c r="Z33" i="5"/>
  <c r="X33" i="5"/>
  <c r="T57" i="5"/>
  <c r="T56" i="5"/>
  <c r="T40" i="5"/>
  <c r="T42" i="5"/>
  <c r="M23" i="5"/>
  <c r="M7" i="5"/>
  <c r="M8" i="5"/>
  <c r="M6" i="5"/>
  <c r="M15" i="5"/>
  <c r="M17" i="5"/>
  <c r="M16" i="5"/>
  <c r="C9" i="12" l="1"/>
  <c r="D9" i="12"/>
  <c r="X4" i="5"/>
  <c r="E9" i="12"/>
  <c r="F9" i="12"/>
  <c r="B9" i="12"/>
  <c r="D14" i="12"/>
  <c r="F14" i="12"/>
  <c r="C14" i="12"/>
  <c r="E14" i="12"/>
  <c r="B14" i="12"/>
  <c r="Z25" i="5"/>
  <c r="W25" i="5"/>
  <c r="Z4" i="5"/>
  <c r="V4" i="5"/>
  <c r="Y4" i="5"/>
  <c r="W4" i="5"/>
  <c r="V25" i="5"/>
  <c r="X25" i="5"/>
  <c r="Y25" i="5"/>
  <c r="U2" i="5"/>
  <c r="G9" i="12" l="1"/>
  <c r="AA4" i="5"/>
  <c r="G14" i="12"/>
  <c r="AA25" i="5"/>
  <c r="AA222" i="5" l="1"/>
  <c r="AA42" i="5"/>
  <c r="AA55" i="5"/>
  <c r="AA56" i="5"/>
  <c r="AA40" i="5"/>
  <c r="AA57" i="5"/>
  <c r="A11" i="5"/>
  <c r="A13" i="5" l="1"/>
  <c r="AZ13" i="5"/>
  <c r="AZ21" i="5"/>
  <c r="AZ17" i="5"/>
  <c r="AZ12" i="5"/>
  <c r="AZ23" i="5"/>
  <c r="AZ19" i="5"/>
  <c r="AZ15" i="5"/>
  <c r="AZ22" i="5"/>
  <c r="AZ18" i="5"/>
  <c r="AZ14" i="5"/>
  <c r="AZ20" i="5"/>
  <c r="AZ16" i="5"/>
  <c r="A18" i="5"/>
  <c r="A21" i="5"/>
  <c r="A22" i="5"/>
  <c r="W118" i="5"/>
  <c r="Y118" i="5"/>
  <c r="X118" i="5"/>
  <c r="V118" i="5"/>
  <c r="Z118" i="5"/>
  <c r="Y107" i="5"/>
  <c r="W107" i="5"/>
  <c r="V107" i="5"/>
  <c r="Z107" i="5"/>
  <c r="X107" i="5"/>
  <c r="Y120" i="5"/>
  <c r="W120" i="5"/>
  <c r="Z120" i="5"/>
  <c r="V120" i="5"/>
  <c r="X120" i="5"/>
  <c r="Z106" i="5"/>
  <c r="V106" i="5"/>
  <c r="X106" i="5"/>
  <c r="W106" i="5"/>
  <c r="Y106" i="5"/>
  <c r="Z119" i="5"/>
  <c r="V119" i="5"/>
  <c r="X119" i="5"/>
  <c r="W119" i="5"/>
  <c r="Y119" i="5"/>
  <c r="AA225" i="5"/>
  <c r="AA228" i="5"/>
  <c r="AA214" i="5"/>
  <c r="AA217" i="5"/>
  <c r="AA215" i="5"/>
  <c r="AA224" i="5"/>
  <c r="AA223" i="5"/>
  <c r="AA229" i="5"/>
  <c r="AA219" i="5"/>
  <c r="AA212" i="5"/>
  <c r="AA216" i="5"/>
  <c r="AA226" i="5"/>
  <c r="AA220" i="5"/>
  <c r="AA218" i="5"/>
  <c r="AA221" i="5"/>
  <c r="AA227" i="5"/>
  <c r="AA213" i="5"/>
  <c r="AA270" i="5"/>
  <c r="A14" i="5"/>
  <c r="AA10" i="5"/>
  <c r="A15" i="5"/>
  <c r="A23" i="5"/>
  <c r="A20" i="5"/>
  <c r="A17" i="5"/>
  <c r="A12" i="5"/>
  <c r="A16" i="5"/>
  <c r="A25" i="5"/>
  <c r="A75" i="5" s="1"/>
  <c r="A19" i="5"/>
  <c r="T10" i="5"/>
  <c r="A6" i="5"/>
  <c r="A7" i="5"/>
  <c r="A8" i="5"/>
  <c r="A10" i="5"/>
  <c r="AZ43" i="5" l="1"/>
  <c r="A43" i="5"/>
  <c r="A74" i="5"/>
  <c r="A73" i="5"/>
  <c r="AZ103" i="5"/>
  <c r="AZ99" i="5"/>
  <c r="AZ95" i="5"/>
  <c r="AZ91" i="5"/>
  <c r="AZ87" i="5"/>
  <c r="AZ83" i="5"/>
  <c r="AZ79" i="5"/>
  <c r="AZ72" i="5"/>
  <c r="AZ68" i="5"/>
  <c r="AZ64" i="5"/>
  <c r="AZ60" i="5"/>
  <c r="AZ56" i="5"/>
  <c r="AZ52" i="5"/>
  <c r="AZ48" i="5"/>
  <c r="AZ44" i="5"/>
  <c r="AZ39" i="5"/>
  <c r="AZ35" i="5"/>
  <c r="AZ31" i="5"/>
  <c r="AZ27" i="5"/>
  <c r="AZ101" i="5"/>
  <c r="AZ97" i="5"/>
  <c r="AZ93" i="5"/>
  <c r="AZ89" i="5"/>
  <c r="AZ85" i="5"/>
  <c r="AZ81" i="5"/>
  <c r="AZ77" i="5"/>
  <c r="AZ70" i="5"/>
  <c r="AZ66" i="5"/>
  <c r="AZ62" i="5"/>
  <c r="AZ58" i="5"/>
  <c r="AZ54" i="5"/>
  <c r="AZ50" i="5"/>
  <c r="AZ46" i="5"/>
  <c r="AZ41" i="5"/>
  <c r="AZ37" i="5"/>
  <c r="AZ33" i="5"/>
  <c r="AZ29" i="5"/>
  <c r="AZ100" i="5"/>
  <c r="AZ96" i="5"/>
  <c r="AZ92" i="5"/>
  <c r="AZ88" i="5"/>
  <c r="AZ84" i="5"/>
  <c r="AZ80" i="5"/>
  <c r="AZ76" i="5"/>
  <c r="AZ69" i="5"/>
  <c r="AZ65" i="5"/>
  <c r="AZ61" i="5"/>
  <c r="AZ57" i="5"/>
  <c r="AZ53" i="5"/>
  <c r="AZ49" i="5"/>
  <c r="AZ45" i="5"/>
  <c r="AZ40" i="5"/>
  <c r="AZ36" i="5"/>
  <c r="AZ32" i="5"/>
  <c r="AZ28" i="5"/>
  <c r="AZ102" i="5"/>
  <c r="AZ98" i="5"/>
  <c r="AZ94" i="5"/>
  <c r="AZ90" i="5"/>
  <c r="AZ86" i="5"/>
  <c r="AZ82" i="5"/>
  <c r="AZ78" i="5"/>
  <c r="AZ71" i="5"/>
  <c r="AZ67" i="5"/>
  <c r="AZ63" i="5"/>
  <c r="AZ59" i="5"/>
  <c r="AZ55" i="5"/>
  <c r="AZ51" i="5"/>
  <c r="AZ47" i="5"/>
  <c r="AZ42" i="5"/>
  <c r="AZ38" i="5"/>
  <c r="AZ34" i="5"/>
  <c r="AZ30" i="5"/>
  <c r="AZ26" i="5"/>
  <c r="A72" i="5"/>
  <c r="A102" i="5"/>
  <c r="A88" i="5"/>
  <c r="A84" i="5"/>
  <c r="A80" i="5"/>
  <c r="A76" i="5"/>
  <c r="A96" i="5"/>
  <c r="A92" i="5"/>
  <c r="A99" i="5"/>
  <c r="A83" i="5"/>
  <c r="A95" i="5"/>
  <c r="A89" i="5"/>
  <c r="A85" i="5"/>
  <c r="A81" i="5"/>
  <c r="A77" i="5"/>
  <c r="A97" i="5"/>
  <c r="A93" i="5"/>
  <c r="A100" i="5"/>
  <c r="A87" i="5"/>
  <c r="A71" i="5"/>
  <c r="A90" i="5"/>
  <c r="A86" i="5"/>
  <c r="A82" i="5"/>
  <c r="A78" i="5"/>
  <c r="A98" i="5"/>
  <c r="A94" i="5"/>
  <c r="A101" i="5"/>
  <c r="A79" i="5"/>
  <c r="A91" i="5"/>
  <c r="A65" i="5"/>
  <c r="A68" i="5"/>
  <c r="A66" i="5"/>
  <c r="A69" i="5"/>
  <c r="A67" i="5"/>
  <c r="A64" i="5"/>
  <c r="A41" i="5"/>
  <c r="A70" i="5"/>
  <c r="A60" i="5"/>
  <c r="A61" i="5"/>
  <c r="A63" i="5"/>
  <c r="A30" i="5"/>
  <c r="T316" i="5"/>
  <c r="T319" i="5"/>
  <c r="T342" i="5"/>
  <c r="T321" i="5"/>
  <c r="T336" i="5"/>
  <c r="T204" i="5"/>
  <c r="T158" i="5"/>
  <c r="T265" i="5"/>
  <c r="T289" i="5"/>
  <c r="T233" i="5"/>
  <c r="T266" i="5"/>
  <c r="T234" i="5"/>
  <c r="T328" i="5"/>
  <c r="T128" i="5"/>
  <c r="T156" i="5"/>
  <c r="T177" i="5"/>
  <c r="T209" i="5"/>
  <c r="T162" i="5"/>
  <c r="T182" i="5"/>
  <c r="T244" i="5"/>
  <c r="T126" i="5"/>
  <c r="T237" i="5"/>
  <c r="T323" i="5"/>
  <c r="T176" i="5"/>
  <c r="T152" i="5"/>
  <c r="T288" i="5"/>
  <c r="T153" i="5"/>
  <c r="T202" i="5"/>
  <c r="T269" i="5"/>
  <c r="T163" i="5"/>
  <c r="T315" i="5"/>
  <c r="T345" i="5"/>
  <c r="T339" i="5"/>
  <c r="T124" i="5"/>
  <c r="T181" i="5"/>
  <c r="T314" i="5"/>
  <c r="T327" i="5"/>
  <c r="T242" i="5"/>
  <c r="T267" i="5"/>
  <c r="X123" i="5"/>
  <c r="Z123" i="5"/>
  <c r="V123" i="5"/>
  <c r="Y123" i="5"/>
  <c r="W123" i="5"/>
  <c r="T232" i="5"/>
  <c r="Y150" i="5"/>
  <c r="W150" i="5"/>
  <c r="Z150" i="5"/>
  <c r="V150" i="5"/>
  <c r="X150" i="5"/>
  <c r="W204" i="5"/>
  <c r="Y204" i="5"/>
  <c r="X204" i="5"/>
  <c r="V204" i="5"/>
  <c r="Z204" i="5"/>
  <c r="T258" i="5"/>
  <c r="T256" i="5"/>
  <c r="T322" i="5"/>
  <c r="T330" i="5"/>
  <c r="Y142" i="5"/>
  <c r="W142" i="5"/>
  <c r="Z142" i="5"/>
  <c r="V142" i="5"/>
  <c r="X142" i="5"/>
  <c r="Y171" i="5"/>
  <c r="W171" i="5"/>
  <c r="Z171" i="5"/>
  <c r="V171" i="5"/>
  <c r="X171" i="5"/>
  <c r="T241" i="5"/>
  <c r="T290" i="5"/>
  <c r="T349" i="5"/>
  <c r="X160" i="5"/>
  <c r="Z160" i="5"/>
  <c r="V160" i="5"/>
  <c r="Y160" i="5"/>
  <c r="W160" i="5"/>
  <c r="X321" i="5"/>
  <c r="Z321" i="5"/>
  <c r="V321" i="5"/>
  <c r="Y321" i="5"/>
  <c r="W321" i="5"/>
  <c r="X336" i="5"/>
  <c r="Z336" i="5"/>
  <c r="V336" i="5"/>
  <c r="Y336" i="5"/>
  <c r="W336" i="5"/>
  <c r="Z112" i="5"/>
  <c r="V112" i="5"/>
  <c r="X112" i="5"/>
  <c r="W112" i="5"/>
  <c r="Y112" i="5"/>
  <c r="T190" i="5"/>
  <c r="Y206" i="5"/>
  <c r="W206" i="5"/>
  <c r="Z206" i="5"/>
  <c r="V206" i="5"/>
  <c r="X206" i="5"/>
  <c r="T240" i="5"/>
  <c r="Y159" i="5"/>
  <c r="W159" i="5"/>
  <c r="Z159" i="5"/>
  <c r="V159" i="5"/>
  <c r="X159" i="5"/>
  <c r="T257" i="5"/>
  <c r="X172" i="5"/>
  <c r="Z172" i="5"/>
  <c r="V172" i="5"/>
  <c r="Y172" i="5"/>
  <c r="W172" i="5"/>
  <c r="Y320" i="5"/>
  <c r="W320" i="5"/>
  <c r="V320" i="5"/>
  <c r="Z320" i="5"/>
  <c r="X320" i="5"/>
  <c r="Y343" i="5"/>
  <c r="W343" i="5"/>
  <c r="V343" i="5"/>
  <c r="Z343" i="5"/>
  <c r="X343" i="5"/>
  <c r="W128" i="5"/>
  <c r="Y128" i="5"/>
  <c r="X128" i="5"/>
  <c r="V128" i="5"/>
  <c r="Z128" i="5"/>
  <c r="T148" i="5"/>
  <c r="W156" i="5"/>
  <c r="Y156" i="5"/>
  <c r="X156" i="5"/>
  <c r="V156" i="5"/>
  <c r="Z156" i="5"/>
  <c r="T165" i="5"/>
  <c r="W177" i="5"/>
  <c r="Y177" i="5"/>
  <c r="X177" i="5"/>
  <c r="V177" i="5"/>
  <c r="Z177" i="5"/>
  <c r="T201" i="5"/>
  <c r="Z209" i="5"/>
  <c r="V209" i="5"/>
  <c r="X209" i="5"/>
  <c r="W209" i="5"/>
  <c r="Y209" i="5"/>
  <c r="X344" i="5"/>
  <c r="Z344" i="5"/>
  <c r="V344" i="5"/>
  <c r="Y344" i="5"/>
  <c r="W344" i="5"/>
  <c r="T125" i="5"/>
  <c r="Z162" i="5"/>
  <c r="V162" i="5"/>
  <c r="X162" i="5"/>
  <c r="W162" i="5"/>
  <c r="Y162" i="5"/>
  <c r="T174" i="5"/>
  <c r="T194" i="5"/>
  <c r="T210" i="5"/>
  <c r="T236" i="5"/>
  <c r="Y244" i="5"/>
  <c r="W244" i="5"/>
  <c r="V244" i="5"/>
  <c r="Z244" i="5"/>
  <c r="X244" i="5"/>
  <c r="T261" i="5"/>
  <c r="T318" i="5"/>
  <c r="W348" i="5"/>
  <c r="Y348" i="5"/>
  <c r="X348" i="5"/>
  <c r="Z348" i="5"/>
  <c r="V348" i="5"/>
  <c r="T154" i="5"/>
  <c r="T262" i="5"/>
  <c r="T307" i="5"/>
  <c r="Z323" i="5"/>
  <c r="V323" i="5"/>
  <c r="X323" i="5"/>
  <c r="W323" i="5"/>
  <c r="Y323" i="5"/>
  <c r="T164" i="5"/>
  <c r="T200" i="5"/>
  <c r="T144" i="5"/>
  <c r="T173" i="5"/>
  <c r="T205" i="5"/>
  <c r="X340" i="5"/>
  <c r="Z340" i="5"/>
  <c r="V340" i="5"/>
  <c r="Y340" i="5"/>
  <c r="W340" i="5"/>
  <c r="T208" i="5"/>
  <c r="W238" i="5"/>
  <c r="Y238" i="5"/>
  <c r="X238" i="5"/>
  <c r="V238" i="5"/>
  <c r="Z238" i="5"/>
  <c r="T145" i="5"/>
  <c r="Z153" i="5"/>
  <c r="V153" i="5"/>
  <c r="X153" i="5"/>
  <c r="W153" i="5"/>
  <c r="Y153" i="5"/>
  <c r="W269" i="5"/>
  <c r="Y269" i="5"/>
  <c r="X269" i="5"/>
  <c r="Z269" i="5"/>
  <c r="V269" i="5"/>
  <c r="T333" i="5"/>
  <c r="T146" i="5"/>
  <c r="T175" i="5"/>
  <c r="T245" i="5"/>
  <c r="T331" i="5"/>
  <c r="Z345" i="5"/>
  <c r="V345" i="5"/>
  <c r="X345" i="5"/>
  <c r="W345" i="5"/>
  <c r="Y345" i="5"/>
  <c r="T332" i="5"/>
  <c r="T346" i="5"/>
  <c r="T161" i="5"/>
  <c r="X367" i="5"/>
  <c r="Z367" i="5"/>
  <c r="V367" i="5"/>
  <c r="Y367" i="5"/>
  <c r="W367" i="5"/>
  <c r="Y109" i="5"/>
  <c r="W109" i="5"/>
  <c r="Z109" i="5"/>
  <c r="V109" i="5"/>
  <c r="X109" i="5"/>
  <c r="X359" i="5"/>
  <c r="Z359" i="5"/>
  <c r="V359" i="5"/>
  <c r="Y359" i="5"/>
  <c r="W359" i="5"/>
  <c r="W258" i="5"/>
  <c r="Y258" i="5"/>
  <c r="X258" i="5"/>
  <c r="Z258" i="5"/>
  <c r="V258" i="5"/>
  <c r="Z166" i="5"/>
  <c r="V166" i="5"/>
  <c r="X166" i="5"/>
  <c r="W166" i="5"/>
  <c r="Y166" i="5"/>
  <c r="Y232" i="5"/>
  <c r="W232" i="5"/>
  <c r="Z232" i="5"/>
  <c r="V232" i="5"/>
  <c r="X232" i="5"/>
  <c r="W314" i="5"/>
  <c r="Y314" i="5"/>
  <c r="X314" i="5"/>
  <c r="V314" i="5"/>
  <c r="Z314" i="5"/>
  <c r="W330" i="5"/>
  <c r="Y330" i="5"/>
  <c r="X330" i="5"/>
  <c r="V330" i="5"/>
  <c r="Z330" i="5"/>
  <c r="T142" i="5"/>
  <c r="T171" i="5"/>
  <c r="X241" i="5"/>
  <c r="Z241" i="5"/>
  <c r="V241" i="5"/>
  <c r="Y241" i="5"/>
  <c r="W241" i="5"/>
  <c r="Y290" i="5"/>
  <c r="W290" i="5"/>
  <c r="Z290" i="5"/>
  <c r="V290" i="5"/>
  <c r="X290" i="5"/>
  <c r="Z327" i="5"/>
  <c r="V327" i="5"/>
  <c r="X327" i="5"/>
  <c r="W327" i="5"/>
  <c r="Y327" i="5"/>
  <c r="T334" i="5"/>
  <c r="Z342" i="5"/>
  <c r="V342" i="5"/>
  <c r="X342" i="5"/>
  <c r="W342" i="5"/>
  <c r="Y342" i="5"/>
  <c r="T160" i="5"/>
  <c r="X180" i="5"/>
  <c r="Z180" i="5"/>
  <c r="V180" i="5"/>
  <c r="Y180" i="5"/>
  <c r="W180" i="5"/>
  <c r="Z243" i="5"/>
  <c r="V243" i="5"/>
  <c r="X243" i="5"/>
  <c r="W243" i="5"/>
  <c r="Y243" i="5"/>
  <c r="T243" i="5"/>
  <c r="X151" i="5"/>
  <c r="Z151" i="5"/>
  <c r="V151" i="5"/>
  <c r="Y151" i="5"/>
  <c r="W151" i="5"/>
  <c r="T141" i="5"/>
  <c r="Z149" i="5"/>
  <c r="V149" i="5"/>
  <c r="X149" i="5"/>
  <c r="W149" i="5"/>
  <c r="Y149" i="5"/>
  <c r="Z178" i="5"/>
  <c r="V178" i="5"/>
  <c r="X178" i="5"/>
  <c r="W178" i="5"/>
  <c r="Y178" i="5"/>
  <c r="Y190" i="5"/>
  <c r="W190" i="5"/>
  <c r="V190" i="5"/>
  <c r="Z190" i="5"/>
  <c r="X190" i="5"/>
  <c r="T206" i="5"/>
  <c r="W265" i="5"/>
  <c r="Y265" i="5"/>
  <c r="X265" i="5"/>
  <c r="V265" i="5"/>
  <c r="Z265" i="5"/>
  <c r="T159" i="5"/>
  <c r="T207" i="5"/>
  <c r="X257" i="5"/>
  <c r="Z257" i="5"/>
  <c r="V257" i="5"/>
  <c r="Y257" i="5"/>
  <c r="W257" i="5"/>
  <c r="X147" i="5"/>
  <c r="Z147" i="5"/>
  <c r="V147" i="5"/>
  <c r="Y147" i="5"/>
  <c r="W147" i="5"/>
  <c r="T147" i="5"/>
  <c r="T320" i="5"/>
  <c r="T335" i="5"/>
  <c r="Z259" i="5"/>
  <c r="V259" i="5"/>
  <c r="X259" i="5"/>
  <c r="W259" i="5"/>
  <c r="Y259" i="5"/>
  <c r="T259" i="5"/>
  <c r="T313" i="5"/>
  <c r="T344" i="5"/>
  <c r="Y210" i="5"/>
  <c r="W210" i="5"/>
  <c r="V210" i="5"/>
  <c r="Z210" i="5"/>
  <c r="X210" i="5"/>
  <c r="T348" i="5"/>
  <c r="Y154" i="5"/>
  <c r="W154" i="5"/>
  <c r="V154" i="5"/>
  <c r="Z154" i="5"/>
  <c r="X154" i="5"/>
  <c r="X191" i="5"/>
  <c r="Z191" i="5"/>
  <c r="V191" i="5"/>
  <c r="Y191" i="5"/>
  <c r="W191" i="5"/>
  <c r="X211" i="5"/>
  <c r="Z211" i="5"/>
  <c r="V211" i="5"/>
  <c r="Y211" i="5"/>
  <c r="W211" i="5"/>
  <c r="T211" i="5"/>
  <c r="X262" i="5"/>
  <c r="Z262" i="5"/>
  <c r="V262" i="5"/>
  <c r="Y262" i="5"/>
  <c r="W262" i="5"/>
  <c r="T338" i="5"/>
  <c r="X155" i="5"/>
  <c r="Z155" i="5"/>
  <c r="V155" i="5"/>
  <c r="Y155" i="5"/>
  <c r="W155" i="5"/>
  <c r="T155" i="5"/>
  <c r="X176" i="5"/>
  <c r="Z176" i="5"/>
  <c r="V176" i="5"/>
  <c r="Y176" i="5"/>
  <c r="W176" i="5"/>
  <c r="X287" i="5"/>
  <c r="Z287" i="5"/>
  <c r="V287" i="5"/>
  <c r="Y287" i="5"/>
  <c r="W287" i="5"/>
  <c r="T287" i="5"/>
  <c r="W152" i="5"/>
  <c r="Y152" i="5"/>
  <c r="X152" i="5"/>
  <c r="Z152" i="5"/>
  <c r="V152" i="5"/>
  <c r="Z205" i="5"/>
  <c r="V205" i="5"/>
  <c r="X205" i="5"/>
  <c r="W205" i="5"/>
  <c r="Y205" i="5"/>
  <c r="Z255" i="5"/>
  <c r="V255" i="5"/>
  <c r="X255" i="5"/>
  <c r="W255" i="5"/>
  <c r="Y255" i="5"/>
  <c r="T255" i="5"/>
  <c r="W288" i="5"/>
  <c r="Y288" i="5"/>
  <c r="X288" i="5"/>
  <c r="V288" i="5"/>
  <c r="Z288" i="5"/>
  <c r="T340" i="5"/>
  <c r="X117" i="5"/>
  <c r="Z117" i="5"/>
  <c r="V117" i="5"/>
  <c r="Y117" i="5"/>
  <c r="W117" i="5"/>
  <c r="X108" i="5"/>
  <c r="Z108" i="5"/>
  <c r="V108" i="5"/>
  <c r="Y108" i="5"/>
  <c r="W108" i="5"/>
  <c r="T143" i="5"/>
  <c r="Z196" i="5"/>
  <c r="V196" i="5"/>
  <c r="X196" i="5"/>
  <c r="W196" i="5"/>
  <c r="Y196" i="5"/>
  <c r="T238" i="5"/>
  <c r="Z145" i="5"/>
  <c r="V145" i="5"/>
  <c r="X145" i="5"/>
  <c r="W145" i="5"/>
  <c r="Y145" i="5"/>
  <c r="T326" i="5"/>
  <c r="T341" i="5"/>
  <c r="Y146" i="5"/>
  <c r="W146" i="5"/>
  <c r="V146" i="5"/>
  <c r="Z146" i="5"/>
  <c r="X146" i="5"/>
  <c r="Y175" i="5"/>
  <c r="W175" i="5"/>
  <c r="V175" i="5"/>
  <c r="Z175" i="5"/>
  <c r="X175" i="5"/>
  <c r="X245" i="5"/>
  <c r="Z245" i="5"/>
  <c r="V245" i="5"/>
  <c r="Y245" i="5"/>
  <c r="W245" i="5"/>
  <c r="Z361" i="5"/>
  <c r="V361" i="5"/>
  <c r="X361" i="5"/>
  <c r="W361" i="5"/>
  <c r="Y361" i="5"/>
  <c r="T361" i="5"/>
  <c r="Y316" i="5"/>
  <c r="W316" i="5"/>
  <c r="Z316" i="5"/>
  <c r="V316" i="5"/>
  <c r="X316" i="5"/>
  <c r="Y324" i="5"/>
  <c r="W324" i="5"/>
  <c r="Z324" i="5"/>
  <c r="V324" i="5"/>
  <c r="X324" i="5"/>
  <c r="Y339" i="5"/>
  <c r="W339" i="5"/>
  <c r="Z339" i="5"/>
  <c r="V339" i="5"/>
  <c r="X339" i="5"/>
  <c r="W124" i="5"/>
  <c r="Y124" i="5"/>
  <c r="X124" i="5"/>
  <c r="Z124" i="5"/>
  <c r="V124" i="5"/>
  <c r="W181" i="5"/>
  <c r="Y181" i="5"/>
  <c r="X181" i="5"/>
  <c r="Z181" i="5"/>
  <c r="V181" i="5"/>
  <c r="X317" i="5"/>
  <c r="Z317" i="5"/>
  <c r="V317" i="5"/>
  <c r="Y317" i="5"/>
  <c r="W317" i="5"/>
  <c r="T317" i="5"/>
  <c r="T367" i="5"/>
  <c r="T359" i="5"/>
  <c r="W111" i="5"/>
  <c r="Y111" i="5"/>
  <c r="X111" i="5"/>
  <c r="Z111" i="5"/>
  <c r="V111" i="5"/>
  <c r="Y198" i="5"/>
  <c r="W198" i="5"/>
  <c r="Z198" i="5"/>
  <c r="V198" i="5"/>
  <c r="X198" i="5"/>
  <c r="X329" i="5"/>
  <c r="Z329" i="5"/>
  <c r="V329" i="5"/>
  <c r="Y329" i="5"/>
  <c r="W329" i="5"/>
  <c r="W230" i="5"/>
  <c r="Y230" i="5"/>
  <c r="X230" i="5"/>
  <c r="V230" i="5"/>
  <c r="Z230" i="5"/>
  <c r="Y179" i="5"/>
  <c r="W179" i="5"/>
  <c r="Z179" i="5"/>
  <c r="V179" i="5"/>
  <c r="X179" i="5"/>
  <c r="X207" i="5"/>
  <c r="Z207" i="5"/>
  <c r="V207" i="5"/>
  <c r="Y207" i="5"/>
  <c r="W207" i="5"/>
  <c r="Y312" i="5"/>
  <c r="W312" i="5"/>
  <c r="V312" i="5"/>
  <c r="Z312" i="5"/>
  <c r="X312" i="5"/>
  <c r="W148" i="5"/>
  <c r="Y148" i="5"/>
  <c r="X148" i="5"/>
  <c r="V148" i="5"/>
  <c r="Z148" i="5"/>
  <c r="W165" i="5"/>
  <c r="Y165" i="5"/>
  <c r="X165" i="5"/>
  <c r="V165" i="5"/>
  <c r="Z165" i="5"/>
  <c r="Z201" i="5"/>
  <c r="V201" i="5"/>
  <c r="X201" i="5"/>
  <c r="W201" i="5"/>
  <c r="Y201" i="5"/>
  <c r="W254" i="5"/>
  <c r="Y254" i="5"/>
  <c r="X254" i="5"/>
  <c r="V254" i="5"/>
  <c r="Z254" i="5"/>
  <c r="Z125" i="5"/>
  <c r="V125" i="5"/>
  <c r="X125" i="5"/>
  <c r="W125" i="5"/>
  <c r="Y125" i="5"/>
  <c r="Z174" i="5"/>
  <c r="V174" i="5"/>
  <c r="X174" i="5"/>
  <c r="W174" i="5"/>
  <c r="Y174" i="5"/>
  <c r="W194" i="5"/>
  <c r="Y194" i="5"/>
  <c r="X194" i="5"/>
  <c r="V194" i="5"/>
  <c r="Z194" i="5"/>
  <c r="Y236" i="5"/>
  <c r="W236" i="5"/>
  <c r="V236" i="5"/>
  <c r="Z236" i="5"/>
  <c r="X236" i="5"/>
  <c r="Y261" i="5"/>
  <c r="W261" i="5"/>
  <c r="V261" i="5"/>
  <c r="Z261" i="5"/>
  <c r="X261" i="5"/>
  <c r="W318" i="5"/>
  <c r="Y318" i="5"/>
  <c r="X318" i="5"/>
  <c r="Z318" i="5"/>
  <c r="V318" i="5"/>
  <c r="Y286" i="5"/>
  <c r="W286" i="5"/>
  <c r="V286" i="5"/>
  <c r="Z286" i="5"/>
  <c r="X286" i="5"/>
  <c r="W307" i="5"/>
  <c r="Y307" i="5"/>
  <c r="X307" i="5"/>
  <c r="Z307" i="5"/>
  <c r="V307" i="5"/>
  <c r="Z338" i="5"/>
  <c r="V338" i="5"/>
  <c r="X338" i="5"/>
  <c r="W338" i="5"/>
  <c r="Y338" i="5"/>
  <c r="X347" i="5"/>
  <c r="Z347" i="5"/>
  <c r="V347" i="5"/>
  <c r="Y347" i="5"/>
  <c r="W347" i="5"/>
  <c r="T196" i="5"/>
  <c r="W263" i="5"/>
  <c r="Y263" i="5"/>
  <c r="X263" i="5"/>
  <c r="V263" i="5"/>
  <c r="Z263" i="5"/>
  <c r="W326" i="5"/>
  <c r="Y326" i="5"/>
  <c r="X326" i="5"/>
  <c r="Z326" i="5"/>
  <c r="V326" i="5"/>
  <c r="X325" i="5"/>
  <c r="Z325" i="5"/>
  <c r="V325" i="5"/>
  <c r="Y325" i="5"/>
  <c r="W325" i="5"/>
  <c r="Y116" i="5"/>
  <c r="W116" i="5"/>
  <c r="V116" i="5"/>
  <c r="Z116" i="5"/>
  <c r="X116" i="5"/>
  <c r="W242" i="5"/>
  <c r="Y242" i="5"/>
  <c r="X242" i="5"/>
  <c r="Z242" i="5"/>
  <c r="V242" i="5"/>
  <c r="T166" i="5"/>
  <c r="T198" i="5"/>
  <c r="Y256" i="5"/>
  <c r="W256" i="5"/>
  <c r="Z256" i="5"/>
  <c r="V256" i="5"/>
  <c r="X256" i="5"/>
  <c r="W322" i="5"/>
  <c r="Y322" i="5"/>
  <c r="X322" i="5"/>
  <c r="V322" i="5"/>
  <c r="Z322" i="5"/>
  <c r="W337" i="5"/>
  <c r="Y337" i="5"/>
  <c r="X337" i="5"/>
  <c r="V337" i="5"/>
  <c r="Z337" i="5"/>
  <c r="T337" i="5"/>
  <c r="W360" i="5"/>
  <c r="Y360" i="5"/>
  <c r="X360" i="5"/>
  <c r="V360" i="5"/>
  <c r="Z360" i="5"/>
  <c r="T360" i="5"/>
  <c r="T150" i="5"/>
  <c r="X199" i="5"/>
  <c r="Z199" i="5"/>
  <c r="V199" i="5"/>
  <c r="Y199" i="5"/>
  <c r="W199" i="5"/>
  <c r="T199" i="5"/>
  <c r="Z319" i="5"/>
  <c r="V319" i="5"/>
  <c r="X319" i="5"/>
  <c r="W319" i="5"/>
  <c r="Y319" i="5"/>
  <c r="Z334" i="5"/>
  <c r="V334" i="5"/>
  <c r="X334" i="5"/>
  <c r="W334" i="5"/>
  <c r="Y334" i="5"/>
  <c r="Z349" i="5"/>
  <c r="V349" i="5"/>
  <c r="X349" i="5"/>
  <c r="W349" i="5"/>
  <c r="Y349" i="5"/>
  <c r="T180" i="5"/>
  <c r="Z235" i="5"/>
  <c r="V235" i="5"/>
  <c r="X235" i="5"/>
  <c r="W235" i="5"/>
  <c r="Y235" i="5"/>
  <c r="T235" i="5"/>
  <c r="X268" i="5"/>
  <c r="Z268" i="5"/>
  <c r="V268" i="5"/>
  <c r="Y268" i="5"/>
  <c r="W268" i="5"/>
  <c r="T268" i="5"/>
  <c r="T329" i="5"/>
  <c r="T151" i="5"/>
  <c r="T230" i="5"/>
  <c r="Y267" i="5"/>
  <c r="W267" i="5"/>
  <c r="Z267" i="5"/>
  <c r="V267" i="5"/>
  <c r="X267" i="5"/>
  <c r="Z141" i="5"/>
  <c r="V141" i="5"/>
  <c r="X141" i="5"/>
  <c r="W141" i="5"/>
  <c r="Y141" i="5"/>
  <c r="T149" i="5"/>
  <c r="Z158" i="5"/>
  <c r="V158" i="5"/>
  <c r="X158" i="5"/>
  <c r="W158" i="5"/>
  <c r="Y158" i="5"/>
  <c r="T178" i="5"/>
  <c r="Y240" i="5"/>
  <c r="W240" i="5"/>
  <c r="Z240" i="5"/>
  <c r="V240" i="5"/>
  <c r="X240" i="5"/>
  <c r="Z289" i="5"/>
  <c r="V289" i="5"/>
  <c r="X289" i="5"/>
  <c r="W289" i="5"/>
  <c r="Y289" i="5"/>
  <c r="T179" i="5"/>
  <c r="X233" i="5"/>
  <c r="Z233" i="5"/>
  <c r="V233" i="5"/>
  <c r="Y233" i="5"/>
  <c r="W233" i="5"/>
  <c r="Z266" i="5"/>
  <c r="V266" i="5"/>
  <c r="X266" i="5"/>
  <c r="W266" i="5"/>
  <c r="Y266" i="5"/>
  <c r="T172" i="5"/>
  <c r="W234" i="5"/>
  <c r="Y234" i="5"/>
  <c r="X234" i="5"/>
  <c r="Z234" i="5"/>
  <c r="V234" i="5"/>
  <c r="T312" i="5"/>
  <c r="Y328" i="5"/>
  <c r="W328" i="5"/>
  <c r="V328" i="5"/>
  <c r="Z328" i="5"/>
  <c r="X328" i="5"/>
  <c r="Y335" i="5"/>
  <c r="W335" i="5"/>
  <c r="V335" i="5"/>
  <c r="Z335" i="5"/>
  <c r="X335" i="5"/>
  <c r="T343" i="5"/>
  <c r="X313" i="5"/>
  <c r="Z313" i="5"/>
  <c r="V313" i="5"/>
  <c r="Y313" i="5"/>
  <c r="W313" i="5"/>
  <c r="T254" i="5"/>
  <c r="Z182" i="5"/>
  <c r="V182" i="5"/>
  <c r="X182" i="5"/>
  <c r="W182" i="5"/>
  <c r="Y182" i="5"/>
  <c r="X306" i="5"/>
  <c r="Z306" i="5"/>
  <c r="V306" i="5"/>
  <c r="Y306" i="5"/>
  <c r="W306" i="5"/>
  <c r="T306" i="5"/>
  <c r="Y126" i="5"/>
  <c r="W126" i="5"/>
  <c r="V126" i="5"/>
  <c r="Z126" i="5"/>
  <c r="X126" i="5"/>
  <c r="T191" i="5"/>
  <c r="X203" i="5"/>
  <c r="Z203" i="5"/>
  <c r="V203" i="5"/>
  <c r="Y203" i="5"/>
  <c r="W203" i="5"/>
  <c r="T203" i="5"/>
  <c r="X237" i="5"/>
  <c r="Z237" i="5"/>
  <c r="V237" i="5"/>
  <c r="Y237" i="5"/>
  <c r="W237" i="5"/>
  <c r="T286" i="5"/>
  <c r="X127" i="5"/>
  <c r="Z127" i="5"/>
  <c r="V127" i="5"/>
  <c r="Y127" i="5"/>
  <c r="W127" i="5"/>
  <c r="T127" i="5"/>
  <c r="X164" i="5"/>
  <c r="Z164" i="5"/>
  <c r="V164" i="5"/>
  <c r="Y164" i="5"/>
  <c r="W164" i="5"/>
  <c r="W200" i="5"/>
  <c r="Y200" i="5"/>
  <c r="X200" i="5"/>
  <c r="Z200" i="5"/>
  <c r="V200" i="5"/>
  <c r="W144" i="5"/>
  <c r="Y144" i="5"/>
  <c r="X144" i="5"/>
  <c r="Z144" i="5"/>
  <c r="V144" i="5"/>
  <c r="W173" i="5"/>
  <c r="Y173" i="5"/>
  <c r="X173" i="5"/>
  <c r="Z173" i="5"/>
  <c r="V173" i="5"/>
  <c r="Z231" i="5"/>
  <c r="V231" i="5"/>
  <c r="X231" i="5"/>
  <c r="W231" i="5"/>
  <c r="Y231" i="5"/>
  <c r="T231" i="5"/>
  <c r="Z264" i="5"/>
  <c r="V264" i="5"/>
  <c r="X264" i="5"/>
  <c r="W264" i="5"/>
  <c r="Y264" i="5"/>
  <c r="T264" i="5"/>
  <c r="T347" i="5"/>
  <c r="X110" i="5"/>
  <c r="Z110" i="5"/>
  <c r="V110" i="5"/>
  <c r="Y110" i="5"/>
  <c r="W110" i="5"/>
  <c r="X143" i="5"/>
  <c r="Z143" i="5"/>
  <c r="V143" i="5"/>
  <c r="Y143" i="5"/>
  <c r="W143" i="5"/>
  <c r="W208" i="5"/>
  <c r="Y208" i="5"/>
  <c r="X208" i="5"/>
  <c r="Z208" i="5"/>
  <c r="V208" i="5"/>
  <c r="T263" i="5"/>
  <c r="Y202" i="5"/>
  <c r="W202" i="5"/>
  <c r="V202" i="5"/>
  <c r="Z202" i="5"/>
  <c r="X202" i="5"/>
  <c r="W333" i="5"/>
  <c r="Y333" i="5"/>
  <c r="X333" i="5"/>
  <c r="Z333" i="5"/>
  <c r="V333" i="5"/>
  <c r="W341" i="5"/>
  <c r="Y341" i="5"/>
  <c r="X341" i="5"/>
  <c r="Z341" i="5"/>
  <c r="V341" i="5"/>
  <c r="Y163" i="5"/>
  <c r="W163" i="5"/>
  <c r="V163" i="5"/>
  <c r="Z163" i="5"/>
  <c r="X163" i="5"/>
  <c r="Z315" i="5"/>
  <c r="V315" i="5"/>
  <c r="X315" i="5"/>
  <c r="W315" i="5"/>
  <c r="Y315" i="5"/>
  <c r="Z331" i="5"/>
  <c r="V331" i="5"/>
  <c r="X331" i="5"/>
  <c r="W331" i="5"/>
  <c r="Y331" i="5"/>
  <c r="T324" i="5"/>
  <c r="Y332" i="5"/>
  <c r="W332" i="5"/>
  <c r="Z332" i="5"/>
  <c r="V332" i="5"/>
  <c r="X332" i="5"/>
  <c r="Y346" i="5"/>
  <c r="W346" i="5"/>
  <c r="Z346" i="5"/>
  <c r="V346" i="5"/>
  <c r="X346" i="5"/>
  <c r="W161" i="5"/>
  <c r="Y161" i="5"/>
  <c r="X161" i="5"/>
  <c r="Z161" i="5"/>
  <c r="V161" i="5"/>
  <c r="Z239" i="5"/>
  <c r="V239" i="5"/>
  <c r="X239" i="5"/>
  <c r="W239" i="5"/>
  <c r="Y239" i="5"/>
  <c r="T239" i="5"/>
  <c r="T325" i="5"/>
  <c r="W12" i="5"/>
  <c r="Y12" i="5"/>
  <c r="X12" i="5"/>
  <c r="Z12" i="5"/>
  <c r="V12" i="5"/>
  <c r="A56" i="5"/>
  <c r="A55" i="5"/>
  <c r="A42" i="5"/>
  <c r="A57" i="5"/>
  <c r="A40" i="5"/>
  <c r="M12" i="5"/>
  <c r="A105" i="5"/>
  <c r="AA20" i="5"/>
  <c r="AA14" i="5"/>
  <c r="AA23" i="5"/>
  <c r="AA16" i="5"/>
  <c r="AA15" i="5"/>
  <c r="AA17" i="5"/>
  <c r="AA44" i="5"/>
  <c r="AA49" i="5"/>
  <c r="AA50" i="5"/>
  <c r="AA51" i="5"/>
  <c r="AA31" i="5"/>
  <c r="AA59" i="5"/>
  <c r="AA32" i="5"/>
  <c r="AA52" i="5"/>
  <c r="AA27" i="5"/>
  <c r="AA62" i="5"/>
  <c r="AA28" i="5"/>
  <c r="AA103" i="5"/>
  <c r="AA34" i="5"/>
  <c r="AA39" i="5"/>
  <c r="AA48" i="5"/>
  <c r="AA53" i="5"/>
  <c r="AA54" i="5"/>
  <c r="AA29" i="5"/>
  <c r="AA58" i="5"/>
  <c r="AA35" i="5"/>
  <c r="AA37" i="5"/>
  <c r="AA46" i="5"/>
  <c r="AA47" i="5"/>
  <c r="AA26" i="5"/>
  <c r="AA120" i="5"/>
  <c r="AA118" i="5"/>
  <c r="AA119" i="5"/>
  <c r="AA106" i="5"/>
  <c r="AA107" i="5"/>
  <c r="T119" i="5"/>
  <c r="T116" i="5"/>
  <c r="T108" i="5"/>
  <c r="T123" i="5"/>
  <c r="T112" i="5"/>
  <c r="T109" i="5"/>
  <c r="T107" i="5"/>
  <c r="T118" i="5"/>
  <c r="T117" i="5"/>
  <c r="T111" i="5"/>
  <c r="T106" i="5"/>
  <c r="T120" i="5"/>
  <c r="T110" i="5"/>
  <c r="T48" i="5"/>
  <c r="T27" i="5"/>
  <c r="T62" i="5"/>
  <c r="T37" i="5"/>
  <c r="T29" i="5"/>
  <c r="T51" i="5"/>
  <c r="T31" i="5"/>
  <c r="A46" i="5"/>
  <c r="T59" i="5"/>
  <c r="T49" i="5"/>
  <c r="T28" i="5"/>
  <c r="T103" i="5"/>
  <c r="T47" i="5"/>
  <c r="T26" i="5"/>
  <c r="T53" i="5"/>
  <c r="T52" i="5"/>
  <c r="T32" i="5"/>
  <c r="T54" i="5"/>
  <c r="T34" i="5"/>
  <c r="T39" i="5"/>
  <c r="T50" i="5"/>
  <c r="T58" i="5"/>
  <c r="T35" i="5"/>
  <c r="T44" i="5"/>
  <c r="T46" i="5"/>
  <c r="A29" i="5"/>
  <c r="A28" i="5"/>
  <c r="A37" i="5"/>
  <c r="A49" i="5"/>
  <c r="A62" i="5"/>
  <c r="A36" i="5"/>
  <c r="A59" i="5"/>
  <c r="A32" i="5"/>
  <c r="A44" i="5"/>
  <c r="A52" i="5"/>
  <c r="A27" i="5"/>
  <c r="A48" i="5"/>
  <c r="A33" i="5"/>
  <c r="A45" i="5"/>
  <c r="A53" i="5"/>
  <c r="A50" i="5"/>
  <c r="A31" i="5"/>
  <c r="A51" i="5"/>
  <c r="A47" i="5"/>
  <c r="A34" i="5"/>
  <c r="A54" i="5"/>
  <c r="A35" i="5"/>
  <c r="A58" i="5"/>
  <c r="A38" i="5"/>
  <c r="A103" i="5"/>
  <c r="A39" i="5"/>
  <c r="A26" i="5"/>
  <c r="T17" i="5"/>
  <c r="T20" i="5"/>
  <c r="T23" i="5"/>
  <c r="T16" i="5"/>
  <c r="T15" i="5"/>
  <c r="B21" i="12" l="1"/>
  <c r="C21" i="12"/>
  <c r="F21" i="12"/>
  <c r="D21" i="12"/>
  <c r="E21" i="12"/>
  <c r="AZ117" i="5"/>
  <c r="AZ113" i="5"/>
  <c r="AZ109" i="5"/>
  <c r="AZ120" i="5"/>
  <c r="AZ116" i="5"/>
  <c r="AZ112" i="5"/>
  <c r="AZ108" i="5"/>
  <c r="AZ119" i="5"/>
  <c r="AZ115" i="5"/>
  <c r="AZ111" i="5"/>
  <c r="AZ107" i="5"/>
  <c r="AZ106" i="5"/>
  <c r="AZ118" i="5"/>
  <c r="AZ114" i="5"/>
  <c r="AZ110" i="5"/>
  <c r="A115" i="5"/>
  <c r="A114" i="5"/>
  <c r="A113" i="5"/>
  <c r="C17" i="12"/>
  <c r="F17" i="12"/>
  <c r="B17" i="12"/>
  <c r="D17" i="12"/>
  <c r="E17" i="12"/>
  <c r="D11" i="12"/>
  <c r="E11" i="12"/>
  <c r="B11" i="12"/>
  <c r="C11" i="12"/>
  <c r="F11" i="12"/>
  <c r="AA117" i="5"/>
  <c r="AA109" i="5"/>
  <c r="AA112" i="5"/>
  <c r="AA123" i="5"/>
  <c r="AA317" i="5"/>
  <c r="AA124" i="5"/>
  <c r="AA316" i="5"/>
  <c r="AA361" i="5"/>
  <c r="AA245" i="5"/>
  <c r="AA196" i="5"/>
  <c r="Y105" i="5"/>
  <c r="AA205" i="5"/>
  <c r="AA147" i="5"/>
  <c r="AA178" i="5"/>
  <c r="AA349" i="5"/>
  <c r="AA199" i="5"/>
  <c r="AA337" i="5"/>
  <c r="AA242" i="5"/>
  <c r="AA116" i="5"/>
  <c r="AA347" i="5"/>
  <c r="AA239" i="5"/>
  <c r="AA346" i="5"/>
  <c r="AA143" i="5"/>
  <c r="AA110" i="5"/>
  <c r="AA127" i="5"/>
  <c r="AA203" i="5"/>
  <c r="AA306" i="5"/>
  <c r="AA313" i="5"/>
  <c r="AA266" i="5"/>
  <c r="AA233" i="5"/>
  <c r="AA141" i="5"/>
  <c r="V105" i="5"/>
  <c r="AA111" i="5"/>
  <c r="Z105" i="5"/>
  <c r="AA108" i="5"/>
  <c r="W105" i="5"/>
  <c r="AA327" i="5"/>
  <c r="AA290" i="5"/>
  <c r="AA258" i="5"/>
  <c r="AA340" i="5"/>
  <c r="AA348" i="5"/>
  <c r="AA344" i="5"/>
  <c r="AA156" i="5"/>
  <c r="AA343" i="5"/>
  <c r="AA325" i="5"/>
  <c r="AA286" i="5"/>
  <c r="X105" i="5"/>
  <c r="AA312" i="5"/>
  <c r="AA321" i="5"/>
  <c r="AA171" i="5"/>
  <c r="AA150" i="5"/>
  <c r="AA161" i="5"/>
  <c r="AA315" i="5"/>
  <c r="AA163" i="5"/>
  <c r="AA333" i="5"/>
  <c r="AA144" i="5"/>
  <c r="AA164" i="5"/>
  <c r="AA237" i="5"/>
  <c r="AA126" i="5"/>
  <c r="AA182" i="5"/>
  <c r="AA335" i="5"/>
  <c r="AA240" i="5"/>
  <c r="AA158" i="5"/>
  <c r="AA268" i="5"/>
  <c r="AA319" i="5"/>
  <c r="AA360" i="5"/>
  <c r="AA256" i="5"/>
  <c r="AA261" i="5"/>
  <c r="AA174" i="5"/>
  <c r="AA254" i="5"/>
  <c r="AA201" i="5"/>
  <c r="AA148" i="5"/>
  <c r="AA230" i="5"/>
  <c r="AA329" i="5"/>
  <c r="AA198" i="5"/>
  <c r="AA339" i="5"/>
  <c r="AA146" i="5"/>
  <c r="AA145" i="5"/>
  <c r="AA152" i="5"/>
  <c r="AA287" i="5"/>
  <c r="AA191" i="5"/>
  <c r="AA190" i="5"/>
  <c r="AA151" i="5"/>
  <c r="AA243" i="5"/>
  <c r="AA180" i="5"/>
  <c r="AA342" i="5"/>
  <c r="AA241" i="5"/>
  <c r="AA314" i="5"/>
  <c r="AA166" i="5"/>
  <c r="AA345" i="5"/>
  <c r="AA209" i="5"/>
  <c r="AA177" i="5"/>
  <c r="AA128" i="5"/>
  <c r="AA172" i="5"/>
  <c r="AA231" i="5"/>
  <c r="AA200" i="5"/>
  <c r="AA328" i="5"/>
  <c r="AA234" i="5"/>
  <c r="AA289" i="5"/>
  <c r="AA267" i="5"/>
  <c r="AA326" i="5"/>
  <c r="AA338" i="5"/>
  <c r="AA318" i="5"/>
  <c r="AA236" i="5"/>
  <c r="AA194" i="5"/>
  <c r="AA125" i="5"/>
  <c r="AA181" i="5"/>
  <c r="AA324" i="5"/>
  <c r="AA288" i="5"/>
  <c r="AA255" i="5"/>
  <c r="AA176" i="5"/>
  <c r="AA262" i="5"/>
  <c r="AA154" i="5"/>
  <c r="AA259" i="5"/>
  <c r="AA265" i="5"/>
  <c r="AA232" i="5"/>
  <c r="AA359" i="5"/>
  <c r="AA323" i="5"/>
  <c r="AA162" i="5"/>
  <c r="AA159" i="5"/>
  <c r="AA336" i="5"/>
  <c r="AA204" i="5"/>
  <c r="AA332" i="5"/>
  <c r="AA331" i="5"/>
  <c r="AA341" i="5"/>
  <c r="AA202" i="5"/>
  <c r="AA208" i="5"/>
  <c r="AA264" i="5"/>
  <c r="AA173" i="5"/>
  <c r="AA235" i="5"/>
  <c r="AA334" i="5"/>
  <c r="AA322" i="5"/>
  <c r="AA263" i="5"/>
  <c r="AA307" i="5"/>
  <c r="AA165" i="5"/>
  <c r="AA207" i="5"/>
  <c r="AA179" i="5"/>
  <c r="AA175" i="5"/>
  <c r="AA155" i="5"/>
  <c r="AA211" i="5"/>
  <c r="AA210" i="5"/>
  <c r="AA257" i="5"/>
  <c r="AA149" i="5"/>
  <c r="AA330" i="5"/>
  <c r="AA367" i="5"/>
  <c r="AA269" i="5"/>
  <c r="AA153" i="5"/>
  <c r="AA238" i="5"/>
  <c r="AA244" i="5"/>
  <c r="AA320" i="5"/>
  <c r="AA206" i="5"/>
  <c r="AA160" i="5"/>
  <c r="AA142" i="5"/>
  <c r="A107" i="5"/>
  <c r="A108" i="5"/>
  <c r="A116" i="5"/>
  <c r="AA12" i="5"/>
  <c r="T12" i="5"/>
  <c r="A112" i="5"/>
  <c r="A119" i="5"/>
  <c r="A110" i="5"/>
  <c r="A111" i="5"/>
  <c r="A109" i="5"/>
  <c r="A106" i="5"/>
  <c r="A120" i="5"/>
  <c r="A118" i="5"/>
  <c r="A117" i="5"/>
  <c r="A122" i="5"/>
  <c r="AA8" i="5"/>
  <c r="AA6" i="5"/>
  <c r="AA7" i="5"/>
  <c r="T8" i="5"/>
  <c r="T6" i="5"/>
  <c r="T7" i="5"/>
  <c r="T5" i="5"/>
  <c r="S19" i="5" l="1"/>
  <c r="Z19" i="5" s="1"/>
  <c r="Z11" i="5" s="1"/>
  <c r="Q19" i="5"/>
  <c r="X19" i="5" s="1"/>
  <c r="X11" i="5" s="1"/>
  <c r="P19" i="5"/>
  <c r="W19" i="5" s="1"/>
  <c r="W11" i="5" s="1"/>
  <c r="R19" i="5"/>
  <c r="Y19" i="5" s="1"/>
  <c r="Y11" i="5" s="1"/>
  <c r="O19" i="5"/>
  <c r="V19" i="5" s="1"/>
  <c r="G21" i="12"/>
  <c r="A391" i="5"/>
  <c r="A390" i="5"/>
  <c r="A389" i="5"/>
  <c r="A381" i="5"/>
  <c r="A378" i="5"/>
  <c r="A386" i="5"/>
  <c r="A383" i="5"/>
  <c r="A380" i="5"/>
  <c r="A377" i="5"/>
  <c r="A385" i="5"/>
  <c r="A382" i="5"/>
  <c r="A379" i="5"/>
  <c r="A388" i="5"/>
  <c r="A376" i="5"/>
  <c r="A384" i="5"/>
  <c r="A387" i="5"/>
  <c r="AZ389" i="5"/>
  <c r="AZ157" i="5"/>
  <c r="A157" i="5"/>
  <c r="AZ391" i="5"/>
  <c r="AZ385" i="5"/>
  <c r="AZ381" i="5"/>
  <c r="AZ372" i="5"/>
  <c r="AZ368" i="5"/>
  <c r="AZ364" i="5"/>
  <c r="AZ360" i="5"/>
  <c r="AZ356" i="5"/>
  <c r="AZ352" i="5"/>
  <c r="AZ348" i="5"/>
  <c r="AZ344" i="5"/>
  <c r="AZ340" i="5"/>
  <c r="AZ336" i="5"/>
  <c r="AZ332" i="5"/>
  <c r="AZ328" i="5"/>
  <c r="AZ324" i="5"/>
  <c r="AZ320" i="5"/>
  <c r="AZ316" i="5"/>
  <c r="AZ312" i="5"/>
  <c r="AZ308" i="5"/>
  <c r="AZ304" i="5"/>
  <c r="AZ300" i="5"/>
  <c r="AZ296" i="5"/>
  <c r="AZ292" i="5"/>
  <c r="AZ288" i="5"/>
  <c r="AZ284" i="5"/>
  <c r="AZ280" i="5"/>
  <c r="AZ276" i="5"/>
  <c r="AZ272" i="5"/>
  <c r="AZ268" i="5"/>
  <c r="AZ264" i="5"/>
  <c r="AZ260" i="5"/>
  <c r="AZ256" i="5"/>
  <c r="AZ252" i="5"/>
  <c r="AZ248" i="5"/>
  <c r="AZ244" i="5"/>
  <c r="AZ240" i="5"/>
  <c r="AZ236" i="5"/>
  <c r="AZ232" i="5"/>
  <c r="AZ228" i="5"/>
  <c r="AZ224" i="5"/>
  <c r="AZ220" i="5"/>
  <c r="AZ216" i="5"/>
  <c r="AZ212" i="5"/>
  <c r="AZ208" i="5"/>
  <c r="AZ204" i="5"/>
  <c r="AZ200" i="5"/>
  <c r="AZ196" i="5"/>
  <c r="AZ192" i="5"/>
  <c r="AZ188" i="5"/>
  <c r="AZ184" i="5"/>
  <c r="AZ180" i="5"/>
  <c r="AZ176" i="5"/>
  <c r="AZ172" i="5"/>
  <c r="AZ168" i="5"/>
  <c r="AZ164" i="5"/>
  <c r="AZ160" i="5"/>
  <c r="AZ155" i="5"/>
  <c r="AZ151" i="5"/>
  <c r="AZ147" i="5"/>
  <c r="AZ143" i="5"/>
  <c r="AZ139" i="5"/>
  <c r="AZ135" i="5"/>
  <c r="AZ131" i="5"/>
  <c r="AZ127" i="5"/>
  <c r="AZ123" i="5"/>
  <c r="AZ388" i="5"/>
  <c r="AZ384" i="5"/>
  <c r="AZ375" i="5"/>
  <c r="AZ371" i="5"/>
  <c r="AZ367" i="5"/>
  <c r="AZ363" i="5"/>
  <c r="AZ359" i="5"/>
  <c r="AZ355" i="5"/>
  <c r="AZ351" i="5"/>
  <c r="AZ347" i="5"/>
  <c r="AZ343" i="5"/>
  <c r="AZ339" i="5"/>
  <c r="AZ335" i="5"/>
  <c r="AZ331" i="5"/>
  <c r="AZ327" i="5"/>
  <c r="AZ323" i="5"/>
  <c r="AZ319" i="5"/>
  <c r="AZ315" i="5"/>
  <c r="AZ311" i="5"/>
  <c r="AZ307" i="5"/>
  <c r="AZ303" i="5"/>
  <c r="AZ299" i="5"/>
  <c r="AZ295" i="5"/>
  <c r="AZ291" i="5"/>
  <c r="AZ287" i="5"/>
  <c r="AZ283" i="5"/>
  <c r="AZ279" i="5"/>
  <c r="AZ275" i="5"/>
  <c r="AZ271" i="5"/>
  <c r="AZ267" i="5"/>
  <c r="AZ263" i="5"/>
  <c r="AZ259" i="5"/>
  <c r="AZ255" i="5"/>
  <c r="AZ251" i="5"/>
  <c r="AZ247" i="5"/>
  <c r="AZ243" i="5"/>
  <c r="AZ239" i="5"/>
  <c r="AZ235" i="5"/>
  <c r="AZ231" i="5"/>
  <c r="AZ227" i="5"/>
  <c r="AZ223" i="5"/>
  <c r="AZ219" i="5"/>
  <c r="AZ215" i="5"/>
  <c r="AZ211" i="5"/>
  <c r="AZ207" i="5"/>
  <c r="AZ203" i="5"/>
  <c r="AZ199" i="5"/>
  <c r="AZ195" i="5"/>
  <c r="AZ191" i="5"/>
  <c r="AZ187" i="5"/>
  <c r="AZ183" i="5"/>
  <c r="AZ179" i="5"/>
  <c r="AZ175" i="5"/>
  <c r="AZ171" i="5"/>
  <c r="AZ167" i="5"/>
  <c r="AZ163" i="5"/>
  <c r="AZ159" i="5"/>
  <c r="AZ154" i="5"/>
  <c r="AZ150" i="5"/>
  <c r="AZ146" i="5"/>
  <c r="AZ142" i="5"/>
  <c r="AZ138" i="5"/>
  <c r="AZ134" i="5"/>
  <c r="AZ130" i="5"/>
  <c r="AZ126" i="5"/>
  <c r="AZ387" i="5"/>
  <c r="AZ383" i="5"/>
  <c r="AZ374" i="5"/>
  <c r="AZ370" i="5"/>
  <c r="AZ366" i="5"/>
  <c r="AZ362" i="5"/>
  <c r="AZ358" i="5"/>
  <c r="AZ354" i="5"/>
  <c r="AZ350" i="5"/>
  <c r="AZ346" i="5"/>
  <c r="AZ342" i="5"/>
  <c r="AZ338" i="5"/>
  <c r="AZ334" i="5"/>
  <c r="AZ330" i="5"/>
  <c r="AZ326" i="5"/>
  <c r="AZ322" i="5"/>
  <c r="AZ318" i="5"/>
  <c r="AZ314" i="5"/>
  <c r="AZ310" i="5"/>
  <c r="AZ306" i="5"/>
  <c r="AZ302" i="5"/>
  <c r="AZ298" i="5"/>
  <c r="AZ294" i="5"/>
  <c r="AZ290" i="5"/>
  <c r="AZ286" i="5"/>
  <c r="AZ282" i="5"/>
  <c r="AZ278" i="5"/>
  <c r="AZ274" i="5"/>
  <c r="AZ270" i="5"/>
  <c r="AZ266" i="5"/>
  <c r="AZ262" i="5"/>
  <c r="AZ258" i="5"/>
  <c r="AZ254" i="5"/>
  <c r="AZ250" i="5"/>
  <c r="AZ246" i="5"/>
  <c r="AZ242" i="5"/>
  <c r="AZ238" i="5"/>
  <c r="AZ234" i="5"/>
  <c r="AZ230" i="5"/>
  <c r="AZ226" i="5"/>
  <c r="AZ222" i="5"/>
  <c r="AZ218" i="5"/>
  <c r="AZ214" i="5"/>
  <c r="AZ210" i="5"/>
  <c r="AZ206" i="5"/>
  <c r="AZ202" i="5"/>
  <c r="AZ198" i="5"/>
  <c r="AZ194" i="5"/>
  <c r="AZ190" i="5"/>
  <c r="AZ186" i="5"/>
  <c r="AZ182" i="5"/>
  <c r="AZ178" i="5"/>
  <c r="AZ174" i="5"/>
  <c r="AZ170" i="5"/>
  <c r="AZ166" i="5"/>
  <c r="AZ162" i="5"/>
  <c r="AZ158" i="5"/>
  <c r="AZ153" i="5"/>
  <c r="AZ149" i="5"/>
  <c r="AZ145" i="5"/>
  <c r="AZ141" i="5"/>
  <c r="AZ137" i="5"/>
  <c r="AZ133" i="5"/>
  <c r="AZ129" i="5"/>
  <c r="AZ125" i="5"/>
  <c r="AZ386" i="5"/>
  <c r="AZ382" i="5"/>
  <c r="AZ373" i="5"/>
  <c r="AZ369" i="5"/>
  <c r="AZ365" i="5"/>
  <c r="AZ361" i="5"/>
  <c r="AZ357" i="5"/>
  <c r="AZ353" i="5"/>
  <c r="AZ349" i="5"/>
  <c r="AZ345" i="5"/>
  <c r="AZ341" i="5"/>
  <c r="AZ337" i="5"/>
  <c r="AZ333" i="5"/>
  <c r="AZ329" i="5"/>
  <c r="AZ325" i="5"/>
  <c r="AZ321" i="5"/>
  <c r="AZ317" i="5"/>
  <c r="AZ301" i="5"/>
  <c r="AZ285" i="5"/>
  <c r="AZ269" i="5"/>
  <c r="AZ253" i="5"/>
  <c r="AZ237" i="5"/>
  <c r="AZ221" i="5"/>
  <c r="AZ205" i="5"/>
  <c r="AZ189" i="5"/>
  <c r="AZ173" i="5"/>
  <c r="AZ156" i="5"/>
  <c r="AZ140" i="5"/>
  <c r="AZ124" i="5"/>
  <c r="AZ313" i="5"/>
  <c r="AZ297" i="5"/>
  <c r="AZ281" i="5"/>
  <c r="AZ265" i="5"/>
  <c r="AZ249" i="5"/>
  <c r="AZ233" i="5"/>
  <c r="AZ217" i="5"/>
  <c r="AZ201" i="5"/>
  <c r="AZ185" i="5"/>
  <c r="AZ169" i="5"/>
  <c r="AZ152" i="5"/>
  <c r="AZ136" i="5"/>
  <c r="AZ289" i="5"/>
  <c r="AZ257" i="5"/>
  <c r="AZ225" i="5"/>
  <c r="AZ193" i="5"/>
  <c r="AZ161" i="5"/>
  <c r="AZ128" i="5"/>
  <c r="AZ309" i="5"/>
  <c r="AZ293" i="5"/>
  <c r="AZ277" i="5"/>
  <c r="AZ261" i="5"/>
  <c r="AZ245" i="5"/>
  <c r="AZ229" i="5"/>
  <c r="AZ213" i="5"/>
  <c r="AZ197" i="5"/>
  <c r="AZ181" i="5"/>
  <c r="AZ165" i="5"/>
  <c r="AZ148" i="5"/>
  <c r="AZ132" i="5"/>
  <c r="AZ305" i="5"/>
  <c r="AZ273" i="5"/>
  <c r="AZ241" i="5"/>
  <c r="AZ209" i="5"/>
  <c r="AZ177" i="5"/>
  <c r="AZ144" i="5"/>
  <c r="A300" i="5"/>
  <c r="A251" i="5"/>
  <c r="A250" i="5"/>
  <c r="A249" i="5"/>
  <c r="A260" i="5"/>
  <c r="A247" i="5"/>
  <c r="A253" i="5"/>
  <c r="A252" i="5"/>
  <c r="A246" i="5"/>
  <c r="A248" i="5"/>
  <c r="A302" i="5"/>
  <c r="A140" i="5"/>
  <c r="A137" i="5"/>
  <c r="A136" i="5"/>
  <c r="A131" i="5"/>
  <c r="A132" i="5"/>
  <c r="A130" i="5"/>
  <c r="A129" i="5"/>
  <c r="A139" i="5"/>
  <c r="A138" i="5"/>
  <c r="A135" i="5"/>
  <c r="A134" i="5"/>
  <c r="A133" i="5"/>
  <c r="A311" i="5"/>
  <c r="A375" i="5"/>
  <c r="A373" i="5"/>
  <c r="A374" i="5"/>
  <c r="G17" i="12"/>
  <c r="G11" i="12"/>
  <c r="A272" i="5"/>
  <c r="A271" i="5"/>
  <c r="A270" i="5"/>
  <c r="A169" i="5"/>
  <c r="A170" i="5"/>
  <c r="A167" i="5"/>
  <c r="A168" i="5"/>
  <c r="AA105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148" i="5"/>
  <c r="A165" i="5"/>
  <c r="A185" i="5"/>
  <c r="A201" i="5"/>
  <c r="A235" i="5"/>
  <c r="A259" i="5"/>
  <c r="A276" i="5"/>
  <c r="A292" i="5"/>
  <c r="A309" i="5"/>
  <c r="A325" i="5"/>
  <c r="A340" i="5"/>
  <c r="A355" i="5"/>
  <c r="A371" i="5"/>
  <c r="A149" i="5"/>
  <c r="A166" i="5"/>
  <c r="A186" i="5"/>
  <c r="A202" i="5"/>
  <c r="A236" i="5"/>
  <c r="A261" i="5"/>
  <c r="A277" i="5"/>
  <c r="A154" i="5"/>
  <c r="A191" i="5"/>
  <c r="A241" i="5"/>
  <c r="A282" i="5"/>
  <c r="A304" i="5"/>
  <c r="A326" i="5"/>
  <c r="A345" i="5"/>
  <c r="A366" i="5"/>
  <c r="A152" i="5"/>
  <c r="A177" i="5"/>
  <c r="A197" i="5"/>
  <c r="A239" i="5"/>
  <c r="A268" i="5"/>
  <c r="A288" i="5"/>
  <c r="A313" i="5"/>
  <c r="A351" i="5"/>
  <c r="A141" i="5"/>
  <c r="A162" i="5"/>
  <c r="A190" i="5"/>
  <c r="A210" i="5"/>
  <c r="A256" i="5"/>
  <c r="A281" i="5"/>
  <c r="A175" i="5"/>
  <c r="A233" i="5"/>
  <c r="A287" i="5"/>
  <c r="A315" i="5"/>
  <c r="A341" i="5"/>
  <c r="A372" i="5"/>
  <c r="A127" i="5"/>
  <c r="A176" i="5"/>
  <c r="A208" i="5"/>
  <c r="A267" i="5"/>
  <c r="A294" i="5"/>
  <c r="A316" i="5"/>
  <c r="A337" i="5"/>
  <c r="A357" i="5"/>
  <c r="A150" i="5"/>
  <c r="A187" i="5"/>
  <c r="A237" i="5"/>
  <c r="A278" i="5"/>
  <c r="A323" i="5"/>
  <c r="A343" i="5"/>
  <c r="A364" i="5"/>
  <c r="A172" i="5"/>
  <c r="A204" i="5"/>
  <c r="A263" i="5"/>
  <c r="A291" i="5"/>
  <c r="A314" i="5"/>
  <c r="A334" i="5"/>
  <c r="A354" i="5"/>
  <c r="A181" i="5"/>
  <c r="A265" i="5"/>
  <c r="A257" i="5"/>
  <c r="A350" i="5"/>
  <c r="A184" i="5"/>
  <c r="A322" i="5"/>
  <c r="A245" i="5"/>
  <c r="A348" i="5"/>
  <c r="A230" i="5"/>
  <c r="A319" i="5"/>
  <c r="A128" i="5"/>
  <c r="A161" i="5"/>
  <c r="A189" i="5"/>
  <c r="A209" i="5"/>
  <c r="A255" i="5"/>
  <c r="A280" i="5"/>
  <c r="A301" i="5"/>
  <c r="A321" i="5"/>
  <c r="A344" i="5"/>
  <c r="A363" i="5"/>
  <c r="A153" i="5"/>
  <c r="A178" i="5"/>
  <c r="A198" i="5"/>
  <c r="A240" i="5"/>
  <c r="A269" i="5"/>
  <c r="A146" i="5"/>
  <c r="A199" i="5"/>
  <c r="A266" i="5"/>
  <c r="A298" i="5"/>
  <c r="A331" i="5"/>
  <c r="A356" i="5"/>
  <c r="A155" i="5"/>
  <c r="A192" i="5"/>
  <c r="A242" i="5"/>
  <c r="A283" i="5"/>
  <c r="A306" i="5"/>
  <c r="A327" i="5"/>
  <c r="A346" i="5"/>
  <c r="A368" i="5"/>
  <c r="A123" i="5"/>
  <c r="A171" i="5"/>
  <c r="A203" i="5"/>
  <c r="A262" i="5"/>
  <c r="A290" i="5"/>
  <c r="A312" i="5"/>
  <c r="A333" i="5"/>
  <c r="A353" i="5"/>
  <c r="A151" i="5"/>
  <c r="A188" i="5"/>
  <c r="A238" i="5"/>
  <c r="A279" i="5"/>
  <c r="A303" i="5"/>
  <c r="A324" i="5"/>
  <c r="A365" i="5"/>
  <c r="A124" i="5"/>
  <c r="A243" i="5"/>
  <c r="A296" i="5"/>
  <c r="A336" i="5"/>
  <c r="A145" i="5"/>
  <c r="A194" i="5"/>
  <c r="A126" i="5"/>
  <c r="A293" i="5"/>
  <c r="A275" i="5"/>
  <c r="A342" i="5"/>
  <c r="A159" i="5"/>
  <c r="A307" i="5"/>
  <c r="A369" i="5"/>
  <c r="A180" i="5"/>
  <c r="A297" i="5"/>
  <c r="A360" i="5"/>
  <c r="A144" i="5"/>
  <c r="A173" i="5"/>
  <c r="A193" i="5"/>
  <c r="A231" i="5"/>
  <c r="A264" i="5"/>
  <c r="A284" i="5"/>
  <c r="A305" i="5"/>
  <c r="A329" i="5"/>
  <c r="A347" i="5"/>
  <c r="A367" i="5"/>
  <c r="A125" i="5"/>
  <c r="A158" i="5"/>
  <c r="A182" i="5"/>
  <c r="A206" i="5"/>
  <c r="A244" i="5"/>
  <c r="A163" i="5"/>
  <c r="A207" i="5"/>
  <c r="A274" i="5"/>
  <c r="A310" i="5"/>
  <c r="A335" i="5"/>
  <c r="A361" i="5"/>
  <c r="A164" i="5"/>
  <c r="A200" i="5"/>
  <c r="A258" i="5"/>
  <c r="A289" i="5"/>
  <c r="A332" i="5"/>
  <c r="A352" i="5"/>
  <c r="A142" i="5"/>
  <c r="A179" i="5"/>
  <c r="A211" i="5"/>
  <c r="A295" i="5"/>
  <c r="A318" i="5"/>
  <c r="A338" i="5"/>
  <c r="A358" i="5"/>
  <c r="A160" i="5"/>
  <c r="A196" i="5"/>
  <c r="A254" i="5"/>
  <c r="A286" i="5"/>
  <c r="A308" i="5"/>
  <c r="A330" i="5"/>
  <c r="A349" i="5"/>
  <c r="A370" i="5"/>
  <c r="A156" i="5"/>
  <c r="A205" i="5"/>
  <c r="A273" i="5"/>
  <c r="A317" i="5"/>
  <c r="A359" i="5"/>
  <c r="A174" i="5"/>
  <c r="A232" i="5"/>
  <c r="A183" i="5"/>
  <c r="A320" i="5"/>
  <c r="A147" i="5"/>
  <c r="A234" i="5"/>
  <c r="A299" i="5"/>
  <c r="A362" i="5"/>
  <c r="A195" i="5"/>
  <c r="A285" i="5"/>
  <c r="A328" i="5"/>
  <c r="A143" i="5"/>
  <c r="A339" i="5"/>
  <c r="AA5" i="5"/>
  <c r="A5" i="5"/>
  <c r="T19" i="5" l="1"/>
  <c r="AA19" i="5"/>
  <c r="V11" i="5"/>
  <c r="AA11" i="5" s="1"/>
  <c r="AA36" i="5"/>
  <c r="AA38" i="5"/>
  <c r="AA45" i="5"/>
  <c r="T36" i="5"/>
  <c r="T38" i="5"/>
  <c r="T33" i="5"/>
  <c r="T45" i="5"/>
  <c r="AA33" i="5" l="1"/>
  <c r="Y350" i="5" l="1"/>
  <c r="W350" i="5"/>
  <c r="V350" i="5"/>
  <c r="Z350" i="5"/>
  <c r="X350" i="5"/>
  <c r="T350" i="5" l="1"/>
  <c r="W368" i="5"/>
  <c r="Y368" i="5"/>
  <c r="X368" i="5"/>
  <c r="Z368" i="5"/>
  <c r="V368" i="5"/>
  <c r="T368" i="5"/>
  <c r="AA350" i="5"/>
  <c r="Y362" i="5"/>
  <c r="W362" i="5"/>
  <c r="Z362" i="5"/>
  <c r="V362" i="5"/>
  <c r="X362" i="5"/>
  <c r="T362" i="5"/>
  <c r="AA368" i="5" l="1"/>
  <c r="AA362" i="5"/>
  <c r="Z354" i="5" l="1"/>
  <c r="Y183" i="5"/>
  <c r="X183" i="5"/>
  <c r="Z183" i="5"/>
  <c r="W183" i="5"/>
  <c r="V183" i="5"/>
  <c r="Y292" i="5"/>
  <c r="Z292" i="5"/>
  <c r="W292" i="5"/>
  <c r="X292" i="5"/>
  <c r="V292" i="5"/>
  <c r="Z195" i="5" l="1"/>
  <c r="Y277" i="5"/>
  <c r="W355" i="5"/>
  <c r="V370" i="5"/>
  <c r="Y295" i="5"/>
  <c r="Z185" i="5"/>
  <c r="W354" i="5"/>
  <c r="V354" i="5"/>
  <c r="X354" i="5"/>
  <c r="Y354" i="5"/>
  <c r="T303" i="5"/>
  <c r="T278" i="5"/>
  <c r="T304" i="5"/>
  <c r="T280" i="5"/>
  <c r="X365" i="5"/>
  <c r="Z365" i="5"/>
  <c r="W365" i="5"/>
  <c r="Y365" i="5"/>
  <c r="V365" i="5"/>
  <c r="Z279" i="5"/>
  <c r="W279" i="5"/>
  <c r="Y279" i="5"/>
  <c r="X279" i="5"/>
  <c r="V279" i="5"/>
  <c r="W283" i="5"/>
  <c r="Z283" i="5"/>
  <c r="Y283" i="5"/>
  <c r="X283" i="5"/>
  <c r="V283" i="5"/>
  <c r="Z353" i="5"/>
  <c r="X353" i="5"/>
  <c r="Y353" i="5"/>
  <c r="W353" i="5"/>
  <c r="V353" i="5"/>
  <c r="Y298" i="5"/>
  <c r="Z298" i="5"/>
  <c r="X298" i="5"/>
  <c r="W298" i="5"/>
  <c r="V298" i="5"/>
  <c r="AA292" i="5"/>
  <c r="T183" i="5"/>
  <c r="Y294" i="5"/>
  <c r="X294" i="5"/>
  <c r="Z294" i="5"/>
  <c r="V294" i="5"/>
  <c r="W294" i="5"/>
  <c r="T184" i="5"/>
  <c r="AA183" i="5"/>
  <c r="W309" i="5"/>
  <c r="X309" i="5"/>
  <c r="Z309" i="5"/>
  <c r="Y309" i="5"/>
  <c r="V309" i="5"/>
  <c r="T299" i="5"/>
  <c r="T279" i="5"/>
  <c r="T283" i="5"/>
  <c r="Z366" i="5"/>
  <c r="Y366" i="5"/>
  <c r="W366" i="5"/>
  <c r="X366" i="5"/>
  <c r="V366" i="5"/>
  <c r="T197" i="5"/>
  <c r="T298" i="5"/>
  <c r="Y184" i="5"/>
  <c r="Z184" i="5"/>
  <c r="W184" i="5"/>
  <c r="X184" i="5"/>
  <c r="V184" i="5"/>
  <c r="Y351" i="5"/>
  <c r="Z351" i="5"/>
  <c r="W351" i="5"/>
  <c r="X351" i="5"/>
  <c r="V351" i="5"/>
  <c r="Y276" i="5"/>
  <c r="X276" i="5"/>
  <c r="W276" i="5"/>
  <c r="Z276" i="5"/>
  <c r="V276" i="5"/>
  <c r="Z310" i="5"/>
  <c r="X310" i="5"/>
  <c r="W310" i="5"/>
  <c r="Y310" i="5"/>
  <c r="V310" i="5"/>
  <c r="Y193" i="5"/>
  <c r="W193" i="5"/>
  <c r="Z193" i="5"/>
  <c r="X193" i="5"/>
  <c r="V193" i="5"/>
  <c r="Y280" i="5"/>
  <c r="X280" i="5"/>
  <c r="W280" i="5"/>
  <c r="Z280" i="5"/>
  <c r="V280" i="5"/>
  <c r="X293" i="5"/>
  <c r="W293" i="5"/>
  <c r="Z293" i="5"/>
  <c r="Y293" i="5"/>
  <c r="V293" i="5"/>
  <c r="T309" i="5"/>
  <c r="Z299" i="5"/>
  <c r="Y299" i="5"/>
  <c r="W299" i="5"/>
  <c r="X299" i="5"/>
  <c r="V299" i="5"/>
  <c r="Y357" i="5"/>
  <c r="X357" i="5"/>
  <c r="Z357" i="5"/>
  <c r="W357" i="5"/>
  <c r="V357" i="5"/>
  <c r="Z197" i="5"/>
  <c r="Y197" i="5"/>
  <c r="W197" i="5"/>
  <c r="X197" i="5"/>
  <c r="V197" i="5"/>
  <c r="W352" i="5"/>
  <c r="Z352" i="5"/>
  <c r="X352" i="5"/>
  <c r="Y352" i="5"/>
  <c r="V352" i="5"/>
  <c r="X278" i="5"/>
  <c r="Z278" i="5"/>
  <c r="Y278" i="5"/>
  <c r="W278" i="5"/>
  <c r="V278" i="5"/>
  <c r="Y284" i="5"/>
  <c r="Z284" i="5"/>
  <c r="X284" i="5"/>
  <c r="W284" i="5"/>
  <c r="V284" i="5"/>
  <c r="X369" i="5"/>
  <c r="W369" i="5"/>
  <c r="Z369" i="5"/>
  <c r="Y369" i="5"/>
  <c r="V369" i="5"/>
  <c r="T354" i="5"/>
  <c r="T292" i="5"/>
  <c r="T369" i="5"/>
  <c r="W303" i="5"/>
  <c r="X303" i="5"/>
  <c r="Z303" i="5"/>
  <c r="V303" i="5"/>
  <c r="Y303" i="5"/>
  <c r="T276" i="5"/>
  <c r="W304" i="5"/>
  <c r="X304" i="5"/>
  <c r="Z304" i="5"/>
  <c r="Y304" i="5"/>
  <c r="V304" i="5"/>
  <c r="Z297" i="5"/>
  <c r="X297" i="5"/>
  <c r="W297" i="5"/>
  <c r="Y297" i="5"/>
  <c r="V297" i="5"/>
  <c r="V185" i="5" l="1"/>
  <c r="W185" i="5"/>
  <c r="X185" i="5"/>
  <c r="Y185" i="5"/>
  <c r="Z355" i="5"/>
  <c r="X355" i="5"/>
  <c r="Y355" i="5"/>
  <c r="V295" i="5"/>
  <c r="W195" i="5"/>
  <c r="Y195" i="5"/>
  <c r="W295" i="5"/>
  <c r="V195" i="5"/>
  <c r="X195" i="5"/>
  <c r="V355" i="5"/>
  <c r="Z295" i="5"/>
  <c r="X295" i="5"/>
  <c r="T357" i="5"/>
  <c r="T353" i="5"/>
  <c r="T295" i="5"/>
  <c r="T365" i="5"/>
  <c r="T366" i="5"/>
  <c r="T310" i="5"/>
  <c r="T297" i="5"/>
  <c r="T355" i="5"/>
  <c r="T193" i="5"/>
  <c r="T293" i="5"/>
  <c r="T370" i="5"/>
  <c r="W277" i="5"/>
  <c r="T352" i="5"/>
  <c r="W370" i="5"/>
  <c r="X370" i="5"/>
  <c r="Z370" i="5"/>
  <c r="Y370" i="5"/>
  <c r="T294" i="5"/>
  <c r="V277" i="5"/>
  <c r="T284" i="5"/>
  <c r="T277" i="5"/>
  <c r="T195" i="5"/>
  <c r="T185" i="5"/>
  <c r="T351" i="5"/>
  <c r="Z277" i="5"/>
  <c r="X277" i="5"/>
  <c r="AA354" i="5"/>
  <c r="AA294" i="5"/>
  <c r="AA279" i="5"/>
  <c r="AA276" i="5"/>
  <c r="AA184" i="5"/>
  <c r="AA303" i="5"/>
  <c r="AA369" i="5"/>
  <c r="AA352" i="5"/>
  <c r="AA357" i="5"/>
  <c r="T275" i="5"/>
  <c r="T285" i="5"/>
  <c r="T186" i="5"/>
  <c r="T308" i="5"/>
  <c r="T273" i="5"/>
  <c r="T187" i="5"/>
  <c r="Y192" i="5"/>
  <c r="X192" i="5"/>
  <c r="W192" i="5"/>
  <c r="Z192" i="5"/>
  <c r="V192" i="5"/>
  <c r="X188" i="5"/>
  <c r="Z188" i="5"/>
  <c r="Y188" i="5"/>
  <c r="W188" i="5"/>
  <c r="V188" i="5"/>
  <c r="AA304" i="5"/>
  <c r="Z186" i="5"/>
  <c r="W186" i="5"/>
  <c r="Y186" i="5"/>
  <c r="X186" i="5"/>
  <c r="V186" i="5"/>
  <c r="AA297" i="5"/>
  <c r="X308" i="5"/>
  <c r="Z308" i="5"/>
  <c r="W308" i="5"/>
  <c r="Y308" i="5"/>
  <c r="V308" i="5"/>
  <c r="T189" i="5"/>
  <c r="AA278" i="5"/>
  <c r="T192" i="5"/>
  <c r="AA293" i="5"/>
  <c r="AA193" i="5"/>
  <c r="Z301" i="5"/>
  <c r="X301" i="5"/>
  <c r="Y301" i="5"/>
  <c r="V301" i="5"/>
  <c r="W301" i="5"/>
  <c r="T356" i="5"/>
  <c r="AA310" i="5"/>
  <c r="AA351" i="5"/>
  <c r="Y364" i="5"/>
  <c r="X364" i="5"/>
  <c r="W364" i="5"/>
  <c r="Z364" i="5"/>
  <c r="V364" i="5"/>
  <c r="AA283" i="5"/>
  <c r="Z371" i="5"/>
  <c r="W371" i="5"/>
  <c r="X371" i="5"/>
  <c r="V371" i="5"/>
  <c r="Y371" i="5"/>
  <c r="Y291" i="5"/>
  <c r="Z291" i="5"/>
  <c r="X291" i="5"/>
  <c r="W291" i="5"/>
  <c r="V291" i="5"/>
  <c r="Z296" i="5"/>
  <c r="X296" i="5"/>
  <c r="W296" i="5"/>
  <c r="Y296" i="5"/>
  <c r="V296" i="5"/>
  <c r="Y305" i="5"/>
  <c r="W305" i="5"/>
  <c r="Z305" i="5"/>
  <c r="X305" i="5"/>
  <c r="V305" i="5"/>
  <c r="Y189" i="5"/>
  <c r="W189" i="5"/>
  <c r="X189" i="5"/>
  <c r="Z189" i="5"/>
  <c r="V189" i="5"/>
  <c r="Y274" i="5"/>
  <c r="Z274" i="5"/>
  <c r="W274" i="5"/>
  <c r="X274" i="5"/>
  <c r="V274" i="5"/>
  <c r="Z363" i="5"/>
  <c r="Y363" i="5"/>
  <c r="W363" i="5"/>
  <c r="V363" i="5"/>
  <c r="X363" i="5"/>
  <c r="Z273" i="5"/>
  <c r="X273" i="5"/>
  <c r="W273" i="5"/>
  <c r="V273" i="5"/>
  <c r="Y273" i="5"/>
  <c r="W187" i="5"/>
  <c r="X187" i="5"/>
  <c r="Y187" i="5"/>
  <c r="Z187" i="5"/>
  <c r="V187" i="5"/>
  <c r="T282" i="5"/>
  <c r="T372" i="5"/>
  <c r="T358" i="5"/>
  <c r="AA366" i="5"/>
  <c r="T291" i="5"/>
  <c r="Y275" i="5"/>
  <c r="X275" i="5"/>
  <c r="W275" i="5"/>
  <c r="Z275" i="5"/>
  <c r="V275" i="5"/>
  <c r="T364" i="5"/>
  <c r="AA298" i="5"/>
  <c r="T371" i="5"/>
  <c r="X281" i="5"/>
  <c r="Y281" i="5"/>
  <c r="W281" i="5"/>
  <c r="Z281" i="5"/>
  <c r="V281" i="5"/>
  <c r="Y285" i="5"/>
  <c r="Z285" i="5"/>
  <c r="X285" i="5"/>
  <c r="W285" i="5"/>
  <c r="V285" i="5"/>
  <c r="T296" i="5"/>
  <c r="T305" i="5"/>
  <c r="AA284" i="5"/>
  <c r="AA197" i="5"/>
  <c r="AA299" i="5"/>
  <c r="T274" i="5"/>
  <c r="T363" i="5"/>
  <c r="AA280" i="5"/>
  <c r="T301" i="5"/>
  <c r="W356" i="5"/>
  <c r="Y356" i="5"/>
  <c r="X356" i="5"/>
  <c r="V356" i="5"/>
  <c r="Z356" i="5"/>
  <c r="W282" i="5"/>
  <c r="Y282" i="5"/>
  <c r="X282" i="5"/>
  <c r="V282" i="5"/>
  <c r="Z282" i="5"/>
  <c r="W372" i="5"/>
  <c r="X372" i="5"/>
  <c r="Y372" i="5"/>
  <c r="V372" i="5"/>
  <c r="Z372" i="5"/>
  <c r="Y358" i="5"/>
  <c r="Z358" i="5"/>
  <c r="W358" i="5"/>
  <c r="V358" i="5"/>
  <c r="X358" i="5"/>
  <c r="AA309" i="5"/>
  <c r="T188" i="5"/>
  <c r="AA353" i="5"/>
  <c r="AA365" i="5"/>
  <c r="T281" i="5"/>
  <c r="D19" i="12" l="1"/>
  <c r="C19" i="12"/>
  <c r="B19" i="12"/>
  <c r="E19" i="12"/>
  <c r="F19" i="12"/>
  <c r="AA185" i="5"/>
  <c r="AA355" i="5"/>
  <c r="AA195" i="5"/>
  <c r="AA295" i="5"/>
  <c r="AA370" i="5"/>
  <c r="AA277" i="5"/>
  <c r="V122" i="5"/>
  <c r="V397" i="5" s="1"/>
  <c r="AA372" i="5"/>
  <c r="AA187" i="5"/>
  <c r="AA371" i="5"/>
  <c r="AA308" i="5"/>
  <c r="AA296" i="5"/>
  <c r="X122" i="5"/>
  <c r="X397" i="5" s="1"/>
  <c r="Y122" i="5"/>
  <c r="Y397" i="5" s="1"/>
  <c r="AA356" i="5"/>
  <c r="AA273" i="5"/>
  <c r="AA189" i="5"/>
  <c r="AA301" i="5"/>
  <c r="W122" i="5"/>
  <c r="W397" i="5" s="1"/>
  <c r="AA188" i="5"/>
  <c r="AA358" i="5"/>
  <c r="AA285" i="5"/>
  <c r="AA363" i="5"/>
  <c r="AA274" i="5"/>
  <c r="AA305" i="5"/>
  <c r="AA186" i="5"/>
  <c r="Z122" i="5"/>
  <c r="Z397" i="5" s="1"/>
  <c r="AA192" i="5"/>
  <c r="AA282" i="5"/>
  <c r="AA281" i="5"/>
  <c r="AA275" i="5"/>
  <c r="AA291" i="5"/>
  <c r="AA364" i="5"/>
  <c r="X395" i="5" l="1"/>
  <c r="X393" i="5"/>
  <c r="W395" i="5"/>
  <c r="W393" i="5"/>
  <c r="Z393" i="5"/>
  <c r="Z395" i="5"/>
  <c r="V395" i="5"/>
  <c r="V393" i="5"/>
  <c r="Y393" i="5"/>
  <c r="Y395" i="5"/>
  <c r="C18" i="12"/>
  <c r="C22" i="12" s="1"/>
  <c r="B18" i="12"/>
  <c r="B22" i="12" s="1"/>
  <c r="F18" i="12"/>
  <c r="F22" i="12" s="1"/>
  <c r="G19" i="12"/>
  <c r="E18" i="12"/>
  <c r="E22" i="12" s="1"/>
  <c r="D18" i="12"/>
  <c r="D22" i="12" s="1"/>
  <c r="AA122" i="5"/>
  <c r="AA397" i="5"/>
  <c r="G18" i="12" l="1"/>
  <c r="G22" i="12" s="1"/>
  <c r="AA393" i="5"/>
  <c r="AA395" i="5"/>
  <c r="O14" i="5"/>
  <c r="P14" i="5"/>
  <c r="Q14" i="5"/>
  <c r="R14" i="5"/>
  <c r="S14" i="5"/>
  <c r="J14" i="5"/>
  <c r="I14" i="5"/>
  <c r="L14" i="5"/>
  <c r="H14" i="5"/>
  <c r="K14" i="5"/>
  <c r="T14" i="5" l="1"/>
  <c r="M14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 BOULICAUT Nicolas</author>
  </authors>
  <commentList>
    <comment ref="C29" authorId="0" shapeId="0" xr:uid="{2587B565-00C7-46D9-AD1A-0666F79C02B8}">
      <text>
        <r>
          <rPr>
            <b/>
            <sz val="9"/>
            <color indexed="81"/>
            <rFont val="Tahoma"/>
            <family val="2"/>
          </rPr>
          <t>2025-03-28: 0% as no one (R&amp;D director, R&amp;D controller, managers) can explain the need for 5% mark up here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<sst xmlns="http://schemas.openxmlformats.org/spreadsheetml/2006/main" count="5780" uniqueCount="1409">
  <si>
    <t>Form</t>
    <phoneticPr fontId="22" type="noConversion"/>
  </si>
  <si>
    <t>Title of the document</t>
  </si>
  <si>
    <t>D&amp;D Cost template</t>
    <phoneticPr fontId="22" type="noConversion"/>
  </si>
  <si>
    <t>Reference</t>
  </si>
  <si>
    <t>ESA-F-DSS-0001</t>
  </si>
  <si>
    <t>Purpose</t>
  </si>
  <si>
    <t>This form is used for PDL to make a D&amp;D cost quotation.</t>
    <phoneticPr fontId="22" type="noConversion"/>
  </si>
  <si>
    <t>Scope</t>
  </si>
  <si>
    <t>This document applies to all PDLs of FORVIA Faurecia Clean Mobility (referred to below as FCM) in Asia</t>
    <phoneticPr fontId="22" type="noConversion"/>
  </si>
  <si>
    <t>Related documents</t>
  </si>
  <si>
    <t>Asia test cost V8.1</t>
  </si>
  <si>
    <t>Issue n°</t>
  </si>
  <si>
    <t>V8.4.7</t>
    <phoneticPr fontId="22" type="noConversion"/>
  </si>
  <si>
    <t>Description of changes</t>
  </si>
  <si>
    <r>
      <t>V8.4.7 (1 July 2025) Refer “</t>
    </r>
    <r>
      <rPr>
        <b/>
        <sz val="10"/>
        <color rgb="FF1F497D"/>
        <rFont val="Century Gothic"/>
        <family val="2"/>
      </rPr>
      <t>Modification log</t>
    </r>
    <r>
      <rPr>
        <sz val="10"/>
        <color rgb="FF1F497D"/>
        <rFont val="Century Gothic"/>
        <family val="2"/>
      </rPr>
      <t>” for details</t>
    </r>
    <phoneticPr fontId="22" type="noConversion"/>
  </si>
  <si>
    <t>Cancels and replaces</t>
  </si>
  <si>
    <t>V8.4.6</t>
    <phoneticPr fontId="22" type="noConversion"/>
  </si>
  <si>
    <t>Author</t>
  </si>
  <si>
    <t>LE BOULICAUT Nicolas - Korea DSE Engineer
YOU Vivian - Engineering Cost Analyst . Finance
VIBHUTE Mahesh - Manager - Engineering Quality . R&amp;D/Engineering</t>
    <phoneticPr fontId="22" type="noConversion"/>
  </si>
  <si>
    <t>Owner</t>
  </si>
  <si>
    <t>PEI Jing - Design Office &amp; DSE Manager • R&amp;D/Engineering</t>
    <phoneticPr fontId="22" type="noConversion"/>
  </si>
  <si>
    <t>Validated by</t>
  </si>
  <si>
    <t>YI Ying - FCM China Engineering Finance Controlling Manager • Finance
SHIN Sang-Lin - Global Customer Engineering Director HKMC
DUROUSSEAU Henri - Global Customer Engineering Director &amp; Chief Engineer ULE - Japan AFO
KULKARNI Atul - India Senior Manager - Product • R&amp;D/Engineering</t>
    <phoneticPr fontId="22" type="noConversion"/>
  </si>
  <si>
    <t>Approved by</t>
  </si>
  <si>
    <t>Gu Pengzhou-China AFO Director
KIM Won-Tae - Korea AFO- Director
JADHAV Kishor - India AFO Director
MAESHIRO Tsuyoushi - Japan AFO Director</t>
    <phoneticPr fontId="22" type="noConversion"/>
  </si>
  <si>
    <t>Property of FORVIA Faurecia</t>
  </si>
  <si>
    <t>Internal Documentation</t>
  </si>
  <si>
    <t>Date</t>
  </si>
  <si>
    <t>Revision</t>
  </si>
  <si>
    <t>Modification content</t>
  </si>
  <si>
    <t>V6</t>
  </si>
  <si>
    <t>Create new D&amp;D cost template to
- Integrate CVE cost template
- Combine China and Korea template with different currency
- Separate D&amp;D cost by phase
Testing cost refers to Asia test cost 2013_V2.2</t>
  </si>
  <si>
    <t>V6.1</t>
  </si>
  <si>
    <t>Update to
- Correct the formula for "Sum of D&amp;D cost"
- Correct the formula for "For license agreement"
- Correct macro of core team distribution of each phase (due to removal of "HE+CE" row)
- Optimize the macro to distiguish core team efficiency by empty cells or input 0.</t>
  </si>
  <si>
    <t>V6.2</t>
    <phoneticPr fontId="0" type="noConversion"/>
  </si>
  <si>
    <t>Update to
- add the Korean hourly rate of PB, ASQ &amp; PQL</t>
    <phoneticPr fontId="0" type="noConversion"/>
  </si>
  <si>
    <t>V6.3</t>
  </si>
  <si>
    <t>Update Korean men hourly rate.
Add Audi &amp; VW hot shake test VW_EP18310.55 (hot shake step-4.3.3.2).</t>
  </si>
  <si>
    <t>V6.4</t>
  </si>
  <si>
    <t>Update
- Standard working hours of Ford CAE simulation (CFD, HE &amp; CE durability).
- Standard testing hours of engine thermal endurance based on Faurecia procedure (from 1200 to 1000 cycles).
Add
- Engine thermal endurance based on PSA procedure (1200 cycles).</t>
  </si>
  <si>
    <t>V7</t>
  </si>
  <si>
    <t>- Update the format to split AFO and core team working hours.
- Update to split engineering cost, D&amp;D cost for LA and D&amp;D cost for BP.
- Specifiy CVE standard working hours.
- Update Faurecia canning validation procedure and cost.</t>
  </si>
  <si>
    <t>V7.1</t>
  </si>
  <si>
    <t>- Correct a bug for working hours distribution calculation.</t>
  </si>
  <si>
    <t>V7.2</t>
  </si>
  <si>
    <t>- Correct a formula mistake for sum of engineering cost.</t>
  </si>
  <si>
    <t>V7.3</t>
  </si>
  <si>
    <t>- Correct a bug for coeff calculation</t>
  </si>
  <si>
    <t>V7.4</t>
  </si>
  <si>
    <t>- Correct a mistake for engineering cost which resources locate in plant.</t>
  </si>
  <si>
    <t>V7.5</t>
  </si>
  <si>
    <t>- Update standard working hours for CAD, CAE and product experts.
- Update with 2016 hourly rate.
- Align testing cost with Asia testing cost V5.7.
- Include margin for CBU.
- Correct several bugs (irrelevant columns not hidden, process specialist hours not calculated when specifies coeff, some users cannot run macro, output worksheet cannot be renamed.)</t>
  </si>
  <si>
    <t>V7.6</t>
  </si>
  <si>
    <t>- Update quotation hourly rate for engineering.
- Update testing cost with Asia testing cost V5.8 including Korean testing.</t>
  </si>
  <si>
    <t>V7.7</t>
  </si>
  <si>
    <t>- Update quotation hourly rate for engineering.
- Update testing cost with Asia testing cost V5.10.
- Add acoustic measurement package.
- Change the engineering cost approvers.</t>
  </si>
  <si>
    <t>V7.7.1</t>
  </si>
  <si>
    <t>- Correct formula mistake for 3.12</t>
  </si>
  <si>
    <t>V8.0</t>
  </si>
  <si>
    <t>- Integrate Japanese and Indian currency.
- Allow separate task location for each task.
- Update standard hours and hourly rate.
- Update testing cost with Asia testing cost V5.11.</t>
    <phoneticPr fontId="22" type="noConversion"/>
  </si>
  <si>
    <t>V8.1</t>
  </si>
  <si>
    <t>- Correct formula mistakes for core team working hours (It was wrong for Korea, India and Japan).
- Correct typo from "KWR" to "KRW"
- Change from "HMC" to "HKMC" for testing method
- Correct format for cell H24
- Add default value for China royalty value.</t>
    <phoneticPr fontId="22" type="noConversion"/>
  </si>
  <si>
    <t>v8.2</t>
  </si>
  <si>
    <t>- Correct the subtotal for resource in plant.
- Correct subtotal for each chapter with margin.
- Correct Coeff reset function.
- Change customer name from "Hundai" and "KIA" for India to be able to use filter function.</t>
    <phoneticPr fontId="22" type="noConversion"/>
  </si>
  <si>
    <t>v8.3</t>
    <phoneticPr fontId="22" type="noConversion"/>
  </si>
  <si>
    <t>- Include business trip cost in total cost calculation.
- Include missing CVE simulation.
- CAE standard procedure and working hours update.
- Standard hourly rate and exchange rate update for 2020.
- Add PM drop down list for China due to different hourly rate.
- Add subtotal in BP &amp; LA summary sheet
- Update testing cost with Asia testing cost V6.0.
- Remove coeff for core team.</t>
    <phoneticPr fontId="22" type="noConversion"/>
  </si>
  <si>
    <t>V8.4</t>
    <phoneticPr fontId="22" type="noConversion"/>
  </si>
  <si>
    <t>- Hide the cost detail in "Engineering cost for CBU" sheet
- Add option to generate only "Engineering cost for CBU".
- Fix the bug when setting column width fo listbox (root cause unknown).
- Add DF and CR simulation.</t>
    <phoneticPr fontId="22" type="noConversion"/>
  </si>
  <si>
    <t>V8.4.1</t>
    <phoneticPr fontId="22" type="noConversion"/>
  </si>
  <si>
    <t>- Update exchange rate.
Following updates are dedicated to China:
- Update engineering team hourly rate.
- Update standard working hours partially for CVE product.
- Update testing cost for O011 engine setup, F035 component fatigue test-CVE DV and correct a few quotations according to Asia testing cost V6.1.</t>
    <phoneticPr fontId="22" type="noConversion"/>
  </si>
  <si>
    <t>V8.4.2</t>
    <phoneticPr fontId="22" type="noConversion"/>
  </si>
  <si>
    <t>- Update plant, customer, hourly rate
- Update hours distribution ratio by phase for China
- Update margin for China
- Update testing cost with Asia testing cost V6.2.</t>
    <phoneticPr fontId="22" type="noConversion"/>
  </si>
  <si>
    <t>V8.4.3</t>
    <phoneticPr fontId="22" type="noConversion"/>
  </si>
  <si>
    <t>- Clear formats for "D&amp;D cost for plant with margin"
- Update exchange rate
- Update testing cost with Asia testing cost V7
- China: Update AFO standard working hours and hide non-AFO items for LE;
- Korea: Update hourly rate and standard hours for CAE;
- India: Update plant, customer, standard working hours - CT, prototype cost</t>
    <phoneticPr fontId="22" type="noConversion"/>
  </si>
  <si>
    <t>V8.4.4</t>
    <phoneticPr fontId="22" type="noConversion"/>
  </si>
  <si>
    <t>- Update China customer list and standard working hours with DLV
- Remove standard hourly rate and standard working hours for China non-AFO members.
- Update exchange rate
- Update testing cost with Asia testing cost V8.02
- Update hourly rate for Korea and India AFOs.</t>
    <phoneticPr fontId="22" type="noConversion"/>
  </si>
  <si>
    <t>28/05/2024</t>
    <phoneticPr fontId="22" type="noConversion"/>
  </si>
  <si>
    <t>V8.4.5</t>
    <phoneticPr fontId="22" type="noConversion"/>
  </si>
  <si>
    <r>
      <t xml:space="preserve">- China: Update CVE Program Type
- China: Remove CVE program Region process expert Hours
- China: Update AFO Hourly rate
- China: Update AFO standard hours </t>
    </r>
    <r>
      <rPr>
        <sz val="10"/>
        <rFont val="微软雅黑"/>
        <family val="2"/>
        <charset val="134"/>
      </rPr>
      <t>（</t>
    </r>
    <r>
      <rPr>
        <sz val="10"/>
        <rFont val="Century Gothic"/>
        <family val="2"/>
      </rPr>
      <t>PDL/Expert</t>
    </r>
    <r>
      <rPr>
        <sz val="10"/>
        <rFont val="微软雅黑"/>
        <family val="2"/>
        <charset val="134"/>
      </rPr>
      <t xml:space="preserve">）
</t>
    </r>
    <r>
      <rPr>
        <sz val="10"/>
        <rFont val="Century Gothic"/>
        <family val="2"/>
      </rPr>
      <t>- China: Add Durability - D030/Durability - D031
- China: Update Testing method
- Korea: Update hourly rates (CBU + AFO) and testing cost based on 2024 machines and test engineer hourly rates</t>
    </r>
    <phoneticPr fontId="22" type="noConversion"/>
  </si>
  <si>
    <t>V8.4.6</t>
  </si>
  <si>
    <t>- Korea: Add CFD - F012 and Durability - D032
- Korea: Hourly rate update
- Korea: Proto / Testing cost update
- Japan: Hourly rate update
- Update exchange rate</t>
  </si>
  <si>
    <r>
      <t xml:space="preserve">- China: Add TPL function
- China: Update AFO Hourly rate
- China: Update AFO standard hours </t>
    </r>
    <r>
      <rPr>
        <sz val="10"/>
        <rFont val="微软雅黑"/>
        <family val="2"/>
        <charset val="134"/>
      </rPr>
      <t>（</t>
    </r>
    <r>
      <rPr>
        <sz val="10"/>
        <rFont val="Century Gothic"/>
        <family val="2"/>
      </rPr>
      <t>Expert/CAE</t>
    </r>
    <r>
      <rPr>
        <sz val="10"/>
        <rFont val="微软雅黑"/>
        <family val="2"/>
        <charset val="134"/>
      </rPr>
      <t xml:space="preserve">）
- </t>
    </r>
    <r>
      <rPr>
        <sz val="10"/>
        <rFont val="Century Gothic"/>
        <family val="2"/>
      </rPr>
      <t xml:space="preserve">China: Update customer list &amp; plant information
</t>
    </r>
    <phoneticPr fontId="22" type="noConversion"/>
  </si>
  <si>
    <t>User instruction:</t>
  </si>
  <si>
    <t>https://faurecia.sharepoint.com/:p:/r/sites/ES-Asia_RandD2/Released%20Documents/ESA-I-DSS-0005_DD%20Cost%20Template%20-%20User%20Instruction.pptx?d=wf7842a4eb59340598b75627d9a534e6c&amp;csf=1&amp;web=1&amp;e=oDGhSR</t>
    <phoneticPr fontId="22" type="noConversion"/>
  </si>
  <si>
    <t>Product family:</t>
  </si>
  <si>
    <t>https://faurecia.sharepoint.com/:p:/r/sites/ES-Asia_RandD2/Released%20Documents/ESA-I-DSS-0006_DD%20cost%20templates%20-%20Product%20family.pptx?d=w97ffc82c0ce04592b0d2df42ffe2c04f&amp;csf=1&amp;web=1&amp;e=F3sFTm</t>
    <phoneticPr fontId="22" type="noConversion"/>
  </si>
  <si>
    <t>Project Information</t>
  </si>
  <si>
    <t>Lead AFO</t>
  </si>
  <si>
    <t>Business</t>
  </si>
  <si>
    <t>Program Type</t>
  </si>
  <si>
    <t>Royalty</t>
  </si>
  <si>
    <t>PM</t>
  </si>
  <si>
    <t>PDL</t>
  </si>
  <si>
    <t>Korea</t>
  </si>
  <si>
    <t>LE</t>
  </si>
  <si>
    <t>Tempo Code</t>
  </si>
  <si>
    <t>Customer</t>
  </si>
  <si>
    <t>Vehicle</t>
  </si>
  <si>
    <t>Engine</t>
  </si>
  <si>
    <t>Product family</t>
  </si>
  <si>
    <t>Plant</t>
  </si>
  <si>
    <t/>
  </si>
  <si>
    <t>Estimated Date</t>
  </si>
  <si>
    <t>G1</t>
  </si>
  <si>
    <t>G2A</t>
  </si>
  <si>
    <t>G2B</t>
  </si>
  <si>
    <t>G3</t>
  </si>
  <si>
    <t>G4</t>
  </si>
  <si>
    <t>Currency used for quotation</t>
  </si>
  <si>
    <t>Exchange rate</t>
  </si>
  <si>
    <t>Number of Variants for D&amp;D cost quotation</t>
  </si>
  <si>
    <t>Variant 1</t>
  </si>
  <si>
    <t>Variant 2</t>
  </si>
  <si>
    <t>Variant 3</t>
  </si>
  <si>
    <t>Product Picture</t>
  </si>
  <si>
    <t>Product Picture</t>
    <phoneticPr fontId="22" type="noConversion"/>
  </si>
  <si>
    <t>Variant 4</t>
  </si>
  <si>
    <t>Variant 5</t>
  </si>
  <si>
    <t>Variant 6</t>
  </si>
  <si>
    <t>Program D&amp;D Cost Breakdown</t>
  </si>
  <si>
    <t>1</t>
  </si>
  <si>
    <t>2A</t>
  </si>
  <si>
    <t>2B</t>
  </si>
  <si>
    <t>3</t>
  </si>
  <si>
    <t>4</t>
  </si>
  <si>
    <t>Total</t>
    <phoneticPr fontId="0" type="noConversion"/>
  </si>
  <si>
    <t>Cost with task location currency</t>
    <phoneticPr fontId="22" type="noConversion"/>
  </si>
  <si>
    <t>Updated Date</t>
  </si>
  <si>
    <t>No.</t>
    <phoneticPr fontId="0" type="noConversion"/>
  </si>
  <si>
    <t>Business</t>
    <phoneticPr fontId="0" type="noConversion"/>
  </si>
  <si>
    <t>Catalogue</t>
    <phoneticPr fontId="0" type="noConversion"/>
  </si>
  <si>
    <t>Task</t>
    <phoneticPr fontId="0" type="noConversion"/>
  </si>
  <si>
    <t>Task location</t>
  </si>
  <si>
    <t>Coeff</t>
  </si>
  <si>
    <t>Resource in plant (Y/N)</t>
  </si>
  <si>
    <t>Quantity of hours</t>
    <phoneticPr fontId="0" type="noConversion"/>
  </si>
  <si>
    <t>Cost per hour</t>
    <phoneticPr fontId="0" type="noConversion"/>
  </si>
  <si>
    <t>Comments</t>
    <phoneticPr fontId="0" type="noConversion"/>
  </si>
  <si>
    <t>Program Core Team</t>
  </si>
  <si>
    <t>Common</t>
  </si>
  <si>
    <t>Core team</t>
  </si>
  <si>
    <t>Program Manager</t>
  </si>
  <si>
    <t>Y</t>
    <phoneticPr fontId="22" type="noConversion"/>
  </si>
  <si>
    <t>Y</t>
  </si>
  <si>
    <t>Common</t>
    <phoneticPr fontId="0" type="noConversion"/>
  </si>
  <si>
    <t>Core team</t>
    <phoneticPr fontId="0" type="noConversion"/>
  </si>
  <si>
    <t>Program Buyer</t>
  </si>
  <si>
    <t>Support team</t>
    <phoneticPr fontId="0" type="noConversion"/>
  </si>
  <si>
    <t>Advanced Supplier Quality</t>
  </si>
  <si>
    <t>Program Quality Leader</t>
  </si>
  <si>
    <t>Program Manufacturing Leader</t>
    <phoneticPr fontId="22" type="noConversion"/>
  </si>
  <si>
    <t>Business trip abroad</t>
    <phoneticPr fontId="0" type="noConversion"/>
  </si>
  <si>
    <t>AFO</t>
  </si>
  <si>
    <t>Program Development Leader</t>
    <phoneticPr fontId="22" type="noConversion"/>
  </si>
  <si>
    <t>Technical Project Leader</t>
  </si>
  <si>
    <t>Acoustic Specialist</t>
  </si>
  <si>
    <t>Durability Specialist</t>
  </si>
  <si>
    <t>Process Specialist</t>
  </si>
  <si>
    <t>N</t>
  </si>
  <si>
    <t>Asia product and process experts</t>
  </si>
  <si>
    <t>Business trip</t>
    <phoneticPr fontId="0" type="noConversion"/>
  </si>
  <si>
    <t>Support from other AFO and paid by local AFO</t>
  </si>
  <si>
    <t>CAD</t>
  </si>
  <si>
    <t>Resident Engineer</t>
  </si>
  <si>
    <t>3 DCS</t>
  </si>
  <si>
    <t>Spec owner</t>
    <phoneticPr fontId="0" type="noConversion"/>
  </si>
  <si>
    <t>Spec</t>
    <phoneticPr fontId="0" type="noConversion"/>
  </si>
  <si>
    <t>Quantity of loops</t>
    <phoneticPr fontId="0" type="noConversion"/>
  </si>
  <si>
    <t>Cost per loop</t>
    <phoneticPr fontId="0" type="noConversion"/>
  </si>
  <si>
    <t>Spec</t>
  </si>
  <si>
    <t>CAE - Prediction</t>
  </si>
  <si>
    <t>Acoustic - A001</t>
  </si>
  <si>
    <t>CHD-I-DSE-3001</t>
  </si>
  <si>
    <t>Acoustic - A002</t>
  </si>
  <si>
    <t>Acoustic - A003</t>
  </si>
  <si>
    <t>Acoustic - A004</t>
  </si>
  <si>
    <t>Acoustic - A005</t>
  </si>
  <si>
    <t>Non-standard</t>
  </si>
  <si>
    <t>Canning - C001</t>
  </si>
  <si>
    <t>CFD - F001</t>
  </si>
  <si>
    <t>CHD-I-DSE-2820</t>
  </si>
  <si>
    <t>CFD - F002</t>
  </si>
  <si>
    <t>CFD - F003</t>
  </si>
  <si>
    <t>CFD - F004</t>
  </si>
  <si>
    <t>CFD - F005</t>
  </si>
  <si>
    <t>CETP 03.01-C-410 
CETP 03.01-C-415</t>
  </si>
  <si>
    <t>CFD - F006</t>
  </si>
  <si>
    <t>FSE-I-DSE-L036
FSE-I-DSE-L040</t>
  </si>
  <si>
    <t>CFD - F007</t>
  </si>
  <si>
    <t>FSE-I-DSE-L036
FSE-I-DSE-L039</t>
  </si>
  <si>
    <t>CFD - F008</t>
  </si>
  <si>
    <t>CFD - F009</t>
  </si>
  <si>
    <t>CFD - F010</t>
  </si>
  <si>
    <t>FSE-I-DSE-F006</t>
  </si>
  <si>
    <t>CFD - F011</t>
  </si>
  <si>
    <t>FSE-I-DSE-L036</t>
  </si>
  <si>
    <t>CFD - F012</t>
  </si>
  <si>
    <t>Durability - D001</t>
  </si>
  <si>
    <t>FSE-I-DSE-P012
FSE-S-DSE-L023
FSE-S-DSE-L024
FSE-S-DSE-L025
FSE-S-DSE-L026
FSE-S-DSE-G049
FSE-S-DSE-G050
FSE-I-DSE-L001</t>
  </si>
  <si>
    <t>Durability - D002</t>
  </si>
  <si>
    <t>Durability - D003</t>
  </si>
  <si>
    <t>Durability - D004</t>
  </si>
  <si>
    <t>Durability - D005</t>
  </si>
  <si>
    <t>Durability - D006</t>
  </si>
  <si>
    <t>Durability - D007</t>
  </si>
  <si>
    <t>FSE-I-DSE-L001</t>
  </si>
  <si>
    <t>Durability - D008</t>
  </si>
  <si>
    <t>CETP 09.00-C-413
CETP 03.01-C-301
CETP 09.00-C-302</t>
  </si>
  <si>
    <t>Durability - D009</t>
  </si>
  <si>
    <t>Durability - D010</t>
  </si>
  <si>
    <t>FSE-I-DSE-P012
CHD-I-DSS-2804
CHD-I-DSS-2804
CHD-I-DSS-2805
CHD-I-DSS-2803
CHD-I-DSS-2806</t>
  </si>
  <si>
    <t>Durability - D011</t>
  </si>
  <si>
    <t>Durability - D012</t>
  </si>
  <si>
    <t>Durability - D013</t>
  </si>
  <si>
    <t>CHD-I-DSE-2803</t>
  </si>
  <si>
    <t>Durability - D014</t>
  </si>
  <si>
    <t>45-CG1454</t>
  </si>
  <si>
    <t>Durability - D015</t>
  </si>
  <si>
    <t>CHD-I-DSS-2805</t>
  </si>
  <si>
    <t>Durability - D016</t>
  </si>
  <si>
    <t>CHD-I-DSS-2817</t>
  </si>
  <si>
    <t>Durability - D017</t>
  </si>
  <si>
    <t>Durability - D018</t>
  </si>
  <si>
    <t>Durability - D019</t>
  </si>
  <si>
    <t>CHD-I-DSS-2806</t>
  </si>
  <si>
    <t>Durability - D020</t>
  </si>
  <si>
    <t>RNDS</t>
  </si>
  <si>
    <t>Durability - D021</t>
  </si>
  <si>
    <t>FSE-I-DSE-P012
FSE-I-DSE-P013
FSE-P-DSE-U023
FSE-S-DSE-L024
FSE-S-DSE-L025
FSE-S-DSE-L026
FSE-S-DSE-G049
FSE-S-DSE-G050
ESA-I-DSE-F031
CHD-I-DSS-2807</t>
  </si>
  <si>
    <t>Durability - D022</t>
  </si>
  <si>
    <t>Durability - D023</t>
  </si>
  <si>
    <t>Durability - D024</t>
  </si>
  <si>
    <t>FSE-I-DSE-P012
FSE-I-DSE-P013
FSE-I-DSE-U023
FSE-S-DSE-L024
FSE-S-DSE-L025
FSE-S-DSE-L026
FSE-S-DSE-G049
FSE-I-DSE-L001
FSE-S-DSE-L049</t>
  </si>
  <si>
    <t>Durability - D025</t>
  </si>
  <si>
    <t>Durability - D026</t>
  </si>
  <si>
    <t>ESA-I-DSE-F031</t>
  </si>
  <si>
    <t>Durability - D027</t>
  </si>
  <si>
    <t>ESA-I-DSE-F032</t>
  </si>
  <si>
    <t>Durability - D028</t>
  </si>
  <si>
    <t>ESA-I-DSE-F033</t>
  </si>
  <si>
    <t>Durability - D029</t>
  </si>
  <si>
    <t>ESA-I-DSE-F034</t>
  </si>
  <si>
    <t>Durability - D030</t>
  </si>
  <si>
    <t>Durability - D031</t>
  </si>
  <si>
    <t>Durability - D032</t>
  </si>
  <si>
    <t>Process - P001</t>
    <phoneticPr fontId="22" type="noConversion"/>
  </si>
  <si>
    <t>Process - P002</t>
  </si>
  <si>
    <t>Process - P003</t>
  </si>
  <si>
    <t>Process - P004</t>
  </si>
  <si>
    <t>Process - P005</t>
  </si>
  <si>
    <t>Process - P006</t>
  </si>
  <si>
    <t>Process - P007</t>
  </si>
  <si>
    <t>Process - P008</t>
  </si>
  <si>
    <t>Process - P009</t>
  </si>
  <si>
    <t>Process - P010</t>
  </si>
  <si>
    <t>Process - P011</t>
  </si>
  <si>
    <t>Process - P012</t>
  </si>
  <si>
    <t>Process - P013</t>
  </si>
  <si>
    <t>Process - P014</t>
  </si>
  <si>
    <t>Process - P015</t>
  </si>
  <si>
    <t>Process - P016</t>
  </si>
  <si>
    <t>Process - P017</t>
  </si>
  <si>
    <t>Process - P018</t>
  </si>
  <si>
    <t>Process - P019</t>
  </si>
  <si>
    <t>Process - P020</t>
  </si>
  <si>
    <t>Process - P021</t>
  </si>
  <si>
    <t>Process - P022</t>
  </si>
  <si>
    <t>Process - P023</t>
  </si>
  <si>
    <t>Process - P024</t>
  </si>
  <si>
    <t>Process - P025</t>
  </si>
  <si>
    <t>Process - P026</t>
  </si>
  <si>
    <t>Process - P027</t>
  </si>
  <si>
    <t>Process - P028</t>
  </si>
  <si>
    <t>Quantity of parts</t>
    <phoneticPr fontId="0" type="noConversion"/>
  </si>
  <si>
    <t>Cost per part</t>
  </si>
  <si>
    <t>Cost breakdown</t>
    <phoneticPr fontId="0" type="noConversion"/>
  </si>
  <si>
    <t>Cost per part</t>
    <phoneticPr fontId="0" type="noConversion"/>
  </si>
  <si>
    <t>Prototype - Internal use</t>
    <phoneticPr fontId="0" type="noConversion"/>
  </si>
  <si>
    <t>Mock up - M001</t>
  </si>
  <si>
    <t>DV - D001</t>
  </si>
  <si>
    <t>DV - D002</t>
  </si>
  <si>
    <t>DV - D003</t>
  </si>
  <si>
    <t>DV - D004</t>
  </si>
  <si>
    <t>DV - D005</t>
  </si>
  <si>
    <t>DV - D006</t>
  </si>
  <si>
    <t>DV - D007</t>
  </si>
  <si>
    <t>DV - D008</t>
  </si>
  <si>
    <t>DV - D009</t>
  </si>
  <si>
    <t>DV - D010</t>
  </si>
  <si>
    <t>PV - P001</t>
  </si>
  <si>
    <t>MVP - V001</t>
  </si>
  <si>
    <t>MVP - T001</t>
  </si>
  <si>
    <t>DV - T002</t>
  </si>
  <si>
    <t>Quantity of loops</t>
  </si>
  <si>
    <t>Cost per loop</t>
  </si>
  <si>
    <t>Testing / Measurement</t>
    <phoneticPr fontId="0" type="noConversion"/>
  </si>
  <si>
    <t>CHD-I-DSE-2012
CHD-I-DSE-2013
CHD-I-DSE-2017</t>
  </si>
  <si>
    <t>CHD-I-DSE-2012</t>
  </si>
  <si>
    <t>CHD-I-DSE-2013</t>
  </si>
  <si>
    <t>CHD-I-DSE-2018</t>
  </si>
  <si>
    <t>CHD-I-DSE-2016</t>
  </si>
  <si>
    <t>CHD-I-DSE-2017</t>
  </si>
  <si>
    <t>CHD-I-DSE-2014</t>
  </si>
  <si>
    <t>CHD-I-DSE-2015</t>
  </si>
  <si>
    <t>CHD-I-DSE-2033</t>
  </si>
  <si>
    <t>CHD-I-DSE-2035</t>
  </si>
  <si>
    <t>CHD-I-DSE-2034</t>
  </si>
  <si>
    <t>CHD-I-DSE-2036</t>
  </si>
  <si>
    <t>CHD-I-DSE-2032</t>
  </si>
  <si>
    <t>CHD-I-DSE-2032
CHD-I-DSE-2036</t>
  </si>
  <si>
    <t>GMW15880</t>
  </si>
  <si>
    <t>CETP_09.01-L-900</t>
  </si>
  <si>
    <t>ES28600-09 6.1</t>
  </si>
  <si>
    <t>ES28600-09 6.2</t>
  </si>
  <si>
    <t>ES28600-09 6.3</t>
  </si>
  <si>
    <t>ES28600-09 6.4</t>
  </si>
  <si>
    <t>GMW14161</t>
  </si>
  <si>
    <t>GMW14218</t>
  </si>
  <si>
    <t>ES28530-01 5.1
ES28530-02 6.1
ES28990-01 6.1</t>
  </si>
  <si>
    <t>GMW14379-2012</t>
  </si>
  <si>
    <t>PF.90160 9.3.5</t>
  </si>
  <si>
    <t>E_20000NDS01_10 3.3.1</t>
  </si>
  <si>
    <t>E_20000NDS01_10 3.3.2</t>
  </si>
  <si>
    <t>CHD-I-DSE-2041</t>
  </si>
  <si>
    <t>CHD-I-DSE-2010</t>
  </si>
  <si>
    <t>CHD-I-DSE-2011</t>
  </si>
  <si>
    <t>CHD-I-DSE-2008</t>
  </si>
  <si>
    <t>EDS-T-1480</t>
  </si>
  <si>
    <t>CETP_09.01-E-400 200201 5.3 step 3</t>
  </si>
  <si>
    <t>CETP_09.00-L-403</t>
  </si>
  <si>
    <t>ES28600-09 6.10</t>
  </si>
  <si>
    <t>FSE-I-DSE-C002 S22</t>
  </si>
  <si>
    <t>ES28600-23</t>
  </si>
  <si>
    <t>CHD-I-DSE-2039</t>
  </si>
  <si>
    <t>CHD-I-DSE-2006</t>
  </si>
  <si>
    <t>CHD-I-DSE-2007</t>
  </si>
  <si>
    <t>01527_12_01339</t>
  </si>
  <si>
    <t>CHD-I-DSE-2005</t>
  </si>
  <si>
    <t>CHD-I-DSE-2019</t>
  </si>
  <si>
    <t>CETP_09.00-L-300 (2001 ver. PL008)</t>
  </si>
  <si>
    <t>ES28600-09  6.8</t>
  </si>
  <si>
    <t>CETP_09.00-E-303</t>
  </si>
  <si>
    <t>CETP: 09.04-R-400 (2001 PL005)</t>
  </si>
  <si>
    <t>PF.90160 9.5</t>
  </si>
  <si>
    <t>PF.90160 9.6</t>
  </si>
  <si>
    <t>ES28600-24 6.1</t>
  </si>
  <si>
    <t>ES28600-24 6.4</t>
  </si>
  <si>
    <t>ES28600-24 6.3</t>
  </si>
  <si>
    <t>ES28600-24 6.14</t>
  </si>
  <si>
    <t>CHD-I-DSE-2001</t>
  </si>
  <si>
    <t>CHD-I-DSE-2002</t>
  </si>
  <si>
    <t>CHD-I-DSE-2003</t>
  </si>
  <si>
    <t>TL 82391 (simple version)</t>
  </si>
  <si>
    <t>TL 82391 Forderung 3</t>
  </si>
  <si>
    <t>PA40100C</t>
  </si>
  <si>
    <t>CHD-I-DSE-2004</t>
  </si>
  <si>
    <t>GMW14390</t>
  </si>
  <si>
    <t>GMW14381</t>
  </si>
  <si>
    <t>CETP_09.03-E-300</t>
  </si>
  <si>
    <t>ES28600-22</t>
  </si>
  <si>
    <t>ES28600-25 6.2.1</t>
  </si>
  <si>
    <t>CETP_09.00-E-309</t>
  </si>
  <si>
    <t>PF.90160 9.10</t>
  </si>
  <si>
    <t>PF.90160 9.11</t>
  </si>
  <si>
    <t>PF.90160 9.12</t>
  </si>
  <si>
    <t>CHD-I-DSE-2072</t>
  </si>
  <si>
    <t>FSE-S-DSE-L020</t>
  </si>
  <si>
    <t>EP18310.55</t>
  </si>
  <si>
    <t>EP18310.55 4.3.3.4</t>
  </si>
  <si>
    <t>EP18310.55 4.3.3.2</t>
  </si>
  <si>
    <t>PCA CTS Rev 16 4.4.2.1.1</t>
  </si>
  <si>
    <t>Converter Appendix C2 13Aug14 rev 1.0 3.2.2</t>
  </si>
  <si>
    <t>PCA CTS Rev 16 - 4.4.2.1.1</t>
  </si>
  <si>
    <t>Converter Appendix C2 13Aug14 rev 1.0  3.2.2</t>
  </si>
  <si>
    <t>PCA CTS Rev 16 4.4.2.1.4</t>
  </si>
  <si>
    <t>Converter Appendix C2 13Aug14 rev 1.0 3.2.5</t>
  </si>
  <si>
    <t>ES28530-01 4.3.1</t>
  </si>
  <si>
    <t>ES28530-02 4.3.1
ES28990-01 4.3.1</t>
  </si>
  <si>
    <t>34-05-803/H-3.5</t>
  </si>
  <si>
    <t>CETP 09.00-E-304</t>
  </si>
  <si>
    <t>CETP 09.00-E-305 5.1</t>
  </si>
  <si>
    <t>CETP 09.00-E-305 5.3</t>
  </si>
  <si>
    <t>CETP 09.00-E-305 5.2</t>
  </si>
  <si>
    <t>B22 3210 - Simplified version</t>
  </si>
  <si>
    <t>B22 3210</t>
  </si>
  <si>
    <t>CETP 09.00-L-306</t>
  </si>
  <si>
    <t>CETP 09.02-E-303</t>
  </si>
  <si>
    <t>CETP 09.02-E-304</t>
  </si>
  <si>
    <t>10004387-000-03-3.4</t>
  </si>
  <si>
    <t>CETP 09.02-E-308</t>
  </si>
  <si>
    <t>FSE-I-DSE-C002 S10</t>
  </si>
  <si>
    <t>PF.90160 9.8</t>
  </si>
  <si>
    <t>PF.90160 9.9</t>
  </si>
  <si>
    <t>CHD-I-DSE-2064</t>
  </si>
  <si>
    <t>CHD-I-DSE-2060</t>
  </si>
  <si>
    <t>CHD-I-DSE-2058</t>
  </si>
  <si>
    <t>A0010097999_ZGS003_071217</t>
  </si>
  <si>
    <t>CHD-I-DSE-2043</t>
  </si>
  <si>
    <t xml:space="preserve">CHD-I-DSE-2042 </t>
  </si>
  <si>
    <t>CHD-I-DSE-2028</t>
  </si>
  <si>
    <t>CHD-I-DSE-2040</t>
  </si>
  <si>
    <t>CHD-I-DSE-2027</t>
  </si>
  <si>
    <t>CHD-I-DSE-2062</t>
  </si>
  <si>
    <t>CHD-I-DSE-2059</t>
  </si>
  <si>
    <t>CHD-I-DSE-2031</t>
  </si>
  <si>
    <t>CHD-I-DSE-2045</t>
  </si>
  <si>
    <t>CHD-I-DSE-2063</t>
  </si>
  <si>
    <t xml:space="preserve">
ES28530-02 5.1
ES28990-01 5.1
</t>
  </si>
  <si>
    <t>ES28600-09 6.12</t>
  </si>
  <si>
    <t>63 cycles acc. To GMW 14872</t>
  </si>
  <si>
    <t>ES28600-09 6.5</t>
  </si>
  <si>
    <t>ES28600-09 6.9</t>
  </si>
  <si>
    <t>ES28600-09 6.11</t>
  </si>
  <si>
    <t>CHD-I-DSE-2009</t>
  </si>
  <si>
    <t>GMW14202</t>
  </si>
  <si>
    <t>GMW14182</t>
  </si>
  <si>
    <t>PF.90160 9.4</t>
  </si>
  <si>
    <t>ES28530-01 5.2
ES28530-02 6.2
ES28990-01 6.1</t>
  </si>
  <si>
    <t>ES28600-25 6.1</t>
  </si>
  <si>
    <t>ES28600-25 6.2.4</t>
  </si>
  <si>
    <t>ES28600-25 6.2.5</t>
  </si>
  <si>
    <t>ES28600-26 6</t>
  </si>
  <si>
    <t>ES28600-26 7</t>
  </si>
  <si>
    <t>CHD-I-DSE-2070</t>
  </si>
  <si>
    <t>CHD-I-DSE-2038</t>
  </si>
  <si>
    <t>CHD-I-DSE-2037</t>
  </si>
  <si>
    <t>GMW14566</t>
  </si>
  <si>
    <t>ES4007</t>
  </si>
  <si>
    <t>ES4008</t>
  </si>
  <si>
    <t>PF.90160 9.3.6</t>
  </si>
  <si>
    <t>ES28600-09 6.7</t>
  </si>
  <si>
    <t>ES28530-01 4.3.2</t>
  </si>
  <si>
    <t>ES28530-01 4.3.3</t>
  </si>
  <si>
    <t>ES28530-02 4.3.3
ES28990-01 4.3.3</t>
  </si>
  <si>
    <t>ES28530-02 4.3.2
ES28990-01 4.3.2</t>
  </si>
  <si>
    <t>CHD-I-DSE-2026</t>
  </si>
  <si>
    <t>Converter Appendix C2 13Aug14 rev 1.0 3.2.4</t>
  </si>
  <si>
    <t>Converter Appendix C2 13Aug14 rev 1.0 3.2.3</t>
  </si>
  <si>
    <t>GMW14380-2011</t>
  </si>
  <si>
    <t>34-05-084</t>
  </si>
  <si>
    <t>34-05-803/H-3.4</t>
  </si>
  <si>
    <t>CETP 09.00-E-306</t>
  </si>
  <si>
    <t>CETP 09.02-E-300</t>
  </si>
  <si>
    <t>ITE-000458</t>
  </si>
  <si>
    <t xml:space="preserve">FSE-I-DSE-C002 S11.1 </t>
  </si>
  <si>
    <t>PF.90160 9.7</t>
  </si>
  <si>
    <t>Q/JL J163015-2015</t>
  </si>
  <si>
    <t xml:space="preserve">
ES28530-02 5.2
ES28990-01 5.2
</t>
  </si>
  <si>
    <t xml:space="preserve"> </t>
    <phoneticPr fontId="22" type="noConversion"/>
  </si>
  <si>
    <t>Sum of engineering cost for CBU (excluding CBU core team / plant resourse):</t>
  </si>
  <si>
    <t>Sum of D&amp;D cost for License agreement (excluding plant resource):</t>
  </si>
  <si>
    <t>Sum of D&amp;D cost for BP:</t>
  </si>
  <si>
    <t>TOP</t>
  </si>
  <si>
    <t>Revision history:</t>
  </si>
  <si>
    <t>Revision date</t>
  </si>
  <si>
    <t>Comments</t>
  </si>
  <si>
    <t>Program: Cold End Simple</t>
    <phoneticPr fontId="22" type="noConversion"/>
  </si>
  <si>
    <t>Cost with quotation currency (CNY)</t>
  </si>
  <si>
    <t>2.1</t>
  </si>
  <si>
    <t>Program Development Leader</t>
  </si>
  <si>
    <t>China</t>
  </si>
  <si>
    <t>2.3</t>
  </si>
  <si>
    <t>2.4</t>
  </si>
  <si>
    <t>2.5</t>
  </si>
  <si>
    <t>2.9</t>
  </si>
  <si>
    <r>
      <rPr>
        <b/>
        <sz val="10"/>
        <color indexed="10"/>
        <rFont val="Century Gothic"/>
        <family val="2"/>
      </rPr>
      <t xml:space="preserve">Budget </t>
    </r>
    <r>
      <rPr>
        <b/>
        <sz val="10"/>
        <rFont val="Century Gothic"/>
        <family val="2"/>
      </rPr>
      <t>(Standard cost per phase)</t>
    </r>
  </si>
  <si>
    <t xml:space="preserve">Subtotal </t>
  </si>
  <si>
    <t>Program Management</t>
  </si>
  <si>
    <t>Program Purchase</t>
  </si>
  <si>
    <t>ASQ</t>
  </si>
  <si>
    <t>Program Quality</t>
  </si>
  <si>
    <t>Program development leader</t>
  </si>
  <si>
    <t>Product experts</t>
  </si>
  <si>
    <t>CAD Designer</t>
  </si>
  <si>
    <t>CAE prediction</t>
  </si>
  <si>
    <t>Program manufacturing leader</t>
  </si>
  <si>
    <t>Process experts</t>
  </si>
  <si>
    <t>Prototype - Internal use</t>
  </si>
  <si>
    <t>Other costs</t>
  </si>
  <si>
    <t>Test cost</t>
  </si>
  <si>
    <t>Total</t>
  </si>
  <si>
    <t>Scape rate (CBU quote to plant)</t>
  </si>
  <si>
    <t>Japan</t>
  </si>
  <si>
    <t>India</t>
  </si>
  <si>
    <t>Scape rate (Engineering quote to CBU)</t>
  </si>
  <si>
    <t>Testing cost +</t>
  </si>
  <si>
    <t>Others +</t>
  </si>
  <si>
    <t>Country</t>
  </si>
  <si>
    <t>New development</t>
  </si>
  <si>
    <t>AUDI</t>
  </si>
  <si>
    <t>Cold End Complex</t>
  </si>
  <si>
    <t>Argentina</t>
  </si>
  <si>
    <t>Lanus</t>
  </si>
  <si>
    <t>BAIC</t>
  </si>
  <si>
    <t>Cold End Simple</t>
  </si>
  <si>
    <t>Anting</t>
  </si>
  <si>
    <t>Variant</t>
  </si>
  <si>
    <t>BMW</t>
  </si>
  <si>
    <t>Diesel (DOC+DPF)</t>
  </si>
  <si>
    <t>BYD</t>
  </si>
  <si>
    <t>Diesel (DOC+DPF+SCR) Underfloor (with underfloor mixer &amp; underfloor SCR)</t>
  </si>
  <si>
    <t>Beilun</t>
  </si>
  <si>
    <t>EUR</t>
  </si>
  <si>
    <t>Built to print</t>
  </si>
  <si>
    <t>CHANGAN</t>
  </si>
  <si>
    <t>Diesel (DOC+SDPF) Compact (Compact mixer in CCC ex: U shape, Chistera...)</t>
  </si>
  <si>
    <t>Changchun</t>
  </si>
  <si>
    <t>NAO</t>
  </si>
  <si>
    <t>CheHeJia</t>
  </si>
  <si>
    <t>Manifold</t>
  </si>
  <si>
    <t>Changsha</t>
  </si>
  <si>
    <t>CHERY</t>
  </si>
  <si>
    <t xml:space="preserve">Maniverter </t>
  </si>
  <si>
    <t>Daimler</t>
  </si>
  <si>
    <t>Turbo HE</t>
  </si>
  <si>
    <t>DFM</t>
  </si>
  <si>
    <t>Turbo HE + UCC</t>
  </si>
  <si>
    <t>Chongqing</t>
  </si>
  <si>
    <t>UCC</t>
  </si>
  <si>
    <t>Cixi</t>
  </si>
  <si>
    <t>Box</t>
  </si>
  <si>
    <t>Foshan</t>
  </si>
  <si>
    <t>FORD</t>
  </si>
  <si>
    <t>Decomposition pipe</t>
  </si>
  <si>
    <t>Inline</t>
  </si>
  <si>
    <t>GAC</t>
  </si>
  <si>
    <t>Compact Mixer</t>
  </si>
  <si>
    <t>GEELY</t>
  </si>
  <si>
    <t>Switch back</t>
  </si>
  <si>
    <t>Liuzhou</t>
  </si>
  <si>
    <t>GM</t>
  </si>
  <si>
    <t>U-Mixer</t>
  </si>
  <si>
    <t>Nanchang</t>
  </si>
  <si>
    <t>GWM</t>
  </si>
  <si>
    <t>U-shape</t>
  </si>
  <si>
    <t>Nanjing</t>
  </si>
  <si>
    <t>Qingdao</t>
  </si>
  <si>
    <t>Tianjin</t>
  </si>
  <si>
    <t>HONDA</t>
  </si>
  <si>
    <t>Wuhan</t>
  </si>
  <si>
    <t>ISUZU</t>
  </si>
  <si>
    <t>Xiangyang</t>
  </si>
  <si>
    <t>JLR</t>
  </si>
  <si>
    <t>SAF</t>
  </si>
  <si>
    <t>Cap Town</t>
  </si>
  <si>
    <t>JMC</t>
  </si>
  <si>
    <t>Port Elisabeth</t>
  </si>
  <si>
    <t>Thailand</t>
  </si>
  <si>
    <t>Rayong</t>
  </si>
  <si>
    <t>CVI</t>
  </si>
  <si>
    <t>MAZDA</t>
  </si>
  <si>
    <t>BeiJing</t>
  </si>
  <si>
    <t>MITSUBISHI</t>
  </si>
  <si>
    <t>Weifang</t>
  </si>
  <si>
    <t>Ananthpur</t>
  </si>
  <si>
    <t>SAIC</t>
  </si>
  <si>
    <t>Bengaluru</t>
  </si>
  <si>
    <t>SGMW</t>
  </si>
  <si>
    <t>Chakan</t>
  </si>
  <si>
    <t>Chennai</t>
  </si>
  <si>
    <t>PUNE</t>
  </si>
  <si>
    <t>TOYOTA</t>
  </si>
  <si>
    <t>VOLVO</t>
  </si>
  <si>
    <t>SERES</t>
  </si>
  <si>
    <t>XPENG</t>
  </si>
  <si>
    <t>Koriyama</t>
  </si>
  <si>
    <t>X_Auto</t>
  </si>
  <si>
    <t>CAT</t>
  </si>
  <si>
    <t>Jangan</t>
  </si>
  <si>
    <t>CES</t>
  </si>
  <si>
    <t>Yeongcheon</t>
  </si>
  <si>
    <t>DFAC</t>
  </si>
  <si>
    <t>DFCV</t>
  </si>
  <si>
    <t>FAW-XiChai</t>
  </si>
  <si>
    <t>JMCH</t>
  </si>
  <si>
    <t>JOHN DEERE</t>
  </si>
  <si>
    <t>Komatsu</t>
  </si>
  <si>
    <t>SDEC</t>
  </si>
  <si>
    <t>WeiChai</t>
  </si>
  <si>
    <t>YuChai</t>
  </si>
  <si>
    <t>FCA</t>
  </si>
  <si>
    <t xml:space="preserve">Greaves </t>
  </si>
  <si>
    <t>KIA</t>
  </si>
  <si>
    <t>M&amp;M</t>
  </si>
  <si>
    <t>MG Motors</t>
  </si>
  <si>
    <t>Renault–Nissan</t>
  </si>
  <si>
    <t>Tata</t>
  </si>
  <si>
    <t>VW</t>
  </si>
  <si>
    <t>ASHOK LEYLAND</t>
  </si>
  <si>
    <t>Force Motors</t>
  </si>
  <si>
    <t>JCB</t>
  </si>
  <si>
    <t>SDF</t>
  </si>
  <si>
    <t>Sonalika (ITL)</t>
  </si>
  <si>
    <t>TAFE</t>
  </si>
  <si>
    <t>VOLVO EICHER</t>
  </si>
  <si>
    <t>Ford</t>
  </si>
  <si>
    <t>Honda</t>
  </si>
  <si>
    <t>RNM</t>
  </si>
  <si>
    <t>ISUZU </t>
  </si>
  <si>
    <t>Komatsu </t>
  </si>
  <si>
    <t>RSM</t>
  </si>
  <si>
    <t>DAEDONG</t>
  </si>
  <si>
    <t>DOOSAN</t>
  </si>
  <si>
    <t>Business trip</t>
  </si>
  <si>
    <t>Program Manufacturing Leader</t>
  </si>
  <si>
    <t>CAE</t>
  </si>
  <si>
    <t> </t>
  </si>
  <si>
    <t>Acoustic specialist</t>
  </si>
  <si>
    <t>Durability specialist</t>
  </si>
  <si>
    <t>Asia Expert</t>
  </si>
  <si>
    <t>CNY</t>
  </si>
  <si>
    <t>KRW</t>
  </si>
  <si>
    <t>JPY</t>
  </si>
  <si>
    <t>INR</t>
  </si>
  <si>
    <t>USD</t>
  </si>
  <si>
    <t>8.4.5 RATES</t>
  </si>
  <si>
    <t>Catalogue</t>
  </si>
  <si>
    <t>Task</t>
  </si>
  <si>
    <t>Spec owner</t>
  </si>
  <si>
    <t>Cold end - Pressure drop / Tail pipe noise / Order noise (Atmospheric Engine)</t>
  </si>
  <si>
    <t>Faurecia</t>
  </si>
  <si>
    <t>NA</t>
  </si>
  <si>
    <t>Cold end simple - Pressure drop / Tail pipe noise / Order noise (Turbo Engine)</t>
  </si>
  <si>
    <t>Cold end complex - Pressure drop / Tail pipe noise / Order noise (Turbo Engine)</t>
  </si>
  <si>
    <t>Transmission loss or insertion loss calculation (1 part)</t>
  </si>
  <si>
    <t>NVH EXA simulation by European supplier</t>
  </si>
  <si>
    <t>Hot end - Canning simulation</t>
  </si>
  <si>
    <t>Manifold / Maniverter / Diesel EU6 - Uniformity / Velocity / Hego index / Pressure drop / Temperature</t>
  </si>
  <si>
    <t> 24</t>
  </si>
  <si>
    <t>Diesel EU6 - Uniformity / Velocity / Hego index / Pressure drop / Temperature</t>
  </si>
  <si>
    <t>Turbo HE / UCC - Uniformity / Velocity / Hego index / Pressure drop / Temperature</t>
  </si>
  <si>
    <t>Hot end - Mat surface velocity calculation based on 3.7 or 3.8 or 3.9</t>
  </si>
  <si>
    <t>Hot end - Gamma / Velocity / Pressure drop</t>
  </si>
  <si>
    <t>CFD - Uniformity / Velocity / Pressure drop / Temperature - without compact mixer</t>
  </si>
  <si>
    <t>NH3 injection simulation based on 3.12 prerequisite - without compact mixer (3 EOP)</t>
  </si>
  <si>
    <t>CFD - Uniformity / Velocity / Pressure drop / Temperature - with compact mixer</t>
  </si>
  <si>
    <t>NH3 injection simulation based on 3.14 prerequisite - with compact mixer (3 EOP)</t>
  </si>
  <si>
    <t>Deposit risk evaluation - MCFM (3 EOP)</t>
  </si>
  <si>
    <t>Cold end - Tail pipe / muffler - Gas flow distribution / Pressure drop / Temperture</t>
  </si>
  <si>
    <t>Turbo HE / CC-GPF - Uniformity / Velocity / Hego index / Pressure drop / Temperature</t>
  </si>
  <si>
    <t>Turbo HE / UCC -  Heat transfer / Modal analysis / Thermal mechanical analysis - Major loop</t>
  </si>
  <si>
    <t>Manifold / Maniverter -  Heat transfer / Modal analysis / Thermal mechanical analysis - Minor loop</t>
  </si>
  <si>
    <t>Diesel EU6 -  Heat transfer / Modal analysis / Thermal mechanical analysis - Minor loop</t>
  </si>
  <si>
    <t>Turbo HE / UCC -  Heat transfer / Modal analysis / Thermal mechanical analysis - Minor loop</t>
  </si>
  <si>
    <t>Hot end - Heat Transfer / Natural Frequency / Force Response / Thermal Mechanical</t>
  </si>
  <si>
    <t>Cold end - Heat Transfer / Static Analysis / Dynamic Analysis / Component</t>
  </si>
  <si>
    <t>Cold end simple - mesh / 1G / 4G / Natural Frequency / components analysis</t>
  </si>
  <si>
    <t>Cold end complex - mesh / 1G / 4G / Natural Frequency / components analysis</t>
  </si>
  <si>
    <t>Cold end - Force response</t>
  </si>
  <si>
    <t>Cold end - Hanger &amp; shell modal analysis</t>
  </si>
  <si>
    <t>Cold end - Hanger DPDS (1 location)</t>
  </si>
  <si>
    <t>Cold end - NMD calculation</t>
  </si>
  <si>
    <t>Cold end - Optimization structure for stamp muffler</t>
  </si>
  <si>
    <t>Cold end - PT motion simulation</t>
  </si>
  <si>
    <t>Cold end - Static analysis (1 location)</t>
  </si>
  <si>
    <t>Nissan</t>
  </si>
  <si>
    <t>G loading / Modal analysis / 1G Loading / Component Modal / Component static &amp; stiffness / Engine Roll / Force response / Transient (Road surface) / Engine Vibration</t>
  </si>
  <si>
    <t>TMF Correlation for engineless - customer engine bench method</t>
  </si>
  <si>
    <t>CHD-P-DSE-U189</t>
  </si>
  <si>
    <t>Cold end - Static analysis and fatigue limit prediction(1 location)</t>
  </si>
  <si>
    <t>CHD-I-DSS-2806
CHD-I-DSE-F040</t>
  </si>
  <si>
    <t>Turbo HE /CC-GPF -  Heat transfer / Modal analysis / Thermal mechanical analysis - Major loop</t>
  </si>
  <si>
    <t>Digital Factory - Maniverter</t>
  </si>
  <si>
    <t>Digital Factory - Turbo HE</t>
  </si>
  <si>
    <t>Digital Factory - Diesel (DOC+DPF)</t>
  </si>
  <si>
    <t>Digital Factory - UCC</t>
  </si>
  <si>
    <t>Digital Factory - Turbo HE + UCC</t>
  </si>
  <si>
    <t>Digital Factory - Diesel (DOC+SDPF) Compact</t>
  </si>
  <si>
    <t>Digital Factory - Diesel (DOC+DPF+SCR) Underfloor</t>
  </si>
  <si>
    <t xml:space="preserve">Digital Factory - Cold end simple design </t>
  </si>
  <si>
    <t>VR cardboard - Turbo HE</t>
  </si>
  <si>
    <t>VR cardboard - Diesel (DOC+DPF)</t>
  </si>
  <si>
    <t>VR cardboard - UCC</t>
  </si>
  <si>
    <t>VR cardboard - Turbo HE + UCC</t>
  </si>
  <si>
    <t>VR cardboard - Diesel (DOC+SDPF) Compact</t>
  </si>
  <si>
    <t>VR cardboard - Diesel (DOC+DPF+SCR) Underfloor</t>
  </si>
  <si>
    <t xml:space="preserve">VR cardboard - Cold end simple design </t>
  </si>
  <si>
    <t>VR cardboard - Cold end complex</t>
  </si>
  <si>
    <t>VR cardboard - Box</t>
  </si>
  <si>
    <t>VR cardboard - In-Line</t>
  </si>
  <si>
    <t>VR cardboard - Switch back</t>
  </si>
  <si>
    <t>VR cardboard - U Shape</t>
  </si>
  <si>
    <t>CVE mock-up prototype</t>
  </si>
  <si>
    <t>CVE DV prototype</t>
  </si>
  <si>
    <t>Turbo HE (1 part)</t>
  </si>
  <si>
    <t>Cold end - 2 silencers (1 part)</t>
  </si>
  <si>
    <t>Cold end - 3 silencers (1 part)</t>
  </si>
  <si>
    <t>Maniverter (1 part)</t>
  </si>
  <si>
    <t>Silencer - Front (1 part)</t>
  </si>
  <si>
    <t>Silencer - Rear (1 part)</t>
  </si>
  <si>
    <t>Canning (1 part)</t>
  </si>
  <si>
    <t>Pipe + hanger (1 part)</t>
  </si>
  <si>
    <t>PV sample modification (1 part)</t>
  </si>
  <si>
    <t>MVP sample cost</t>
  </si>
  <si>
    <t>MVP tooling cost</t>
  </si>
  <si>
    <t>Prototype tooling cost</t>
  </si>
  <si>
    <t>Code</t>
  </si>
  <si>
    <t>Test domain</t>
  </si>
  <si>
    <t>Sample quantity</t>
  </si>
  <si>
    <t>A001</t>
  </si>
  <si>
    <t>Acoustic</t>
  </si>
  <si>
    <t>LVE</t>
  </si>
  <si>
    <t>Acoustic measurement (TPN, BP, Idle)</t>
  </si>
  <si>
    <t>Asia</t>
  </si>
  <si>
    <t>A002</t>
  </si>
  <si>
    <t>Tail pipe noise measurement</t>
  </si>
  <si>
    <t>A003</t>
  </si>
  <si>
    <t>Back pressure measurement</t>
  </si>
  <si>
    <t>A004</t>
  </si>
  <si>
    <t>Dynamic pressure measurement</t>
  </si>
  <si>
    <t>A005</t>
  </si>
  <si>
    <t>Engine performance / Characterization</t>
  </si>
  <si>
    <t>A006</t>
  </si>
  <si>
    <t>Idle noise measurement</t>
  </si>
  <si>
    <t>A007</t>
  </si>
  <si>
    <t>Radiated noise measurement</t>
  </si>
  <si>
    <t>A008</t>
  </si>
  <si>
    <t>Temperature measurement</t>
  </si>
  <si>
    <t>A009</t>
  </si>
  <si>
    <t>Back pressure measurement (on MT car)</t>
  </si>
  <si>
    <t>A010</t>
  </si>
  <si>
    <t>Interior noise measurement (on MT car)</t>
  </si>
  <si>
    <t>A011</t>
  </si>
  <si>
    <t>Radiated noise measurement (on MT car)</t>
  </si>
  <si>
    <t>A012</t>
  </si>
  <si>
    <t>Stationary noise Measurement (Idle &amp; Interior)</t>
  </si>
  <si>
    <t>A013</t>
  </si>
  <si>
    <t>Tail pipe noise measurement (on MT car)</t>
  </si>
  <si>
    <t>A014</t>
  </si>
  <si>
    <t>Acoustic measurement (TPN, Idle) (on MT car)</t>
  </si>
  <si>
    <t>A015</t>
  </si>
  <si>
    <t>Vehicle acoustic test on track</t>
  </si>
  <si>
    <t>A016</t>
  </si>
  <si>
    <t>Vehicle vibration measurement on track</t>
  </si>
  <si>
    <t>A017</t>
  </si>
  <si>
    <t>Cool down noise measurement</t>
  </si>
  <si>
    <t>A018</t>
  </si>
  <si>
    <t>A019</t>
  </si>
  <si>
    <t>Tail pipe Noise Measurement Test</t>
  </si>
  <si>
    <t>A020</t>
  </si>
  <si>
    <t>HMC</t>
  </si>
  <si>
    <t>A021</t>
  </si>
  <si>
    <t>Drainage ability test</t>
  </si>
  <si>
    <t>A022</t>
  </si>
  <si>
    <t>Exhaust noise test By vehicle chassis-dyno bench test）</t>
  </si>
  <si>
    <t>A023</t>
  </si>
  <si>
    <t>Shell radiation noise test</t>
  </si>
  <si>
    <t>A024</t>
  </si>
  <si>
    <t>Radiated noise measurement (on a MT car)</t>
  </si>
  <si>
    <t>A025</t>
  </si>
  <si>
    <t>Tail pipe noise measurement (on a MT car)</t>
  </si>
  <si>
    <t>A026</t>
  </si>
  <si>
    <t>Cool down noise for converter ASSY</t>
  </si>
  <si>
    <t>A027</t>
  </si>
  <si>
    <t>Tuning element condensate expulsion test</t>
  </si>
  <si>
    <t>A028</t>
  </si>
  <si>
    <t>Vehicle roller bench</t>
  </si>
  <si>
    <t>A029</t>
  </si>
  <si>
    <t>Acoustic measurement (TPN, BP, Idle) - Package</t>
  </si>
  <si>
    <t>A030</t>
  </si>
  <si>
    <t>Acoustic measurement (TPN, Idle) (on MT car) - Package</t>
  </si>
  <si>
    <t>A031</t>
  </si>
  <si>
    <t>A032</t>
  </si>
  <si>
    <t>Full exhaust condensate frozen test</t>
  </si>
  <si>
    <t>A033</t>
  </si>
  <si>
    <t>Exhaust Pressure</t>
  </si>
  <si>
    <t>A034</t>
  </si>
  <si>
    <t>Exhaust noise test for Vehicle</t>
  </si>
  <si>
    <t>Cold flow &amp; TL</t>
  </si>
  <si>
    <t>Transmission loss measurement with flow</t>
  </si>
  <si>
    <t>C002</t>
  </si>
  <si>
    <t>Equivalent section measurement</t>
  </si>
  <si>
    <t>C003</t>
  </si>
  <si>
    <t>Condensate evacuation</t>
  </si>
  <si>
    <t>C004</t>
  </si>
  <si>
    <t>Lean acoustic test for component</t>
  </si>
  <si>
    <t>C005</t>
  </si>
  <si>
    <t>C006</t>
  </si>
  <si>
    <t>Exhaust cold end internal corrosion test</t>
  </si>
  <si>
    <t>C007</t>
  </si>
  <si>
    <t>Cold flow back pressure test</t>
  </si>
  <si>
    <t>C008</t>
  </si>
  <si>
    <t>Transmission loss measurement</t>
  </si>
  <si>
    <t>C009</t>
  </si>
  <si>
    <t>CVE</t>
  </si>
  <si>
    <t>Cold flow back pressure measurement</t>
  </si>
  <si>
    <t>C010</t>
  </si>
  <si>
    <t>C011</t>
  </si>
  <si>
    <t>Flow noise test</t>
  </si>
  <si>
    <t>C012</t>
  </si>
  <si>
    <t>Equivalent section measurement - Package</t>
  </si>
  <si>
    <t>Engine Dura. Bench</t>
  </si>
  <si>
    <t>Engine vibration endurance - 10M cycles per resonance</t>
  </si>
  <si>
    <t>Thermal shock endurance - 1000 cycles</t>
  </si>
  <si>
    <t>D003</t>
  </si>
  <si>
    <t>Thermal shock endurance - 1500 cycles</t>
  </si>
  <si>
    <t>D004</t>
  </si>
  <si>
    <t>Thermal shock endurance - 1200 cycles</t>
  </si>
  <si>
    <t xml:space="preserve">PSA </t>
  </si>
  <si>
    <t>D005</t>
  </si>
  <si>
    <t>Vibration analysis on complete system</t>
  </si>
  <si>
    <t>D006</t>
  </si>
  <si>
    <t>Force effect on bracket measurement</t>
  </si>
  <si>
    <t>D007</t>
  </si>
  <si>
    <t>High speed dynamometer test</t>
  </si>
  <si>
    <t>D008</t>
  </si>
  <si>
    <t>Engine vibration endurance test</t>
  </si>
  <si>
    <t>RSA</t>
  </si>
  <si>
    <t>D009</t>
  </si>
  <si>
    <t>Glass wool validation test</t>
  </si>
  <si>
    <t>D010</t>
  </si>
  <si>
    <t>Hot vibration with simulation engine rock</t>
  </si>
  <si>
    <t>D011</t>
  </si>
  <si>
    <t>Hanger force measurement</t>
  </si>
  <si>
    <t>D012</t>
  </si>
  <si>
    <t>Motoring thermal shock test 200h</t>
  </si>
  <si>
    <t>D013</t>
  </si>
  <si>
    <t>D014</t>
  </si>
  <si>
    <t>Full load test 300h</t>
  </si>
  <si>
    <t>D015</t>
  </si>
  <si>
    <t>Resonance durability on engine bench</t>
  </si>
  <si>
    <t>D016</t>
  </si>
  <si>
    <t>Thermal shock test 600h</t>
  </si>
  <si>
    <t xml:space="preserve">EHRS </t>
  </si>
  <si>
    <t>Radiation noise test</t>
  </si>
  <si>
    <t>E002</t>
  </si>
  <si>
    <t>Stiffness measurement test</t>
  </si>
  <si>
    <t>E003</t>
  </si>
  <si>
    <t>Resonance frequency measurement test</t>
  </si>
  <si>
    <t>E004</t>
  </si>
  <si>
    <t>Full Integrated thermal fatigue (external) and internal thermal shock test</t>
  </si>
  <si>
    <t>ES28600-24 6.7</t>
  </si>
  <si>
    <t>E005</t>
  </si>
  <si>
    <t>Full Vibration durability test</t>
  </si>
  <si>
    <t>ES28600-24 12</t>
  </si>
  <si>
    <t>E006</t>
  </si>
  <si>
    <t>Full Pressure fatigue durability test (light impact, Heavy impact)</t>
  </si>
  <si>
    <t>ES28600-24 6.8</t>
  </si>
  <si>
    <t>E007</t>
  </si>
  <si>
    <t>Full Integrated corrosion environment test [3 parts]</t>
  </si>
  <si>
    <t>ES28600-24 6.11</t>
  </si>
  <si>
    <t>E008</t>
  </si>
  <si>
    <t>Full High temperature durability test for By-pass valve and moving parts</t>
  </si>
  <si>
    <t>ES28600-24 6.13</t>
  </si>
  <si>
    <t>E009</t>
  </si>
  <si>
    <t>Full Low temperature durability test for By-pass valve and moving parts</t>
  </si>
  <si>
    <t>E010</t>
  </si>
  <si>
    <t>Full Mud environment durability test</t>
  </si>
  <si>
    <t>ES28600-24 6.15</t>
  </si>
  <si>
    <t>E011</t>
  </si>
  <si>
    <t>Full Gas pulsation/acceleration cycles on engine bench 800 cycles</t>
  </si>
  <si>
    <t>Internal DVP</t>
  </si>
  <si>
    <t>E012</t>
  </si>
  <si>
    <t>Full Endurance test for valve on engine bench (with vacuum actuation) 73,000 cycles</t>
  </si>
  <si>
    <t>E013</t>
  </si>
  <si>
    <t>Full Actuator cycling test @ 20,000 cycles for only cold condition [3 parts]</t>
  </si>
  <si>
    <t>E014</t>
  </si>
  <si>
    <t>Noise test for By-pass valve and moving parts -Operating noise</t>
  </si>
  <si>
    <t>ES28600-24 6.2-(1)</t>
  </si>
  <si>
    <t>E015</t>
  </si>
  <si>
    <t>Noise test for By-pass valve and moving parts -Vibration noise</t>
  </si>
  <si>
    <t>ES28600-24 6.2-(2)</t>
  </si>
  <si>
    <t>E016</t>
  </si>
  <si>
    <t>Performance test for Bypass valve and moving parts with Thermal regulator</t>
  </si>
  <si>
    <t>ES28600-24 6.5-(1)</t>
  </si>
  <si>
    <t>E017</t>
  </si>
  <si>
    <t>Performance test for Bypass valve and moving parts with cold flow bench</t>
  </si>
  <si>
    <t>ES28600-24 6.5-(2)</t>
  </si>
  <si>
    <t>E018</t>
  </si>
  <si>
    <t>Performance test</t>
  </si>
  <si>
    <t>ES28600-24 6.17</t>
  </si>
  <si>
    <t>E019</t>
  </si>
  <si>
    <t>Leakage</t>
  </si>
  <si>
    <t>ES28600-24 6.6</t>
  </si>
  <si>
    <t>E020</t>
  </si>
  <si>
    <t>City mode (internal) thermal shock test</t>
  </si>
  <si>
    <t>E021</t>
  </si>
  <si>
    <t>Integrated thermal fatigue (external)</t>
  </si>
  <si>
    <t>E022</t>
  </si>
  <si>
    <t>Vibration durability test</t>
  </si>
  <si>
    <t>ES28600-24 6.12</t>
  </si>
  <si>
    <t>E023</t>
  </si>
  <si>
    <t>Light impact (73,000) in Pressure fatigue before heavy impact</t>
  </si>
  <si>
    <t>ES28600-24 6.8-(1)</t>
  </si>
  <si>
    <t>E024</t>
  </si>
  <si>
    <t>Light impact (660,000) in Pressure fatigue before heavy impact</t>
  </si>
  <si>
    <t>ES28600-24 6.8-(2)</t>
  </si>
  <si>
    <t>E025</t>
  </si>
  <si>
    <t>Heavy impact in Pressure fatigue after shaker testing</t>
  </si>
  <si>
    <t>ES28600-24 6.8-(3)</t>
  </si>
  <si>
    <t>E026</t>
  </si>
  <si>
    <t>Integrated corrosion environment test [3 parts]</t>
  </si>
  <si>
    <t>E027</t>
  </si>
  <si>
    <t>High way mode in High temperature durability</t>
  </si>
  <si>
    <t>E028</t>
  </si>
  <si>
    <t>Low temp. durability test and environment [2 parts]</t>
  </si>
  <si>
    <t>E029</t>
  </si>
  <si>
    <t>Coolant frozen and condensate water frozen test [2 parts]</t>
  </si>
  <si>
    <t>E030</t>
  </si>
  <si>
    <t>Gas pulsation/acceleration cycles on engine bench 800 cycles</t>
  </si>
  <si>
    <t>ES28600-24 6.2</t>
  </si>
  <si>
    <t>E031</t>
  </si>
  <si>
    <t>Endurance test for valve on engine bench (with vacuum actuation) 73,000 cycles</t>
  </si>
  <si>
    <t>Fatigue test</t>
  </si>
  <si>
    <t>Mono-axis fatigue test - DV</t>
  </si>
  <si>
    <t>F002</t>
  </si>
  <si>
    <t>Mono-axis fatigue test - PV</t>
  </si>
  <si>
    <t>F003</t>
  </si>
  <si>
    <t>PSA</t>
  </si>
  <si>
    <t>F004</t>
  </si>
  <si>
    <t>F005</t>
  </si>
  <si>
    <t>F006</t>
  </si>
  <si>
    <t>F007</t>
  </si>
  <si>
    <t>Mono-axis fatigue test</t>
  </si>
  <si>
    <t>Audi</t>
  </si>
  <si>
    <t>F008</t>
  </si>
  <si>
    <t>F009</t>
  </si>
  <si>
    <t>Bi-axes fatigue test - hanger</t>
  </si>
  <si>
    <t>F010</t>
  </si>
  <si>
    <t>F011</t>
  </si>
  <si>
    <t>F012</t>
  </si>
  <si>
    <t>F013</t>
  </si>
  <si>
    <t>Bi-axes fatigue test</t>
  </si>
  <si>
    <t>F014</t>
  </si>
  <si>
    <t>F015</t>
  </si>
  <si>
    <t>F016</t>
  </si>
  <si>
    <t>F017</t>
  </si>
  <si>
    <t>F018</t>
  </si>
  <si>
    <t>Mono-axis fatigue test - Pipe</t>
  </si>
  <si>
    <t>F019</t>
  </si>
  <si>
    <t>Mono-axis fatigue test - Hanger</t>
  </si>
  <si>
    <t>F020</t>
  </si>
  <si>
    <t>Hot vibration manifold joint durability</t>
  </si>
  <si>
    <t>F021</t>
  </si>
  <si>
    <t>Fatigue test (simulation)_hanger</t>
  </si>
  <si>
    <t>F022</t>
  </si>
  <si>
    <t>Fatigue test (simulation)_pipe</t>
  </si>
  <si>
    <t>F023</t>
  </si>
  <si>
    <t>Fatigue test (S-N curve)_hanger</t>
  </si>
  <si>
    <t>F024</t>
  </si>
  <si>
    <t>Fatigue test (S-N curve)_pipe</t>
  </si>
  <si>
    <t>F025</t>
  </si>
  <si>
    <t>Valve hot durability test</t>
  </si>
  <si>
    <t>F026</t>
  </si>
  <si>
    <t>Mono-axis stress life fatigue curves (S/N) - (2 load * 6) 10hz</t>
  </si>
  <si>
    <t>F027</t>
  </si>
  <si>
    <t>Bi-axes stress life fatigue curves (S/N) - (2 load * 6) 10hz</t>
  </si>
  <si>
    <t>F028</t>
  </si>
  <si>
    <t>Mono-axis stress life fatigue curves (S/N) - (1 load * 6) 10hz</t>
  </si>
  <si>
    <t>F029</t>
  </si>
  <si>
    <t>Bi-axes stress life fatigue curves (S/N) - (1 load * 6) 10hz</t>
  </si>
  <si>
    <t>F030</t>
  </si>
  <si>
    <t>Mono-axis hot fatigue test</t>
  </si>
  <si>
    <t>F031</t>
  </si>
  <si>
    <t>Bi-axes hot fatigue test</t>
  </si>
  <si>
    <t>F032</t>
  </si>
  <si>
    <t>Hot vibration manifold joint durability test</t>
  </si>
  <si>
    <t>F033</t>
  </si>
  <si>
    <t>Mount Bracket Durability</t>
  </si>
  <si>
    <t>NISSAN</t>
  </si>
  <si>
    <t>F034</t>
  </si>
  <si>
    <t>Engine roll test</t>
  </si>
  <si>
    <t>F035</t>
  </si>
  <si>
    <t>component fatigue test-CVE DV</t>
  </si>
  <si>
    <t>F036</t>
  </si>
  <si>
    <t>component fatigue test-CVE PV</t>
  </si>
  <si>
    <t>F044</t>
  </si>
  <si>
    <t>Bi-axes fatigue test - inlet &amp; outlet</t>
  </si>
  <si>
    <t>Benz</t>
  </si>
  <si>
    <t>F045</t>
  </si>
  <si>
    <t>Mono-axes fatigue test - hanger &amp; bracket</t>
  </si>
  <si>
    <t>H.V</t>
  </si>
  <si>
    <t>Converter hot vibration test (new mat type)</t>
  </si>
  <si>
    <t>H002</t>
  </si>
  <si>
    <t>Converter hot vibration test</t>
  </si>
  <si>
    <t>H003</t>
  </si>
  <si>
    <t>Catalytic Converter / DPF hot vibration test - standard steps</t>
  </si>
  <si>
    <t>H004</t>
  </si>
  <si>
    <t>Catalytic Converter / DPF hot vibration test - combined steps</t>
  </si>
  <si>
    <t>H005</t>
  </si>
  <si>
    <t>Catalytic Converter / DPF hot vibration test - hot shake Only</t>
  </si>
  <si>
    <t>H006</t>
  </si>
  <si>
    <t>H007</t>
  </si>
  <si>
    <t>H008</t>
  </si>
  <si>
    <t>H009</t>
  </si>
  <si>
    <t>Physical durability aging cycle - DV</t>
  </si>
  <si>
    <t>H010</t>
  </si>
  <si>
    <t>Physical durability aging cycle - DV new</t>
  </si>
  <si>
    <t>H011</t>
  </si>
  <si>
    <t>Physical durability aging cycle - PV</t>
  </si>
  <si>
    <t>H012</t>
  </si>
  <si>
    <t>Physical durability aging cycle - PV new</t>
  </si>
  <si>
    <t>H013</t>
  </si>
  <si>
    <t>Substrate cold vibration aging cycle</t>
  </si>
  <si>
    <t>H014</t>
  </si>
  <si>
    <t>Substrate cold vibration aging cycle - new DV</t>
  </si>
  <si>
    <t>H015</t>
  </si>
  <si>
    <t>Substrate cold vibration aging cycle - new PV</t>
  </si>
  <si>
    <t>H016</t>
  </si>
  <si>
    <t>Gasoline catalyst hot &amp; cold vibration test</t>
  </si>
  <si>
    <t>H017</t>
  </si>
  <si>
    <t>Diesel DOC &amp; DPF cold vibration test</t>
  </si>
  <si>
    <t>H018</t>
  </si>
  <si>
    <t>Diesel DOC &amp; DPF hot vibration test</t>
  </si>
  <si>
    <t>H019</t>
  </si>
  <si>
    <t>Hot vibration - normal mat</t>
  </si>
  <si>
    <t>H020</t>
  </si>
  <si>
    <t>Hot vibration - intumescent mat</t>
  </si>
  <si>
    <t>H021</t>
  </si>
  <si>
    <t>Diesel Particulate Filter assembly test</t>
  </si>
  <si>
    <t>H022</t>
  </si>
  <si>
    <t>Global catalytic converter - cold shake test</t>
  </si>
  <si>
    <t>H023</t>
  </si>
  <si>
    <t>Global catalytic converter - hot shake test</t>
  </si>
  <si>
    <t>H024</t>
  </si>
  <si>
    <t>Global catalytic converter - water quench test</t>
  </si>
  <si>
    <t>H025</t>
  </si>
  <si>
    <t>Canning validation - Gasoline</t>
  </si>
  <si>
    <t>H026</t>
  </si>
  <si>
    <t>Canning validation - gasoline - DV</t>
  </si>
  <si>
    <t>H027</t>
  </si>
  <si>
    <t>Canning validation - gasoline - PV</t>
  </si>
  <si>
    <t>H028</t>
  </si>
  <si>
    <t>Catalytic converter &amp; pipe heat shield structural durability</t>
  </si>
  <si>
    <t>H029</t>
  </si>
  <si>
    <t>Catalytic converter water quench Key Life Test (KLT)</t>
  </si>
  <si>
    <t>H030</t>
  </si>
  <si>
    <t>Catalytic converter hot vibration Key Life Test (KLT)</t>
  </si>
  <si>
    <t>H031</t>
  </si>
  <si>
    <t>Hot shake test of ceramic catalysts</t>
  </si>
  <si>
    <t>H032</t>
  </si>
  <si>
    <t>Global emission assembly mechanical step stress test (for DPF &amp; SCR)</t>
  </si>
  <si>
    <t>H033</t>
  </si>
  <si>
    <t>Global emission assembly mechanical step stress test</t>
  </si>
  <si>
    <t>H035</t>
  </si>
  <si>
    <t>Hot vibration</t>
  </si>
  <si>
    <t>Engine vibration test</t>
  </si>
  <si>
    <t>Direct Insulation Durability Test DV (on shaker bench)</t>
  </si>
  <si>
    <t>Direct Insulation Durability Test PV (on shaker bench) (no design or process change)</t>
  </si>
  <si>
    <t>Canning validation section 1 - Hot shaker</t>
  </si>
  <si>
    <t>Full system hot shake test  (75h for 1 axis)</t>
  </si>
  <si>
    <t>Weichai</t>
  </si>
  <si>
    <t>CVE assembly hot vibration test(3 samples)</t>
  </si>
  <si>
    <t>Hot shaker for canning validation (50h for 1 sample)</t>
  </si>
  <si>
    <t>Hot shaker for canning validation (100h thermal + 15 h hot shaker for 1 sample)</t>
  </si>
  <si>
    <t>Hot shaker - random</t>
  </si>
  <si>
    <t>Canning validation</t>
  </si>
  <si>
    <t>Full system hot shake test (50h for 1 axis)</t>
  </si>
  <si>
    <t>CVE assembly hot vibration test(1 sample)</t>
  </si>
  <si>
    <t>CVE assembly hot vibration test (1 sample sweeping)</t>
  </si>
  <si>
    <t>Material</t>
  </si>
  <si>
    <t>Post Analysis HE / CE (L + DP)</t>
  </si>
  <si>
    <t>M002</t>
  </si>
  <si>
    <t>Post Analysis - Canning (PO + GBD + TD)</t>
  </si>
  <si>
    <t>M003</t>
  </si>
  <si>
    <t>Failure part analysis</t>
  </si>
  <si>
    <t>M004</t>
  </si>
  <si>
    <t>Chemical composition analysis [2 parts]</t>
  </si>
  <si>
    <t>M005</t>
  </si>
  <si>
    <t>Welding section analysis [10 sections]</t>
  </si>
  <si>
    <t>M006</t>
  </si>
  <si>
    <t>Salt spray test</t>
  </si>
  <si>
    <t>M007</t>
  </si>
  <si>
    <t>Material Validation HE [1 grade]</t>
  </si>
  <si>
    <t>M008</t>
  </si>
  <si>
    <t>Material Validation CE [1 grade]</t>
  </si>
  <si>
    <t>M009</t>
  </si>
  <si>
    <t>Benchmark HE / CE [1 system: ~15 points]</t>
  </si>
  <si>
    <t>M010</t>
  </si>
  <si>
    <t>Corrosion analysis (1 CE system)</t>
  </si>
  <si>
    <t>M011</t>
  </si>
  <si>
    <t>Micro Vickers hardness test [3 points]</t>
  </si>
  <si>
    <t>M012</t>
  </si>
  <si>
    <t>Tensile test [3 samples]</t>
  </si>
  <si>
    <t>M013</t>
  </si>
  <si>
    <t>Oven ageing (1h / no preparation)</t>
  </si>
  <si>
    <t>M014</t>
  </si>
  <si>
    <t>Salt Spray test</t>
  </si>
  <si>
    <t>M015</t>
  </si>
  <si>
    <t>accelerated corrosion - HMC</t>
  </si>
  <si>
    <t>Cyclic Corrosion Test</t>
  </si>
  <si>
    <t>Post Analysis - CVI sample
(every single box/in-line sys)</t>
  </si>
  <si>
    <t>FSE-P-DSE-U120- Post Analysis of Exhaust System Components</t>
  </si>
  <si>
    <t>NVH</t>
  </si>
  <si>
    <t>Hanger frequency measurement</t>
  </si>
  <si>
    <t>N002</t>
  </si>
  <si>
    <t>Shell stiffness measurement</t>
  </si>
  <si>
    <t>N003</t>
  </si>
  <si>
    <t>Condensate noise test</t>
  </si>
  <si>
    <t>N004</t>
  </si>
  <si>
    <t>Modal analysis</t>
  </si>
  <si>
    <t>N005</t>
  </si>
  <si>
    <t>Modal analysis - full system with mode of vibration</t>
  </si>
  <si>
    <t>N006</t>
  </si>
  <si>
    <t>Full system modal analysis</t>
  </si>
  <si>
    <t>N007</t>
  </si>
  <si>
    <t>Exhaust side hanger Drive Point Dynamic Stiffness (DPDS) [1 hanger]</t>
  </si>
  <si>
    <t>N008</t>
  </si>
  <si>
    <t>Engine vibration measurement</t>
  </si>
  <si>
    <t>N009</t>
  </si>
  <si>
    <t>N010</t>
  </si>
  <si>
    <t>Vehicle vibration measurement</t>
  </si>
  <si>
    <t>N011</t>
  </si>
  <si>
    <t>Exhaust noise test By Proving Ground vehicle test）</t>
  </si>
  <si>
    <t>Others</t>
  </si>
  <si>
    <t>Push-out test</t>
  </si>
  <si>
    <t>Valve spring rate measurement</t>
  </si>
  <si>
    <t>O003</t>
  </si>
  <si>
    <t>Valve thermal shock test</t>
  </si>
  <si>
    <t>O004</t>
  </si>
  <si>
    <t>Valve cold resistance test</t>
  </si>
  <si>
    <t>O005</t>
  </si>
  <si>
    <t>Static characteristic for rubber hanger</t>
  </si>
  <si>
    <t>O006</t>
  </si>
  <si>
    <t>Dynamic characteristic for rubber hanger</t>
  </si>
  <si>
    <t>O007</t>
  </si>
  <si>
    <t>Urea crystallization test (6 EOP) on CVE engine bench</t>
  </si>
  <si>
    <t>O008</t>
  </si>
  <si>
    <t>Ammonia uniformity measurement test (4 EOP) on CVE engine bench</t>
  </si>
  <si>
    <t>O009</t>
  </si>
  <si>
    <t>Urea crystallization test (12 EOP) on CVE engine bench</t>
  </si>
  <si>
    <t>O010</t>
  </si>
  <si>
    <t>transient deposit test</t>
  </si>
  <si>
    <t>O011</t>
  </si>
  <si>
    <t>Workshop</t>
  </si>
  <si>
    <t>Engine preparation (+ set-up dyno with running in &amp; performance check test)</t>
  </si>
  <si>
    <t>O012</t>
  </si>
  <si>
    <t>Normal external leakage test</t>
  </si>
  <si>
    <t>RLDA</t>
  </si>
  <si>
    <t>RLDA on proving ground - 1 for temperature + 1 for cold strain gauge</t>
  </si>
  <si>
    <t>R002</t>
  </si>
  <si>
    <t>RLDA on proving ground</t>
  </si>
  <si>
    <t>R003</t>
  </si>
  <si>
    <t>R004</t>
  </si>
  <si>
    <t>Strain gauge measurement - roller dyno</t>
  </si>
  <si>
    <t>Volvo</t>
  </si>
  <si>
    <t>R005</t>
  </si>
  <si>
    <t>FRA measurement - roller dyno</t>
  </si>
  <si>
    <t>R006</t>
  </si>
  <si>
    <t>RLDA on proving ground - hot strain gauge</t>
  </si>
  <si>
    <t>Thermal</t>
  </si>
  <si>
    <t>Thermal fatigue / Thermal shock test</t>
  </si>
  <si>
    <t>T002</t>
  </si>
  <si>
    <t>Cold end thermal shock test (7min-7min) @ 1500 cycles
1. Max mass flow rate:500 kg/h
2. Two samples have to be tested at same time</t>
  </si>
  <si>
    <t>T003</t>
  </si>
  <si>
    <t>Cold end thermal shock test (5min-5min) @ 1000 cycles
1. Max mass flow rate:500 kg/h
2. Two samples have to be tested at same time</t>
  </si>
  <si>
    <t>T004</t>
  </si>
  <si>
    <t>Cold end thermal shock test (5min-5min) @ 1600 cycles
1. Max mass flow rate:500 kg/h
2. Two samples have to be tested at same time</t>
  </si>
  <si>
    <t>T005</t>
  </si>
  <si>
    <t>Cold end thermal shock test (9min-7min) @ 1000 cycles
1. Max mass flow rate:500 kg/h
2. Two samples have to be tested at same time</t>
  </si>
  <si>
    <t>T006</t>
  </si>
  <si>
    <t>T007</t>
  </si>
  <si>
    <t>T008</t>
  </si>
  <si>
    <t>T009</t>
  </si>
  <si>
    <t>T010</t>
  </si>
  <si>
    <t>Hot end thermal Fatigue test - Gasoline</t>
  </si>
  <si>
    <t>T011</t>
  </si>
  <si>
    <t>Hot end water quench test - Gasoline</t>
  </si>
  <si>
    <t>T012</t>
  </si>
  <si>
    <t>Hot end water quench test - Diesel DOC &amp; DPF</t>
  </si>
  <si>
    <t>T013</t>
  </si>
  <si>
    <t>Hot end thermal Fatigue test - Diesel DOC &amp; DPF</t>
  </si>
  <si>
    <t>T014</t>
  </si>
  <si>
    <t>Cold end thermal shock with water quench</t>
  </si>
  <si>
    <t>T015</t>
  </si>
  <si>
    <t>Container thermal shock aging cycle - new</t>
  </si>
  <si>
    <t>T016</t>
  </si>
  <si>
    <t>Substrate thermal shock aging cycle - new</t>
  </si>
  <si>
    <t>T017</t>
  </si>
  <si>
    <t>T018</t>
  </si>
  <si>
    <t>Cold end thermal cycle test</t>
  </si>
  <si>
    <t>T019</t>
  </si>
  <si>
    <t>Cold end water quenching test</t>
  </si>
  <si>
    <t>T020</t>
  </si>
  <si>
    <t>Thermal shock converter - water quench</t>
  </si>
  <si>
    <t>T021</t>
  </si>
  <si>
    <t>Thermal fatigue rig test - cold end</t>
  </si>
  <si>
    <t>T022</t>
  </si>
  <si>
    <t>Catalytic converter thermal profile Key Life Test (KLT)</t>
  </si>
  <si>
    <t>T023</t>
  </si>
  <si>
    <t>Exhaust system thermal cycle test</t>
  </si>
  <si>
    <t>T025</t>
  </si>
  <si>
    <t>Canning validation section 2 - Thermal shock</t>
  </si>
  <si>
    <t>T026</t>
  </si>
  <si>
    <t>Converter thermal shock</t>
  </si>
  <si>
    <t>T027</t>
  </si>
  <si>
    <t>Thermal cycle durability</t>
  </si>
  <si>
    <t>T028</t>
  </si>
  <si>
    <t>Deformation due to steam</t>
  </si>
  <si>
    <t>T029</t>
  </si>
  <si>
    <t>Condensate</t>
  </si>
  <si>
    <t>T030</t>
  </si>
  <si>
    <t>Thermal shock durability - Water Quench</t>
  </si>
  <si>
    <t>T031</t>
  </si>
  <si>
    <t>Thermal fatigue rig test - hot end</t>
  </si>
  <si>
    <t>T032</t>
  </si>
  <si>
    <t>water quench test</t>
  </si>
  <si>
    <t>Geely</t>
  </si>
  <si>
    <t>T033</t>
  </si>
  <si>
    <t>water quench test &amp; hot shaker</t>
  </si>
  <si>
    <t>T034</t>
  </si>
  <si>
    <t>Urea complex corrosion test</t>
  </si>
  <si>
    <t>Thermal shock test (1000 cycles x 10 min)</t>
  </si>
  <si>
    <t>Water quench test</t>
  </si>
  <si>
    <t>Thermal shock test (2000 cycles x 10 min)</t>
  </si>
  <si>
    <t>R007</t>
  </si>
  <si>
    <t xml:space="preserve">HE Engineless validation input data acquisition (on PG/Engine bench/Dyno bench) </t>
  </si>
  <si>
    <t>T038</t>
  </si>
  <si>
    <t>HE Engineless burner thermal shock test (1,000 cycles)</t>
  </si>
  <si>
    <t>H056</t>
  </si>
  <si>
    <t>HE Engineless shaker vibration test (3 direction)</t>
  </si>
  <si>
    <t>F046</t>
  </si>
  <si>
    <t>Exhaust System Hanger Component Durability Test and Validation For Use Without Physically Measured Strain Data</t>
  </si>
  <si>
    <t>GMW16941</t>
  </si>
  <si>
    <t>F047</t>
  </si>
  <si>
    <t>Exhaust System Welded Connection Durability Test and Validation For Use Without Physically Measured Strain Data</t>
  </si>
  <si>
    <t>GMW18104</t>
  </si>
  <si>
    <t>O013</t>
  </si>
  <si>
    <t>Sample Inspection (CMM+Mass+Appearance)</t>
  </si>
  <si>
    <t>CHD-I-DSE-2178</t>
  </si>
  <si>
    <t>D&amp;D Cost Template 轻量化 / VBA 更新需求整理</t>
  </si>
  <si>
    <t>生成目的</t>
  </si>
  <si>
    <t>将用户保留/删除/拆分诉求结构化，供下游同事更新 VBA、公式引用、说明页和交付包。</t>
  </si>
  <si>
    <t>重要说明</t>
  </si>
  <si>
    <t>当前环境可读取工作表结构和公式依赖，但不能直接读取 VBA 项目模块代码；下游需结合实际 VBA 过程名进行映射。</t>
  </si>
  <si>
    <t>模块/页面</t>
  </si>
  <si>
    <t>当前状态</t>
  </si>
  <si>
    <t>目标处理</t>
  </si>
  <si>
    <t>VBA/公式更新点</t>
  </si>
  <si>
    <t>主文件拆分后功能定位</t>
  </si>
  <si>
    <t>状态/优先级</t>
  </si>
  <si>
    <t>Project information</t>
  </si>
  <si>
    <t>A1:G20；第12-15行包含 Currency used for quotation / Exchange rate 转换逻辑，公式引用 Exchange rate。</t>
  </si>
  <si>
    <t>取消第12-15行 currency 转换功能；其它项目信息和功能保留。</t>
  </si>
  <si>
    <t>删除或隐藏 A12:G15 相关输入、公式、校验和事件触发；移除对 Exchange rate 的依赖；若 VBA 写入/读取 A13 或汇率行，需要同步删除。</t>
  </si>
  <si>
    <t>保留为主文件的项目信息输入页，仅维护项目基础信息，不再承担多币种换算。</t>
  </si>
  <si>
    <t>高</t>
  </si>
  <si>
    <t>D&amp;D cost quotation</t>
  </si>
  <si>
    <t>A1:BA410；存在 Task location 字段，N列为 Cost with task location currency，U列为 Cost with quotation currency。公式大量引用标准成本/工时/汇率页。</t>
  </si>
  <si>
    <t>取消 Task location 列及 Cost with task location currency 相关列；只保留人民币报价。</t>
  </si>
  <si>
    <t>删除 Task location 输入/下拉/筛选/保护逻辑；删除或改写 N列及相关汇率换算公式；将最终报价口径固定为人民币；检查打印区域、隐藏列、复制粘贴、导出PDF等宏是否引用原列号。</t>
  </si>
  <si>
    <t>主文件核心报价页：输入项目和报价需求后，输出人民币 D&amp;D cost quotation；不再展示任务地点币种金额。</t>
  </si>
  <si>
    <t>D&amp;D Cost for plant with margin</t>
  </si>
  <si>
    <t>A1:AL18，独立工作表。</t>
  </si>
  <si>
    <t>整张工作表取消。</t>
  </si>
  <si>
    <t>删除工作表创建、刷新、跳转、保护、打印、导出、复制到新文件等 VBA 入口；清理任何公式/名称/按钮对该表的引用。</t>
  </si>
  <si>
    <t>主文件不再提供 plant with margin 视图。</t>
  </si>
  <si>
    <t>For Finance Control</t>
  </si>
  <si>
    <t>A2:G29。当前未发现主保留页公式依赖标准成本拆分页。</t>
  </si>
  <si>
    <t>待定：保留/删除/拆分需业务确认。</t>
  </si>
  <si>
    <t>先不要硬删 VBA；建议加开关或保留模块入口，待 Finance 确认后再清理。</t>
  </si>
  <si>
    <t>待定；若保留，则作为财务控制辅助输出页。</t>
  </si>
  <si>
    <t>待定</t>
  </si>
  <si>
    <t>A1:AT103；被 D&amp;D cost quotation 公式引用。</t>
  </si>
  <si>
    <t>拆分到另一个文件，内容和结构暂时不变。</t>
  </si>
  <si>
    <t>主文件中所有直接引用需改为：外部链接、导入缓存、Power Query/复制快照，或由 VBA 打开拆分文件读取。需定义拆分文件路径和版本校验。</t>
  </si>
  <si>
    <t>不属于主文件；作为标准参数源。</t>
  </si>
  <si>
    <t>Standard hourly rate</t>
  </si>
  <si>
    <t>A1:M14；被 D&amp;D cost quotation 公式引用。</t>
  </si>
  <si>
    <t>同上；重点检查按 location/plant/rate 查找的 INDEX/MATCH 公式和 VBA 填充逻辑。</t>
  </si>
  <si>
    <t>不属于主文件；作为标准 hourly rate 数据源。</t>
  </si>
  <si>
    <t>A1:G23；Project information 与 D&amp;D cost quotation 公式引用。</t>
  </si>
  <si>
    <t>拆分到另一个文件；主文件取消 currency 转换后应尽量不再依赖。</t>
  </si>
  <si>
    <t>若主文件仅保留人民币报价，应清除主文件对 Exchange rate 的公式/VBA依赖；拆分文件保留原结构供历史或独立维护。</t>
  </si>
  <si>
    <t>主文件原则上不使用汇率；仅人民币报价。</t>
  </si>
  <si>
    <t>Standard working hours - CT</t>
  </si>
  <si>
    <t>A1:BE180；被 D&amp;D cost quotation 公式引用。</t>
  </si>
  <si>
    <t>报价页若仍需自动计算工时/成本，需要建立外部读取机制；否则主文件需改为手工输入/缓存。</t>
  </si>
  <si>
    <t>不属于主文件；作为 CT 标准工时源。</t>
  </si>
  <si>
    <t>Standard working hours - CAE</t>
  </si>
  <si>
    <t>A1:I79；被 D&amp;D cost quotation 公式引用。</t>
  </si>
  <si>
    <t>同上；注意 D&amp;D cost quotation 中多个 CAE 项通过 INDEX/MATCH 查找。</t>
  </si>
  <si>
    <t>不属于主文件；作为 CAE 标准工时源。</t>
  </si>
  <si>
    <t>Standard cost - Prototype</t>
  </si>
  <si>
    <t>A1:I16；被 D&amp;D cost quotation 公式引用。</t>
  </si>
  <si>
    <t>更新原公式/宏读取路径；校验 Prototype 成本项是否仍在主报价中自动带出。</t>
  </si>
  <si>
    <t>不属于主文件；作为 Prototype 标准成本源。</t>
  </si>
  <si>
    <t>Standard cost - Testing</t>
  </si>
  <si>
    <t>A1:O270；被 D&amp;D cost quotation 公式大量引用。</t>
  </si>
  <si>
    <t>这是主报价页最主要依赖之一；需优先改造引用方式，并防止拆分后 #REF/#VALUE。</t>
  </si>
  <si>
    <t>不属于主文件；作为 Testing 标准成本源。</t>
  </si>
  <si>
    <t>拆分后的标准数据文件</t>
  </si>
  <si>
    <t>当前不存在独立文件。</t>
  </si>
  <si>
    <t>新增 Cover page 和 Modification log；上述标准页内容结构暂时不变。</t>
  </si>
  <si>
    <t>VBA需支持打开/定位标准数据文件；建议增加版本号、路径配置、缺失文件提示、只读打开和异常处理。</t>
  </si>
  <si>
    <t>独立维护标准参数和成本源，不承载项目报价交付。</t>
  </si>
  <si>
    <t>Cover / Modification log / How to use</t>
  </si>
  <si>
    <t>Cover A2:B15；Modification log A1:C27；How to use B1:B5。</t>
  </si>
  <si>
    <t>本文件的说明内容需在 VBA 调整完成后同步更新。</t>
  </si>
  <si>
    <t>更新版本号、变更描述、使用步骤、删除功能说明、拆分文件说明、责任人和发布日期；若 VBA 自动写版本号，也需同步。</t>
  </si>
  <si>
    <t>主文件说明页：解释轻量化后的报价流程、拆分文件依赖和人民币报价口径。</t>
  </si>
  <si>
    <t>中</t>
  </si>
  <si>
    <t>主文件拆分后的功能总结</t>
  </si>
  <si>
    <t>主文件应保留 Cover、Modification log、How to use、Project information、D&amp;D cost quotation，For Finance Control 待定。</t>
  </si>
  <si>
    <t>主文件聚焦“项目信息录入 + 人民币 D&amp;D 报价输出”。标准成本、工时、汇率、系数维护移到独立标准数据文件。</t>
  </si>
  <si>
    <t>VBA核心职责从“维护所有参数+报价”改为“读取/校验标准数据源 + 生成人民币报价 + 更新说明/日志/导出”。</t>
  </si>
  <si>
    <t>轻量化主文件：面向 PDL/报价使用者；标准数据文件：面向维护者/Finance/工程成本管理员。</t>
  </si>
  <si>
    <t>总结</t>
  </si>
  <si>
    <t>建议验收项</t>
  </si>
  <si>
    <t>1) 打开主文件无 #REF/#NAME?/链接错误；2) 项目信息页无 currency 转换区域；3) 报价页无 Task location 与 task location currency 金额列；4) 只输出人民币报价；5) 删除 plant with margin 后宏按钮不报错；6) 标准数据拆分文件可被正确定位/读取；7) Cover、How to use、Modification log 已更新。</t>
  </si>
  <si>
    <t>验收清单</t>
  </si>
  <si>
    <t>Program Type For China CVI</t>
  </si>
  <si>
    <t>DLV</t>
  </si>
  <si>
    <t>Main platform</t>
  </si>
  <si>
    <t>ZE</t>
  </si>
  <si>
    <t>Beijing</t>
  </si>
  <si>
    <t>Variant w/o develop</t>
  </si>
  <si>
    <t>Chengdu JV</t>
  </si>
  <si>
    <t>Chengdu Wofe</t>
  </si>
  <si>
    <t>FAW_FCC</t>
  </si>
  <si>
    <t>FAW_Hongqi</t>
  </si>
  <si>
    <t>Guangzhou</t>
  </si>
  <si>
    <t>FVW</t>
  </si>
  <si>
    <t>Jiangxia</t>
  </si>
  <si>
    <t>Jimo</t>
  </si>
  <si>
    <t>GWM BOSCH</t>
  </si>
  <si>
    <t>HKMC</t>
  </si>
  <si>
    <t>JAC</t>
  </si>
  <si>
    <t>Yantai</t>
  </si>
  <si>
    <t>JMC BOSCH</t>
  </si>
  <si>
    <t>Leapmotor</t>
  </si>
  <si>
    <t>NEV</t>
  </si>
  <si>
    <t>Skywell</t>
  </si>
  <si>
    <t>Stellantis</t>
  </si>
  <si>
    <t>SVW</t>
  </si>
  <si>
    <t>ChangChai</t>
  </si>
  <si>
    <t>DaChai</t>
  </si>
  <si>
    <t>Deutz</t>
  </si>
  <si>
    <t>FAW-JF</t>
  </si>
  <si>
    <t>LaiDong</t>
  </si>
  <si>
    <t>SAIC Maxus</t>
  </si>
  <si>
    <t>SANY</t>
  </si>
  <si>
    <t>MSIL</t>
  </si>
  <si>
    <t>KOEL</t>
  </si>
  <si>
    <t>Variant w/o simulation</t>
  </si>
  <si>
    <t>Process specialist</t>
  </si>
  <si>
    <t>China DLV-PDL</t>
  </si>
  <si>
    <t>China Non-DLV-PDL</t>
  </si>
  <si>
    <t>China DLV-TPL</t>
  </si>
  <si>
    <t>China Non-DLV-TPL</t>
  </si>
  <si>
    <t>Durability Specialist-PDL</t>
  </si>
  <si>
    <t>Durability Specialist-TPL</t>
  </si>
  <si>
    <t>Manifold / Maniverter -  Heat transfer / Modal analysis / Thermal mechanical analysis / Force response - Major loop</t>
  </si>
  <si>
    <t>Diesel EU6 -  Heat transfer / Modal analysis / Thermal mechanical analysis / Force response - Major loop</t>
  </si>
  <si>
    <t>Hot end - Force response based on 3.17 / 3.18 / 3.19</t>
  </si>
  <si>
    <t>Cold end - Package (NF,1G,4G,FR,38 cases motion,DPDS, Component Modal, Componet static &amp; stiffness, B1 Life, AoT, vRLDA, Heat transfer, TMF for heat shield, Thermal expansion)</t>
  </si>
  <si>
    <t>Cold end - Transient simulation (Road surface)</t>
  </si>
  <si>
    <t>BOX / Switch back / U-Shape - G loading / Modal analysis / Heat transfer / Thermal mechanic</t>
  </si>
  <si>
    <t>Inline - G loading / Modal analysis / Heat transfer / Thermal mechanic</t>
  </si>
  <si>
    <t>Inline mixer -  G loading / Modal analysis / Heat transfer / Thermal mechanic / Inlet/Outlet fatigue analysis</t>
  </si>
  <si>
    <t>U-Mixer -  G loading / Modal analysis / Heat transfer / Thermal mechanic / Inlet/Outlet fatigue analysis</t>
  </si>
  <si>
    <t>Mixer - PSD simulation</t>
  </si>
  <si>
    <t>Inline - PSD simulation</t>
  </si>
  <si>
    <t>Switch back / U-shape - PSD simulation</t>
  </si>
  <si>
    <t>BOX - PSD simulation</t>
  </si>
  <si>
    <t>Process - P001</t>
  </si>
  <si>
    <t>Digital Factory - Manifold</t>
  </si>
  <si>
    <t>Digital Factory - Cold end complex</t>
  </si>
  <si>
    <t>VR cardboard - Manifold</t>
  </si>
  <si>
    <t>VR cardboard - Maniverter</t>
  </si>
  <si>
    <t>Digital Factory - Box</t>
  </si>
  <si>
    <t>Digital Factory - In-Line</t>
  </si>
  <si>
    <t>Digital Factory - Switch back</t>
  </si>
  <si>
    <t>Digital Factory - U Shape</t>
  </si>
  <si>
    <t>Silencer – Flex assy (1 part)</t>
  </si>
  <si>
    <t>A035</t>
  </si>
  <si>
    <t>C001</t>
  </si>
  <si>
    <t>D001</t>
  </si>
  <si>
    <t>D002</t>
  </si>
  <si>
    <t>E001</t>
  </si>
  <si>
    <t>F001</t>
  </si>
  <si>
    <t>H001</t>
  </si>
  <si>
    <t>H036</t>
  </si>
  <si>
    <t>H037</t>
  </si>
  <si>
    <t>H038</t>
  </si>
  <si>
    <t>H039</t>
  </si>
  <si>
    <t>H040</t>
  </si>
  <si>
    <t>H041</t>
  </si>
  <si>
    <t>H042</t>
  </si>
  <si>
    <t>H043</t>
  </si>
  <si>
    <t>H044</t>
  </si>
  <si>
    <t>H045</t>
  </si>
  <si>
    <t>H052</t>
  </si>
  <si>
    <t>H053</t>
  </si>
  <si>
    <t>H054</t>
  </si>
  <si>
    <t>H055</t>
  </si>
  <si>
    <t>M001</t>
  </si>
  <si>
    <t>M016</t>
  </si>
  <si>
    <t>M017</t>
  </si>
  <si>
    <t>N001</t>
  </si>
  <si>
    <t>N012</t>
  </si>
  <si>
    <t>O001</t>
  </si>
  <si>
    <t>O002</t>
  </si>
  <si>
    <t>R001</t>
  </si>
  <si>
    <t>T001</t>
  </si>
  <si>
    <t>T035</t>
  </si>
  <si>
    <t>T036</t>
  </si>
  <si>
    <t>T037</t>
  </si>
  <si>
    <t>Beijing, Beilun</t>
  </si>
  <si>
    <t>Engineering Cost for CBU_2026-7-20</t>
  </si>
  <si>
    <t>Approval</t>
  </si>
  <si>
    <t>CEPP</t>
  </si>
  <si>
    <t>EM</t>
  </si>
  <si>
    <t>Modifications for latest revision:</t>
  </si>
  <si>
    <t>China</t>
    <phoneticPr fontId="22" type="noConversion"/>
  </si>
  <si>
    <t>Program: BAIC Cold End Complex for Beijing, Beilun plant</t>
    <phoneticPr fontId="22" type="noConversion"/>
  </si>
  <si>
    <t>Engineering Cost for CBU_2026-07-20</t>
  </si>
  <si>
    <t>Cold End Complex</t>
    <phoneticPr fontId="22" type="noConversion"/>
  </si>
  <si>
    <t>BAIC</t>
    <phoneticPr fontId="2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</si>
</sst>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 * #,##0.00_ ;_ * \-#,##0.00_ ;_ * &quot;-&quot;??_ ;_ @_ "/>
    <numFmt numFmtId="176" formatCode="_(* #,##0_);_(* \(#,##0\);_(* &quot;-&quot;_);_(@_)"/>
    <numFmt numFmtId="177" formatCode="_(* #,##0.00_);_(* \(#,##0.00\);_(* &quot;-&quot;??_);_(@_)"/>
    <numFmt numFmtId="178" formatCode="_(&quot;¥&quot;* #,##0_);_(&quot;¥&quot;* \(#,##0\);_(&quot;¥&quot;* &quot;-&quot;_);_(@_)"/>
    <numFmt numFmtId="179" formatCode="_(&quot;¥&quot;* #,##0.00_);_(&quot;¥&quot;* \(#,##0.00\);_(&quot;¥&quot;* &quot;-&quot;??_);_(@_)"/>
    <numFmt numFmtId="180" formatCode="0.0%"/>
    <numFmt numFmtId="181" formatCode="_-[$₩-412]* #,##0_-;\-[$₩-412]* #,##0_-;_-[$₩-412]* &quot;-&quot;_-;_-@_-"/>
    <numFmt numFmtId="182" formatCode="yyyy\-mm\-dd"/>
    <numFmt numFmtId="183" formatCode="&quot;Phase&quot;\ @"/>
    <numFmt numFmtId="184" formatCode="0.0000"/>
    <numFmt numFmtId="185" formatCode="_ [$¥-804]* #,##0.00_ ;_ [$¥-804]* \-#,##0.00_ ;_ [$¥-804]* &quot;-&quot;??_ ;_ @_ "/>
    <numFmt numFmtId="186" formatCode="_-[$₹-861]* #,##0_-;\-[$₹-861]* #,##0_-;_-[$₹-861]* &quot;-&quot;_-;_-@_-"/>
    <numFmt numFmtId="187" formatCode="_-[$₩-412]* #,##0_-;\-[$₩-412]* #,##0_-;_-[$₩-412]* &quot;-&quot;??_-;_-@_-"/>
    <numFmt numFmtId="188" formatCode="&quot;Phase&quot;\ @\ &quot;(h)&quot;"/>
    <numFmt numFmtId="189" formatCode="&quot;Phase&quot;\ @\ &quot;(%)&quot;"/>
    <numFmt numFmtId="190" formatCode="_-[$¥-411]* #,##0_-;\-[$¥-411]* #,##0_-;_-[$¥-411]* &quot;-&quot;_-;_-@_-"/>
    <numFmt numFmtId="191" formatCode="_ [$₹-4009]\ * #,##0_ ;_ [$₹-4009]\ * \-#,##0_ ;_ [$₹-4009]\ * &quot;-&quot;_ ;_ @_ "/>
    <numFmt numFmtId="192" formatCode="_ &quot;¥&quot;* #,##0_ ;_ &quot;¥&quot;* \-#,##0_ ;_ &quot;¥&quot;* &quot;-&quot;??_ ;_ @_ "/>
    <numFmt numFmtId="193" formatCode="0\ &quot;CNY&quot;"/>
    <numFmt numFmtId="194" formatCode="_ * #,##0_ ;_ * \-#,##0_ ;_ * &quot;-&quot;??_ ;_ @_ "/>
    <numFmt numFmtId="195" formatCode="0.0000\ &quot;CNY&quot;"/>
  </numFmts>
  <fonts count="44"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0"/>
      <color theme="1"/>
      <name val="Century Gothic"/>
      <family val="2"/>
    </font>
    <font>
      <sz val="12"/>
      <name val="宋体"/>
      <family val="3"/>
      <charset val="134"/>
    </font>
    <font>
      <sz val="10"/>
      <name val="Century Gothic"/>
      <family val="2"/>
    </font>
    <font>
      <b/>
      <sz val="10"/>
      <color theme="1"/>
      <name val="Century Gothic"/>
      <family val="2"/>
    </font>
    <font>
      <sz val="10"/>
      <color theme="0" tint="-0.14999847407452621"/>
      <name val="Century Gothic"/>
      <family val="2"/>
    </font>
    <font>
      <b/>
      <sz val="10"/>
      <color theme="0"/>
      <name val="Century Gothic"/>
      <family val="2"/>
    </font>
    <font>
      <b/>
      <sz val="10"/>
      <name val="Century Gothic"/>
      <family val="2"/>
    </font>
    <font>
      <sz val="11"/>
      <color theme="1"/>
      <name val="Century Gothic"/>
      <family val="2"/>
    </font>
    <font>
      <sz val="10"/>
      <name val="Arial"/>
      <family val="2"/>
    </font>
    <font>
      <b/>
      <sz val="20"/>
      <color theme="1"/>
      <name val="Century Gothic"/>
      <family val="2"/>
    </font>
    <font>
      <u/>
      <sz val="11"/>
      <color rgb="FF0000FF"/>
      <name val="宋体"/>
      <family val="2"/>
      <charset val="134"/>
      <scheme val="minor"/>
    </font>
    <font>
      <sz val="10"/>
      <color rgb="FF000000"/>
      <name val="Century Gothic"/>
      <family val="2"/>
    </font>
    <font>
      <b/>
      <sz val="10"/>
      <color rgb="FF000000"/>
      <name val="Century Gothic"/>
      <family val="2"/>
    </font>
    <font>
      <b/>
      <u/>
      <sz val="10"/>
      <color rgb="FF0000FF"/>
      <name val="Century Gothic"/>
      <family val="2"/>
    </font>
    <font>
      <b/>
      <sz val="10"/>
      <color indexed="10"/>
      <name val="Century Gothic"/>
      <family val="2"/>
    </font>
    <font>
      <sz val="11"/>
      <color rgb="FFFF0000"/>
      <name val="宋体"/>
      <family val="2"/>
      <scheme val="minor"/>
    </font>
    <font>
      <sz val="20"/>
      <color theme="0" tint="-0.14999847407452621"/>
      <name val="Century Gothic"/>
      <family val="2"/>
    </font>
    <font>
      <sz val="10"/>
      <color theme="0" tint="-0.249977111117893"/>
      <name val="Century Gothic"/>
      <family val="2"/>
    </font>
    <font>
      <b/>
      <sz val="10"/>
      <color rgb="FFFF0000"/>
      <name val="Century Gothic"/>
      <family val="2"/>
    </font>
    <font>
      <sz val="9"/>
      <name val="宋体"/>
      <family val="3"/>
      <charset val="134"/>
      <scheme val="minor"/>
    </font>
    <font>
      <sz val="10"/>
      <color rgb="FF000000"/>
      <name val="Arial"/>
      <family val="2"/>
    </font>
    <font>
      <u/>
      <sz val="11"/>
      <color theme="10"/>
      <name val="宋体"/>
      <family val="2"/>
      <scheme val="minor"/>
    </font>
    <font>
      <sz val="11"/>
      <color theme="1"/>
      <name val="宋体"/>
      <family val="2"/>
      <charset val="129"/>
      <scheme val="minor"/>
    </font>
    <font>
      <sz val="11"/>
      <color theme="1"/>
      <name val="Calibri"/>
      <family val="2"/>
      <charset val="129"/>
    </font>
    <font>
      <b/>
      <sz val="12"/>
      <color rgb="FF1F497D"/>
      <name val="Century Gothic"/>
      <family val="2"/>
    </font>
    <font>
      <sz val="20"/>
      <color indexed="56"/>
      <name val="Century Gothic"/>
      <family val="2"/>
    </font>
    <font>
      <sz val="8"/>
      <color theme="0"/>
      <name val="Arial"/>
      <family val="2"/>
    </font>
    <font>
      <b/>
      <sz val="10"/>
      <color rgb="FF1F497D"/>
      <name val="Century Gothic"/>
      <family val="2"/>
    </font>
    <font>
      <b/>
      <sz val="20"/>
      <color rgb="FF1F497D"/>
      <name val="Century Gothic"/>
      <family val="2"/>
    </font>
    <font>
      <b/>
      <sz val="15"/>
      <color rgb="FF1F497D"/>
      <name val="Century Gothic"/>
      <family val="2"/>
    </font>
    <font>
      <sz val="10"/>
      <color rgb="FF1F497D"/>
      <name val="Century Gothic"/>
      <family val="2"/>
    </font>
    <font>
      <sz val="10"/>
      <color indexed="56"/>
      <name val="Century Gothic"/>
      <family val="2"/>
    </font>
    <font>
      <u/>
      <sz val="10"/>
      <color rgb="FF0000FF"/>
      <name val="Century Gothic"/>
      <family val="2"/>
    </font>
    <font>
      <b/>
      <sz val="9"/>
      <color indexed="81"/>
      <name val="Tahoma"/>
      <family val="2"/>
    </font>
    <font>
      <sz val="11"/>
      <name val="宋体"/>
      <family val="2"/>
      <scheme val="minor"/>
    </font>
    <font>
      <sz val="10"/>
      <name val="微软雅黑"/>
      <family val="2"/>
      <charset val="134"/>
    </font>
    <font>
      <b/>
      <sz val="10"/>
      <color rgb="FFFFFFFF"/>
      <name val="Microsoft YaHei"/>
      <family val="2"/>
      <charset val="134"/>
    </font>
    <font>
      <sz val="10"/>
      <color theme="1"/>
      <name val="Microsoft YaHei"/>
      <family val="2"/>
    </font>
    <font>
      <b/>
      <sz val="10"/>
      <color rgb="FFFFFFFF"/>
      <name val="Microsoft YaHei"/>
      <family val="2"/>
    </font>
    <font>
      <b/>
      <sz val="12"/>
      <color rgb="FF000000"/>
      <name val="Century Gothic"/>
      <family val="2"/>
    </font>
    <font>
      <b/>
      <sz val="12"/>
      <color theme="1"/>
      <name val="Century Gothic"/>
      <family val="2"/>
    </font>
  </fonts>
  <fills count="18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rgb="FFD3DFEE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5B9BD5"/>
        <bgColor indexed="64"/>
      </patternFill>
    </fill>
  </fills>
  <borders count="37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23">
    <xf numFmtId="0" fontId="0" fillId="0" borderId="0"/>
    <xf numFmtId="9" fontId="2" fillId="0" borderId="0" applyFont="0" applyFill="0" applyBorder="0" applyAlignment="0" applyProtection="0"/>
    <xf numFmtId="0" fontId="4" fillId="0" borderId="0">
      <alignment vertical="center"/>
    </xf>
    <xf numFmtId="0" fontId="13" fillId="0" borderId="0" applyNumberFormat="0" applyFill="0" applyBorder="0" applyAlignment="0" applyProtection="0"/>
    <xf numFmtId="0" fontId="1" fillId="0" borderId="0"/>
    <xf numFmtId="0" fontId="11" fillId="0" borderId="0"/>
    <xf numFmtId="0" fontId="11" fillId="0" borderId="0"/>
    <xf numFmtId="0" fontId="2" fillId="0" borderId="0"/>
    <xf numFmtId="0" fontId="23" fillId="0" borderId="0"/>
    <xf numFmtId="0" fontId="24" fillId="0" borderId="0" applyNumberFormat="0" applyFill="0" applyBorder="0" applyAlignment="0" applyProtection="0"/>
    <xf numFmtId="9" fontId="2" fillId="0" borderId="0" applyFont="0" applyFill="0" applyBorder="0" applyAlignment="0" applyProtection="0"/>
    <xf numFmtId="0" fontId="1" fillId="0" borderId="0">
      <alignment vertical="center"/>
    </xf>
    <xf numFmtId="177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177" fontId="1" fillId="0" borderId="0" applyFont="0" applyFill="0" applyBorder="0" applyAlignment="0" applyProtection="0"/>
    <xf numFmtId="0" fontId="2" fillId="0" borderId="0"/>
    <xf numFmtId="0" fontId="25" fillId="0" borderId="0">
      <alignment vertical="center"/>
    </xf>
    <xf numFmtId="0" fontId="2" fillId="0" borderId="0"/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/>
    <xf numFmtId="0" fontId="11" fillId="0" borderId="0"/>
    <xf numFmtId="43" fontId="2" fillId="0" borderId="0" applyFont="0" applyFill="0" applyBorder="0" applyAlignment="0" applyProtection="0">
      <alignment vertical="center"/>
    </xf>
  </cellStyleXfs>
  <cellXfs count="286">
    <xf numFmtId="0" fontId="0" fillId="0" borderId="0" xfId="0"/>
    <xf numFmtId="0" fontId="3" fillId="0" borderId="0" xfId="0" applyFont="1" applyAlignment="1">
      <alignment horizontal="center" vertical="center" wrapText="1"/>
    </xf>
    <xf numFmtId="0" fontId="5" fillId="0" borderId="1" xfId="2" applyFont="1" applyBorder="1" applyAlignment="1">
      <alignment horizontal="center" vertical="center"/>
    </xf>
    <xf numFmtId="0" fontId="5" fillId="0" borderId="2" xfId="2" applyFont="1" applyBorder="1" applyAlignment="1">
      <alignment horizontal="center" vertical="center"/>
    </xf>
    <xf numFmtId="0" fontId="5" fillId="0" borderId="3" xfId="2" applyFont="1" applyBorder="1" applyAlignment="1">
      <alignment horizontal="center" vertical="center"/>
    </xf>
    <xf numFmtId="0" fontId="5" fillId="0" borderId="0" xfId="2" applyFont="1" applyAlignment="1">
      <alignment horizontal="center" vertical="center"/>
    </xf>
    <xf numFmtId="14" fontId="5" fillId="0" borderId="4" xfId="2" applyNumberFormat="1" applyFont="1" applyBorder="1" applyAlignment="1">
      <alignment horizontal="center" vertical="center"/>
    </xf>
    <xf numFmtId="0" fontId="5" fillId="0" borderId="5" xfId="2" applyFont="1" applyBorder="1" applyAlignment="1">
      <alignment horizontal="center" vertical="center"/>
    </xf>
    <xf numFmtId="0" fontId="5" fillId="0" borderId="6" xfId="2" applyFont="1" applyBorder="1" applyAlignment="1">
      <alignment horizontal="left" vertical="center" wrapText="1"/>
    </xf>
    <xf numFmtId="14" fontId="5" fillId="0" borderId="7" xfId="2" applyNumberFormat="1" applyFont="1" applyBorder="1" applyAlignment="1">
      <alignment horizontal="center" vertical="center"/>
    </xf>
    <xf numFmtId="0" fontId="5" fillId="0" borderId="8" xfId="2" applyFont="1" applyBorder="1" applyAlignment="1">
      <alignment horizontal="center" vertical="center"/>
    </xf>
    <xf numFmtId="0" fontId="5" fillId="0" borderId="9" xfId="2" applyFont="1" applyBorder="1" applyAlignment="1">
      <alignment horizontal="left" vertical="center" wrapText="1"/>
    </xf>
    <xf numFmtId="0" fontId="5" fillId="0" borderId="9" xfId="2" quotePrefix="1" applyFont="1" applyBorder="1" applyAlignment="1">
      <alignment horizontal="left" vertical="center" wrapText="1"/>
    </xf>
    <xf numFmtId="0" fontId="5" fillId="0" borderId="6" xfId="2" quotePrefix="1" applyFont="1" applyBorder="1" applyAlignment="1">
      <alignment horizontal="left" vertical="center" wrapText="1"/>
    </xf>
    <xf numFmtId="0" fontId="5" fillId="0" borderId="0" xfId="2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6" fillId="0" borderId="5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10" fillId="0" borderId="0" xfId="0" applyFont="1"/>
    <xf numFmtId="0" fontId="6" fillId="0" borderId="5" xfId="0" applyFont="1" applyBorder="1" applyAlignment="1">
      <alignment horizontal="center"/>
    </xf>
    <xf numFmtId="0" fontId="9" fillId="0" borderId="5" xfId="0" applyFont="1" applyBorder="1" applyAlignment="1">
      <alignment horizontal="center" vertical="center"/>
    </xf>
    <xf numFmtId="182" fontId="5" fillId="0" borderId="5" xfId="0" applyNumberFormat="1" applyFont="1" applyBorder="1" applyAlignment="1">
      <alignment horizontal="center" vertical="center" wrapText="1"/>
    </xf>
    <xf numFmtId="0" fontId="9" fillId="2" borderId="2" xfId="0" applyFont="1" applyFill="1" applyBorder="1" applyAlignment="1">
      <alignment horizontal="center" vertical="center" wrapText="1"/>
    </xf>
    <xf numFmtId="179" fontId="9" fillId="2" borderId="3" xfId="0" applyNumberFormat="1" applyFont="1" applyFill="1" applyBorder="1" applyAlignment="1">
      <alignment horizontal="center" vertical="center" wrapText="1"/>
    </xf>
    <xf numFmtId="0" fontId="9" fillId="3" borderId="5" xfId="0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 wrapText="1"/>
    </xf>
    <xf numFmtId="0" fontId="9" fillId="3" borderId="5" xfId="0" applyFont="1" applyFill="1" applyBorder="1" applyAlignment="1">
      <alignment vertical="center" wrapText="1"/>
    </xf>
    <xf numFmtId="0" fontId="8" fillId="3" borderId="5" xfId="0" applyFont="1" applyFill="1" applyBorder="1" applyAlignment="1">
      <alignment vertical="center" wrapText="1"/>
    </xf>
    <xf numFmtId="0" fontId="9" fillId="3" borderId="5" xfId="0" applyFont="1" applyFill="1" applyBorder="1" applyAlignment="1">
      <alignment vertical="center"/>
    </xf>
    <xf numFmtId="178" fontId="9" fillId="3" borderId="5" xfId="0" applyNumberFormat="1" applyFont="1" applyFill="1" applyBorder="1" applyAlignment="1">
      <alignment vertical="center"/>
    </xf>
    <xf numFmtId="181" fontId="9" fillId="3" borderId="5" xfId="0" applyNumberFormat="1" applyFont="1" applyFill="1" applyBorder="1" applyAlignment="1">
      <alignment horizontal="center" vertical="center" wrapText="1"/>
    </xf>
    <xf numFmtId="183" fontId="9" fillId="0" borderId="5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9" fillId="3" borderId="5" xfId="0" applyFont="1" applyFill="1" applyBorder="1" applyAlignment="1">
      <alignment horizontal="left" vertical="center" wrapText="1"/>
    </xf>
    <xf numFmtId="0" fontId="10" fillId="0" borderId="0" xfId="0" applyFont="1" applyAlignment="1">
      <alignment horizontal="left"/>
    </xf>
    <xf numFmtId="183" fontId="9" fillId="4" borderId="5" xfId="0" applyNumberFormat="1" applyFont="1" applyFill="1" applyBorder="1" applyAlignment="1">
      <alignment horizontal="center" vertical="center"/>
    </xf>
    <xf numFmtId="179" fontId="9" fillId="4" borderId="5" xfId="0" applyNumberFormat="1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 wrapText="1"/>
    </xf>
    <xf numFmtId="180" fontId="3" fillId="5" borderId="5" xfId="1" applyNumberFormat="1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wrapText="1"/>
    </xf>
    <xf numFmtId="1" fontId="5" fillId="6" borderId="5" xfId="0" applyNumberFormat="1" applyFont="1" applyFill="1" applyBorder="1" applyAlignment="1">
      <alignment horizontal="center" vertical="center" wrapText="1"/>
    </xf>
    <xf numFmtId="0" fontId="3" fillId="6" borderId="5" xfId="0" applyFont="1" applyFill="1" applyBorder="1" applyAlignment="1">
      <alignment horizontal="center" vertical="center" wrapText="1"/>
    </xf>
    <xf numFmtId="0" fontId="3" fillId="5" borderId="5" xfId="0" applyFont="1" applyFill="1" applyBorder="1" applyAlignment="1">
      <alignment horizontal="left" vertical="center" wrapText="1"/>
    </xf>
    <xf numFmtId="176" fontId="9" fillId="3" borderId="5" xfId="0" applyNumberFormat="1" applyFont="1" applyFill="1" applyBorder="1" applyAlignment="1">
      <alignment vertical="center"/>
    </xf>
    <xf numFmtId="176" fontId="3" fillId="0" borderId="5" xfId="0" applyNumberFormat="1" applyFont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176" fontId="3" fillId="7" borderId="5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8" xfId="0" applyFont="1" applyBorder="1" applyAlignment="1">
      <alignment horizontal="center" vertical="center"/>
    </xf>
    <xf numFmtId="1" fontId="3" fillId="5" borderId="5" xfId="0" applyNumberFormat="1" applyFont="1" applyFill="1" applyBorder="1" applyAlignment="1">
      <alignment horizontal="center" vertical="center"/>
    </xf>
    <xf numFmtId="0" fontId="3" fillId="0" borderId="5" xfId="0" applyFont="1" applyBorder="1" applyAlignment="1">
      <alignment horizontal="left" vertical="center"/>
    </xf>
    <xf numFmtId="1" fontId="3" fillId="7" borderId="0" xfId="0" applyNumberFormat="1" applyFont="1" applyFill="1" applyAlignment="1">
      <alignment horizontal="center" vertical="center"/>
    </xf>
    <xf numFmtId="184" fontId="6" fillId="0" borderId="0" xfId="0" applyNumberFormat="1" applyFont="1" applyAlignment="1">
      <alignment horizontal="center" vertical="center"/>
    </xf>
    <xf numFmtId="184" fontId="3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14" fillId="0" borderId="0" xfId="0" applyFont="1"/>
    <xf numFmtId="0" fontId="15" fillId="0" borderId="0" xfId="0" applyFont="1" applyAlignment="1">
      <alignment horizontal="left" vertical="center"/>
    </xf>
    <xf numFmtId="0" fontId="5" fillId="0" borderId="0" xfId="0" applyFont="1"/>
    <xf numFmtId="0" fontId="14" fillId="0" borderId="0" xfId="0" applyFont="1" applyAlignment="1">
      <alignment wrapText="1"/>
    </xf>
    <xf numFmtId="0" fontId="9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15" fillId="0" borderId="5" xfId="0" applyFont="1" applyBorder="1" applyAlignment="1">
      <alignment horizontal="center" wrapText="1"/>
    </xf>
    <xf numFmtId="0" fontId="9" fillId="0" borderId="6" xfId="0" applyFont="1" applyBorder="1"/>
    <xf numFmtId="0" fontId="15" fillId="0" borderId="11" xfId="0" applyFont="1" applyBorder="1" applyAlignment="1">
      <alignment vertical="center" wrapText="1"/>
    </xf>
    <xf numFmtId="0" fontId="15" fillId="0" borderId="4" xfId="0" applyFont="1" applyBorder="1" applyAlignment="1">
      <alignment vertical="center"/>
    </xf>
    <xf numFmtId="14" fontId="5" fillId="8" borderId="5" xfId="0" applyNumberFormat="1" applyFont="1" applyFill="1" applyBorder="1" applyAlignment="1">
      <alignment horizontal="center" vertical="center" wrapText="1"/>
    </xf>
    <xf numFmtId="0" fontId="16" fillId="0" borderId="0" xfId="3" applyFont="1" applyFill="1" applyBorder="1" applyAlignment="1">
      <alignment horizontal="center" vertical="center"/>
    </xf>
    <xf numFmtId="0" fontId="5" fillId="0" borderId="0" xfId="4" applyFont="1" applyAlignment="1" applyProtection="1">
      <alignment vertical="center"/>
      <protection locked="0"/>
    </xf>
    <xf numFmtId="14" fontId="5" fillId="0" borderId="0" xfId="4" applyNumberFormat="1" applyFont="1" applyAlignment="1" applyProtection="1">
      <alignment horizontal="center" vertical="center"/>
      <protection locked="0"/>
    </xf>
    <xf numFmtId="14" fontId="5" fillId="0" borderId="0" xfId="4" applyNumberFormat="1" applyFont="1" applyProtection="1">
      <protection locked="0"/>
    </xf>
    <xf numFmtId="0" fontId="9" fillId="0" borderId="15" xfId="5" applyFont="1" applyBorder="1" applyAlignment="1" applyProtection="1">
      <alignment horizontal="left" vertical="center"/>
      <protection locked="0"/>
    </xf>
    <xf numFmtId="0" fontId="9" fillId="0" borderId="15" xfId="5" applyFont="1" applyBorder="1" applyAlignment="1" applyProtection="1">
      <alignment horizontal="center" vertical="center" wrapText="1"/>
      <protection locked="0"/>
    </xf>
    <xf numFmtId="0" fontId="9" fillId="0" borderId="16" xfId="5" applyFont="1" applyBorder="1" applyAlignment="1" applyProtection="1">
      <alignment horizontal="center" vertical="center" wrapText="1"/>
      <protection locked="0"/>
    </xf>
    <xf numFmtId="0" fontId="9" fillId="0" borderId="17" xfId="5" applyFont="1" applyBorder="1" applyAlignment="1" applyProtection="1">
      <alignment horizontal="center" vertical="center" wrapText="1"/>
      <protection locked="0"/>
    </xf>
    <xf numFmtId="0" fontId="5" fillId="0" borderId="18" xfId="5" applyFont="1" applyBorder="1" applyProtection="1">
      <protection locked="0"/>
    </xf>
    <xf numFmtId="185" fontId="5" fillId="0" borderId="0" xfId="5" applyNumberFormat="1" applyFont="1" applyProtection="1">
      <protection locked="0"/>
    </xf>
    <xf numFmtId="185" fontId="9" fillId="0" borderId="18" xfId="5" applyNumberFormat="1" applyFont="1" applyBorder="1" applyProtection="1">
      <protection locked="0"/>
    </xf>
    <xf numFmtId="0" fontId="9" fillId="0" borderId="19" xfId="5" applyFont="1" applyBorder="1" applyProtection="1">
      <protection locked="0"/>
    </xf>
    <xf numFmtId="0" fontId="9" fillId="0" borderId="20" xfId="5" applyFont="1" applyBorder="1" applyProtection="1">
      <protection locked="0"/>
    </xf>
    <xf numFmtId="185" fontId="9" fillId="0" borderId="15" xfId="6" applyNumberFormat="1" applyFont="1" applyBorder="1" applyProtection="1">
      <protection locked="0"/>
    </xf>
    <xf numFmtId="185" fontId="9" fillId="0" borderId="16" xfId="6" applyNumberFormat="1" applyFont="1" applyBorder="1" applyProtection="1">
      <protection locked="0"/>
    </xf>
    <xf numFmtId="185" fontId="9" fillId="0" borderId="17" xfId="6" applyNumberFormat="1" applyFont="1" applyBorder="1" applyProtection="1">
      <protection locked="0"/>
    </xf>
    <xf numFmtId="0" fontId="3" fillId="0" borderId="0" xfId="4" applyFont="1" applyAlignment="1" applyProtection="1">
      <alignment vertical="center"/>
      <protection locked="0"/>
    </xf>
    <xf numFmtId="0" fontId="3" fillId="0" borderId="0" xfId="4" applyFont="1" applyProtection="1">
      <protection locked="0"/>
    </xf>
    <xf numFmtId="0" fontId="3" fillId="0" borderId="22" xfId="4" applyFont="1" applyBorder="1" applyAlignment="1" applyProtection="1">
      <alignment horizontal="center"/>
      <protection locked="0"/>
    </xf>
    <xf numFmtId="0" fontId="3" fillId="0" borderId="23" xfId="4" applyFont="1" applyBorder="1" applyAlignment="1" applyProtection="1">
      <alignment horizontal="center"/>
      <protection locked="0"/>
    </xf>
    <xf numFmtId="0" fontId="6" fillId="0" borderId="24" xfId="4" applyFont="1" applyBorder="1" applyAlignment="1">
      <alignment horizontal="left" vertical="center"/>
    </xf>
    <xf numFmtId="9" fontId="3" fillId="9" borderId="25" xfId="4" applyNumberFormat="1" applyFont="1" applyFill="1" applyBorder="1" applyAlignment="1">
      <alignment horizontal="center" vertical="center"/>
    </xf>
    <xf numFmtId="9" fontId="3" fillId="9" borderId="26" xfId="4" applyNumberFormat="1" applyFont="1" applyFill="1" applyBorder="1" applyAlignment="1">
      <alignment horizontal="center" vertical="center"/>
    </xf>
    <xf numFmtId="0" fontId="3" fillId="0" borderId="0" xfId="4" applyFont="1"/>
    <xf numFmtId="0" fontId="6" fillId="0" borderId="27" xfId="4" applyFont="1" applyBorder="1"/>
    <xf numFmtId="9" fontId="3" fillId="5" borderId="5" xfId="4" applyNumberFormat="1" applyFont="1" applyFill="1" applyBorder="1" applyAlignment="1">
      <alignment horizontal="center"/>
    </xf>
    <xf numFmtId="0" fontId="6" fillId="0" borderId="24" xfId="4" applyFont="1" applyBorder="1"/>
    <xf numFmtId="9" fontId="3" fillId="5" borderId="25" xfId="4" applyNumberFormat="1" applyFont="1" applyFill="1" applyBorder="1" applyAlignment="1">
      <alignment horizontal="center"/>
    </xf>
    <xf numFmtId="0" fontId="6" fillId="0" borderId="5" xfId="0" applyFont="1" applyBorder="1" applyAlignment="1">
      <alignment horizontal="center" vertical="center"/>
    </xf>
    <xf numFmtId="0" fontId="18" fillId="0" borderId="0" xfId="0" applyFont="1" applyAlignment="1">
      <alignment horizontal="left" vertical="top"/>
    </xf>
    <xf numFmtId="0" fontId="20" fillId="11" borderId="5" xfId="0" applyFont="1" applyFill="1" applyBorder="1" applyAlignment="1">
      <alignment horizontal="center" vertical="center"/>
    </xf>
    <xf numFmtId="176" fontId="3" fillId="5" borderId="5" xfId="0" applyNumberFormat="1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left" vertical="center" wrapText="1"/>
    </xf>
    <xf numFmtId="184" fontId="3" fillId="5" borderId="0" xfId="0" applyNumberFormat="1" applyFont="1" applyFill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21" fillId="0" borderId="0" xfId="0" applyFont="1" applyAlignment="1">
      <alignment horizontal="left" vertical="center"/>
    </xf>
    <xf numFmtId="0" fontId="8" fillId="12" borderId="0" xfId="0" applyFont="1" applyFill="1" applyAlignment="1">
      <alignment horizontal="center" vertical="center"/>
    </xf>
    <xf numFmtId="186" fontId="3" fillId="0" borderId="0" xfId="0" applyNumberFormat="1" applyFont="1" applyAlignment="1">
      <alignment horizontal="center" vertical="center"/>
    </xf>
    <xf numFmtId="0" fontId="8" fillId="12" borderId="0" xfId="0" applyFont="1" applyFill="1" applyAlignment="1">
      <alignment horizontal="left" vertical="center"/>
    </xf>
    <xf numFmtId="0" fontId="21" fillId="0" borderId="21" xfId="0" applyFont="1" applyBorder="1" applyAlignment="1">
      <alignment horizontal="center" vertical="center" wrapText="1"/>
    </xf>
    <xf numFmtId="0" fontId="6" fillId="0" borderId="22" xfId="0" applyFont="1" applyBorder="1" applyAlignment="1">
      <alignment horizontal="center" vertical="center" wrapText="1"/>
    </xf>
    <xf numFmtId="0" fontId="6" fillId="0" borderId="27" xfId="0" applyFont="1" applyBorder="1" applyAlignment="1">
      <alignment horizontal="left" vertical="center" wrapText="1"/>
    </xf>
    <xf numFmtId="9" fontId="3" fillId="0" borderId="5" xfId="1" applyFont="1" applyBorder="1" applyAlignment="1">
      <alignment horizontal="center" vertical="center"/>
    </xf>
    <xf numFmtId="9" fontId="3" fillId="0" borderId="28" xfId="1" applyFont="1" applyBorder="1" applyAlignment="1">
      <alignment horizontal="center" vertical="center"/>
    </xf>
    <xf numFmtId="0" fontId="6" fillId="0" borderId="24" xfId="0" applyFont="1" applyBorder="1" applyAlignment="1">
      <alignment horizontal="left" vertical="center" wrapText="1"/>
    </xf>
    <xf numFmtId="0" fontId="3" fillId="0" borderId="25" xfId="0" applyFont="1" applyBorder="1" applyAlignment="1">
      <alignment horizontal="center" vertical="center"/>
    </xf>
    <xf numFmtId="9" fontId="3" fillId="0" borderId="25" xfId="1" applyFont="1" applyBorder="1" applyAlignment="1">
      <alignment horizontal="center" vertical="center"/>
    </xf>
    <xf numFmtId="9" fontId="3" fillId="0" borderId="26" xfId="1" applyFont="1" applyBorder="1" applyAlignment="1">
      <alignment horizontal="center" vertical="center"/>
    </xf>
    <xf numFmtId="0" fontId="6" fillId="0" borderId="0" xfId="0" applyFont="1" applyAlignment="1">
      <alignment horizontal="left" vertical="center" wrapText="1"/>
    </xf>
    <xf numFmtId="9" fontId="3" fillId="0" borderId="0" xfId="1" applyFont="1" applyBorder="1" applyAlignment="1">
      <alignment horizontal="center" vertical="center"/>
    </xf>
    <xf numFmtId="0" fontId="3" fillId="13" borderId="5" xfId="0" applyFont="1" applyFill="1" applyBorder="1" applyAlignment="1">
      <alignment horizontal="center" vertical="center"/>
    </xf>
    <xf numFmtId="0" fontId="3" fillId="13" borderId="28" xfId="0" applyFont="1" applyFill="1" applyBorder="1" applyAlignment="1">
      <alignment horizontal="center" vertical="center"/>
    </xf>
    <xf numFmtId="9" fontId="3" fillId="0" borderId="5" xfId="1" applyFont="1" applyFill="1" applyBorder="1" applyAlignment="1">
      <alignment horizontal="center" vertical="center"/>
    </xf>
    <xf numFmtId="9" fontId="3" fillId="0" borderId="28" xfId="1" applyFont="1" applyFill="1" applyBorder="1" applyAlignment="1">
      <alignment horizontal="center" vertical="center"/>
    </xf>
    <xf numFmtId="9" fontId="3" fillId="0" borderId="25" xfId="1" applyFont="1" applyFill="1" applyBorder="1" applyAlignment="1">
      <alignment horizontal="center" vertical="center"/>
    </xf>
    <xf numFmtId="9" fontId="3" fillId="0" borderId="26" xfId="1" applyFont="1" applyFill="1" applyBorder="1" applyAlignment="1">
      <alignment horizontal="center" vertical="center"/>
    </xf>
    <xf numFmtId="188" fontId="6" fillId="0" borderId="22" xfId="0" applyNumberFormat="1" applyFont="1" applyBorder="1" applyAlignment="1">
      <alignment horizontal="center" vertical="center" wrapText="1"/>
    </xf>
    <xf numFmtId="189" fontId="6" fillId="0" borderId="22" xfId="0" applyNumberFormat="1" applyFont="1" applyBorder="1" applyAlignment="1">
      <alignment horizontal="center" vertical="center" wrapText="1"/>
    </xf>
    <xf numFmtId="188" fontId="6" fillId="0" borderId="22" xfId="0" quotePrefix="1" applyNumberFormat="1" applyFont="1" applyBorder="1" applyAlignment="1">
      <alignment horizontal="center" vertical="center" wrapText="1"/>
    </xf>
    <xf numFmtId="189" fontId="6" fillId="0" borderId="22" xfId="0" quotePrefix="1" applyNumberFormat="1" applyFont="1" applyBorder="1" applyAlignment="1">
      <alignment horizontal="center" vertical="center" wrapText="1"/>
    </xf>
    <xf numFmtId="189" fontId="6" fillId="0" borderId="23" xfId="0" quotePrefix="1" applyNumberFormat="1" applyFont="1" applyBorder="1" applyAlignment="1">
      <alignment horizontal="center" vertical="center" wrapText="1"/>
    </xf>
    <xf numFmtId="0" fontId="8" fillId="12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0" fillId="0" borderId="0" xfId="0" applyAlignment="1">
      <alignment wrapText="1"/>
    </xf>
    <xf numFmtId="9" fontId="3" fillId="13" borderId="5" xfId="1" applyFont="1" applyFill="1" applyBorder="1" applyAlignment="1">
      <alignment horizontal="center" vertical="center"/>
    </xf>
    <xf numFmtId="9" fontId="3" fillId="13" borderId="28" xfId="1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 wrapText="1"/>
    </xf>
    <xf numFmtId="0" fontId="10" fillId="0" borderId="0" xfId="0" applyFont="1" applyAlignment="1">
      <alignment wrapText="1"/>
    </xf>
    <xf numFmtId="181" fontId="3" fillId="0" borderId="0" xfId="0" applyNumberFormat="1" applyFont="1" applyAlignment="1">
      <alignment horizontal="center" vertical="center" wrapText="1"/>
    </xf>
    <xf numFmtId="178" fontId="3" fillId="0" borderId="0" xfId="0" applyNumberFormat="1" applyFont="1" applyAlignment="1">
      <alignment horizontal="center" vertical="center" wrapText="1"/>
    </xf>
    <xf numFmtId="191" fontId="3" fillId="0" borderId="0" xfId="0" applyNumberFormat="1" applyFont="1" applyAlignment="1">
      <alignment horizontal="center" vertical="center" wrapText="1"/>
    </xf>
    <xf numFmtId="191" fontId="0" fillId="0" borderId="0" xfId="0" applyNumberFormat="1" applyAlignment="1">
      <alignment wrapText="1"/>
    </xf>
    <xf numFmtId="190" fontId="3" fillId="0" borderId="0" xfId="0" applyNumberFormat="1" applyFont="1" applyAlignment="1">
      <alignment horizontal="center" vertical="center" wrapText="1"/>
    </xf>
    <xf numFmtId="192" fontId="3" fillId="0" borderId="0" xfId="0" applyNumberFormat="1" applyFont="1" applyAlignment="1">
      <alignment horizontal="center" vertical="center"/>
    </xf>
    <xf numFmtId="0" fontId="9" fillId="2" borderId="6" xfId="0" applyFont="1" applyFill="1" applyBorder="1" applyAlignment="1">
      <alignment horizontal="center" vertical="center" wrapText="1"/>
    </xf>
    <xf numFmtId="9" fontId="3" fillId="5" borderId="5" xfId="1" applyFont="1" applyFill="1" applyBorder="1" applyAlignment="1" applyProtection="1">
      <alignment horizontal="center" vertical="center"/>
    </xf>
    <xf numFmtId="9" fontId="3" fillId="5" borderId="28" xfId="1" applyFont="1" applyFill="1" applyBorder="1" applyAlignment="1" applyProtection="1">
      <alignment horizontal="center" vertical="center"/>
    </xf>
    <xf numFmtId="9" fontId="3" fillId="5" borderId="25" xfId="1" applyFont="1" applyFill="1" applyBorder="1" applyAlignment="1" applyProtection="1">
      <alignment horizontal="center" vertical="center"/>
    </xf>
    <xf numFmtId="9" fontId="3" fillId="5" borderId="26" xfId="1" applyFont="1" applyFill="1" applyBorder="1" applyAlignment="1" applyProtection="1">
      <alignment horizontal="center" vertical="center"/>
    </xf>
    <xf numFmtId="0" fontId="6" fillId="0" borderId="21" xfId="4" applyFont="1" applyBorder="1" applyProtection="1">
      <protection locked="0"/>
    </xf>
    <xf numFmtId="0" fontId="5" fillId="0" borderId="5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 wrapText="1"/>
    </xf>
    <xf numFmtId="0" fontId="5" fillId="0" borderId="5" xfId="0" applyFont="1" applyBorder="1" applyAlignment="1">
      <alignment vertical="center" wrapText="1"/>
    </xf>
    <xf numFmtId="0" fontId="9" fillId="2" borderId="5" xfId="0" applyFont="1" applyFill="1" applyBorder="1" applyAlignment="1">
      <alignment horizontal="center" vertical="center" wrapText="1"/>
    </xf>
    <xf numFmtId="179" fontId="9" fillId="2" borderId="6" xfId="0" applyNumberFormat="1" applyFont="1" applyFill="1" applyBorder="1" applyAlignment="1">
      <alignment horizontal="center" vertical="center" wrapText="1"/>
    </xf>
    <xf numFmtId="0" fontId="5" fillId="0" borderId="5" xfId="0" applyFont="1" applyBorder="1" applyAlignment="1">
      <alignment horizontal="left" vertical="center" wrapText="1"/>
    </xf>
    <xf numFmtId="179" fontId="9" fillId="2" borderId="5" xfId="0" applyNumberFormat="1" applyFont="1" applyFill="1" applyBorder="1" applyAlignment="1">
      <alignment horizontal="center" vertical="center" wrapText="1"/>
    </xf>
    <xf numFmtId="0" fontId="3" fillId="0" borderId="0" xfId="0" applyFont="1"/>
    <xf numFmtId="178" fontId="5" fillId="0" borderId="5" xfId="0" applyNumberFormat="1" applyFont="1" applyBorder="1" applyAlignment="1">
      <alignment horizontal="center" vertical="center" wrapText="1"/>
    </xf>
    <xf numFmtId="178" fontId="3" fillId="0" borderId="5" xfId="0" applyNumberFormat="1" applyFont="1" applyBorder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left" vertical="center" wrapText="1"/>
    </xf>
    <xf numFmtId="178" fontId="6" fillId="3" borderId="5" xfId="0" applyNumberFormat="1" applyFont="1" applyFill="1" applyBorder="1" applyAlignment="1">
      <alignment vertical="center"/>
    </xf>
    <xf numFmtId="178" fontId="6" fillId="3" borderId="5" xfId="0" applyNumberFormat="1" applyFont="1" applyFill="1" applyBorder="1" applyAlignment="1">
      <alignment horizontal="center" vertical="center" wrapText="1"/>
    </xf>
    <xf numFmtId="181" fontId="6" fillId="3" borderId="5" xfId="0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wrapText="1"/>
    </xf>
    <xf numFmtId="0" fontId="3" fillId="5" borderId="6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178" fontId="3" fillId="5" borderId="5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27" fillId="0" borderId="0" xfId="15" applyFont="1" applyAlignment="1" applyProtection="1">
      <alignment horizontal="left" vertical="center" wrapText="1"/>
      <protection locked="0"/>
    </xf>
    <xf numFmtId="0" fontId="2" fillId="0" borderId="0" xfId="15" applyProtection="1">
      <protection locked="0"/>
    </xf>
    <xf numFmtId="0" fontId="28" fillId="0" borderId="0" xfId="15" applyFont="1" applyAlignment="1" applyProtection="1">
      <alignment horizontal="left" vertical="top"/>
      <protection locked="0"/>
    </xf>
    <xf numFmtId="0" fontId="29" fillId="0" borderId="0" xfId="0" applyFont="1"/>
    <xf numFmtId="0" fontId="30" fillId="0" borderId="16" xfId="15" applyFont="1" applyBorder="1" applyAlignment="1" applyProtection="1">
      <alignment horizontal="left" vertical="top" wrapText="1"/>
      <protection locked="0"/>
    </xf>
    <xf numFmtId="0" fontId="31" fillId="0" borderId="16" xfId="15" applyFont="1" applyBorder="1" applyAlignment="1" applyProtection="1">
      <alignment horizontal="left" vertical="center" wrapText="1"/>
      <protection locked="0"/>
    </xf>
    <xf numFmtId="0" fontId="30" fillId="14" borderId="0" xfId="15" applyFont="1" applyFill="1" applyAlignment="1" applyProtection="1">
      <alignment horizontal="left" vertical="top" wrapText="1"/>
      <protection locked="0"/>
    </xf>
    <xf numFmtId="0" fontId="32" fillId="14" borderId="0" xfId="15" applyFont="1" applyFill="1" applyAlignment="1" applyProtection="1">
      <alignment horizontal="left" vertical="center" wrapText="1"/>
      <protection locked="0"/>
    </xf>
    <xf numFmtId="0" fontId="30" fillId="0" borderId="0" xfId="15" applyFont="1" applyAlignment="1" applyProtection="1">
      <alignment horizontal="left" vertical="top" wrapText="1"/>
      <protection locked="0"/>
    </xf>
    <xf numFmtId="0" fontId="33" fillId="0" borderId="0" xfId="15" applyFont="1" applyAlignment="1" applyProtection="1">
      <alignment horizontal="left" vertical="center"/>
      <protection locked="0"/>
    </xf>
    <xf numFmtId="0" fontId="34" fillId="14" borderId="0" xfId="15" applyFont="1" applyFill="1" applyAlignment="1" applyProtection="1">
      <alignment horizontal="left" vertical="center" wrapText="1"/>
      <protection locked="0"/>
    </xf>
    <xf numFmtId="0" fontId="33" fillId="0" borderId="0" xfId="15" applyFont="1" applyAlignment="1" applyProtection="1">
      <alignment horizontal="left" vertical="center" wrapText="1"/>
      <protection locked="0"/>
    </xf>
    <xf numFmtId="0" fontId="10" fillId="0" borderId="0" xfId="15" applyFont="1" applyProtection="1">
      <protection locked="0"/>
    </xf>
    <xf numFmtId="0" fontId="32" fillId="14" borderId="0" xfId="15" quotePrefix="1" applyFont="1" applyFill="1" applyAlignment="1" applyProtection="1">
      <alignment horizontal="left" vertical="center" wrapText="1"/>
      <protection locked="0"/>
    </xf>
    <xf numFmtId="0" fontId="33" fillId="14" borderId="0" xfId="15" applyFont="1" applyFill="1" applyAlignment="1" applyProtection="1">
      <alignment horizontal="left" vertical="center" wrapText="1"/>
      <protection locked="0"/>
    </xf>
    <xf numFmtId="0" fontId="30" fillId="14" borderId="29" xfId="15" applyFont="1" applyFill="1" applyBorder="1" applyAlignment="1" applyProtection="1">
      <alignment horizontal="left" vertical="top" wrapText="1"/>
      <protection locked="0"/>
    </xf>
    <xf numFmtId="0" fontId="33" fillId="14" borderId="29" xfId="15" applyFont="1" applyFill="1" applyBorder="1" applyAlignment="1" applyProtection="1">
      <alignment horizontal="left" vertical="center" wrapText="1"/>
      <protection locked="0"/>
    </xf>
    <xf numFmtId="0" fontId="33" fillId="0" borderId="0" xfId="21" applyFont="1" applyAlignment="1" applyProtection="1">
      <alignment horizontal="left" vertical="top" wrapText="1"/>
      <protection locked="0"/>
    </xf>
    <xf numFmtId="0" fontId="33" fillId="0" borderId="0" xfId="21" applyFont="1" applyAlignment="1" applyProtection="1">
      <alignment horizontal="right" vertical="top" wrapText="1"/>
      <protection locked="0"/>
    </xf>
    <xf numFmtId="0" fontId="35" fillId="0" borderId="0" xfId="3" applyFont="1" applyFill="1"/>
    <xf numFmtId="1" fontId="21" fillId="0" borderId="30" xfId="0" applyNumberFormat="1" applyFont="1" applyBorder="1" applyAlignment="1">
      <alignment horizontal="left" vertical="center"/>
    </xf>
    <xf numFmtId="0" fontId="3" fillId="0" borderId="31" xfId="0" applyFont="1" applyBorder="1" applyAlignment="1">
      <alignment horizontal="center" vertical="center"/>
    </xf>
    <xf numFmtId="0" fontId="3" fillId="0" borderId="31" xfId="0" applyFont="1" applyBorder="1" applyAlignment="1">
      <alignment horizontal="left" vertical="center"/>
    </xf>
    <xf numFmtId="0" fontId="3" fillId="0" borderId="31" xfId="0" applyFont="1" applyBorder="1" applyAlignment="1">
      <alignment horizontal="center" vertical="center" wrapText="1"/>
    </xf>
    <xf numFmtId="0" fontId="3" fillId="0" borderId="32" xfId="0" applyFont="1" applyBorder="1" applyAlignment="1">
      <alignment horizontal="center" vertical="center" wrapText="1"/>
    </xf>
    <xf numFmtId="1" fontId="21" fillId="0" borderId="33" xfId="0" applyNumberFormat="1" applyFont="1" applyBorder="1" applyAlignment="1">
      <alignment horizontal="left" vertical="center"/>
    </xf>
    <xf numFmtId="0" fontId="6" fillId="0" borderId="34" xfId="0" applyFont="1" applyBorder="1" applyAlignment="1">
      <alignment horizontal="center" vertical="center" wrapText="1"/>
    </xf>
    <xf numFmtId="0" fontId="6" fillId="0" borderId="33" xfId="0" applyFont="1" applyBorder="1" applyAlignment="1">
      <alignment horizontal="left" vertical="center"/>
    </xf>
    <xf numFmtId="0" fontId="3" fillId="0" borderId="34" xfId="0" applyFont="1" applyBorder="1" applyAlignment="1">
      <alignment horizontal="center" vertical="center" wrapText="1"/>
    </xf>
    <xf numFmtId="0" fontId="6" fillId="0" borderId="20" xfId="0" applyFont="1" applyBorder="1" applyAlignment="1">
      <alignment horizontal="left" vertical="center"/>
    </xf>
    <xf numFmtId="0" fontId="3" fillId="0" borderId="29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 wrapText="1"/>
    </xf>
    <xf numFmtId="0" fontId="3" fillId="0" borderId="35" xfId="0" applyFont="1" applyBorder="1" applyAlignment="1">
      <alignment horizontal="center" vertical="center" wrapText="1"/>
    </xf>
    <xf numFmtId="1" fontId="3" fillId="0" borderId="5" xfId="0" applyNumberFormat="1" applyFont="1" applyBorder="1" applyAlignment="1">
      <alignment horizontal="center" vertical="center"/>
    </xf>
    <xf numFmtId="1" fontId="3" fillId="7" borderId="5" xfId="0" applyNumberFormat="1" applyFont="1" applyFill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85" fontId="8" fillId="12" borderId="0" xfId="0" applyNumberFormat="1" applyFont="1" applyFill="1" applyAlignment="1">
      <alignment horizontal="center" vertical="center" wrapText="1"/>
    </xf>
    <xf numFmtId="185" fontId="10" fillId="0" borderId="0" xfId="0" applyNumberFormat="1" applyFont="1" applyAlignment="1">
      <alignment horizontal="center" vertical="center" wrapText="1"/>
    </xf>
    <xf numFmtId="185" fontId="3" fillId="0" borderId="0" xfId="0" applyNumberFormat="1" applyFont="1" applyAlignment="1">
      <alignment horizontal="center" vertical="center" wrapText="1"/>
    </xf>
    <xf numFmtId="187" fontId="3" fillId="0" borderId="0" xfId="0" applyNumberFormat="1" applyFont="1" applyAlignment="1">
      <alignment horizontal="center" vertical="center"/>
    </xf>
    <xf numFmtId="193" fontId="5" fillId="0" borderId="4" xfId="2" applyNumberFormat="1" applyFont="1" applyBorder="1" applyAlignment="1">
      <alignment horizontal="center" vertical="center"/>
    </xf>
    <xf numFmtId="0" fontId="5" fillId="0" borderId="0" xfId="0" applyFont="1" applyAlignment="1">
      <alignment horizontal="left" vertical="center" wrapText="1"/>
    </xf>
    <xf numFmtId="0" fontId="5" fillId="0" borderId="0" xfId="0" applyFont="1" applyAlignment="1">
      <alignment horizontal="center" vertical="center"/>
    </xf>
    <xf numFmtId="0" fontId="37" fillId="0" borderId="0" xfId="0" applyFont="1" applyAlignment="1">
      <alignment wrapText="1"/>
    </xf>
    <xf numFmtId="0" fontId="6" fillId="6" borderId="5" xfId="0" applyFont="1" applyFill="1" applyBorder="1" applyAlignment="1">
      <alignment horizontal="center" vertical="center" wrapText="1"/>
    </xf>
    <xf numFmtId="2" fontId="3" fillId="0" borderId="0" xfId="0" applyNumberFormat="1" applyFont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1" fontId="5" fillId="0" borderId="0" xfId="0" applyNumberFormat="1" applyFont="1" applyAlignment="1">
      <alignment horizontal="center" vertical="center" wrapText="1"/>
    </xf>
    <xf numFmtId="0" fontId="5" fillId="5" borderId="5" xfId="0" applyFont="1" applyFill="1" applyBorder="1" applyAlignment="1">
      <alignment horizontal="center" vertical="center" wrapText="1"/>
    </xf>
    <xf numFmtId="0" fontId="3" fillId="0" borderId="5" xfId="0" applyFont="1" applyBorder="1" applyAlignment="1">
      <alignment vertical="center" wrapText="1"/>
    </xf>
    <xf numFmtId="194" fontId="3" fillId="0" borderId="0" xfId="22" applyNumberFormat="1" applyFont="1" applyFill="1" applyAlignment="1">
      <alignment horizontal="center" vertical="center"/>
    </xf>
    <xf numFmtId="9" fontId="3" fillId="0" borderId="0" xfId="1" applyFont="1" applyFill="1" applyAlignment="1">
      <alignment horizontal="center" vertical="center"/>
    </xf>
    <xf numFmtId="194" fontId="3" fillId="0" borderId="0" xfId="0" applyNumberFormat="1" applyFont="1" applyAlignment="1">
      <alignment horizontal="center" vertical="center"/>
    </xf>
    <xf numFmtId="194" fontId="3" fillId="0" borderId="5" xfId="22" applyNumberFormat="1" applyFont="1" applyFill="1" applyBorder="1" applyAlignment="1">
      <alignment horizontal="center" vertical="center"/>
    </xf>
    <xf numFmtId="194" fontId="3" fillId="0" borderId="25" xfId="22" applyNumberFormat="1" applyFont="1" applyFill="1" applyBorder="1" applyAlignment="1">
      <alignment horizontal="center" vertical="center"/>
    </xf>
    <xf numFmtId="192" fontId="5" fillId="0" borderId="0" xfId="0" applyNumberFormat="1" applyFont="1" applyAlignment="1">
      <alignment horizontal="center" vertical="center"/>
    </xf>
    <xf numFmtId="0" fontId="5" fillId="0" borderId="5" xfId="2" quotePrefix="1" applyFont="1" applyBorder="1" applyAlignment="1">
      <alignment horizontal="left" vertical="center" wrapText="1"/>
    </xf>
    <xf numFmtId="14" fontId="5" fillId="0" borderId="36" xfId="2" applyNumberFormat="1" applyFont="1" applyBorder="1" applyAlignment="1">
      <alignment horizontal="center" vertical="center"/>
    </xf>
    <xf numFmtId="0" fontId="40" fillId="0" borderId="5" xfId="0" applyFont="1" applyBorder="1" applyAlignment="1">
      <alignment vertical="top" wrapText="1"/>
    </xf>
    <xf numFmtId="0" fontId="41" fillId="17" borderId="5" xfId="0" applyFont="1" applyFill="1" applyBorder="1" applyAlignment="1">
      <alignment horizontal="center" vertical="top" wrapText="1"/>
    </xf>
    <xf numFmtId="195" fontId="3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3" fillId="15" borderId="5" xfId="0" applyFont="1" applyFill="1" applyBorder="1" applyAlignment="1">
      <alignment horizontal="center" vertical="center"/>
    </xf>
    <xf numFmtId="0" fontId="19" fillId="0" borderId="6" xfId="0" applyFont="1" applyBorder="1" applyAlignment="1">
      <alignment horizontal="center" vertical="center" wrapText="1"/>
    </xf>
    <xf numFmtId="0" fontId="19" fillId="0" borderId="4" xfId="0" applyFont="1" applyBorder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3" fillId="6" borderId="8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left" vertical="center" wrapText="1"/>
    </xf>
    <xf numFmtId="0" fontId="6" fillId="0" borderId="5" xfId="0" applyFont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3" fillId="6" borderId="11" xfId="0" applyFont="1" applyFill="1" applyBorder="1" applyAlignment="1">
      <alignment horizontal="center" vertical="center"/>
    </xf>
    <xf numFmtId="0" fontId="3" fillId="6" borderId="4" xfId="0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0" fontId="9" fillId="0" borderId="9" xfId="0" applyFont="1" applyBorder="1" applyAlignment="1">
      <alignment horizontal="right" vertical="center"/>
    </xf>
    <xf numFmtId="0" fontId="9" fillId="0" borderId="12" xfId="0" applyFont="1" applyBorder="1" applyAlignment="1">
      <alignment horizontal="right" vertical="center"/>
    </xf>
    <xf numFmtId="0" fontId="9" fillId="0" borderId="7" xfId="0" applyFont="1" applyBorder="1" applyAlignment="1">
      <alignment horizontal="right" vertical="center"/>
    </xf>
    <xf numFmtId="0" fontId="9" fillId="0" borderId="3" xfId="0" applyFont="1" applyBorder="1" applyAlignment="1">
      <alignment horizontal="right" vertical="center"/>
    </xf>
    <xf numFmtId="0" fontId="9" fillId="0" borderId="10" xfId="0" applyFont="1" applyBorder="1" applyAlignment="1">
      <alignment horizontal="right" vertical="center"/>
    </xf>
    <xf numFmtId="0" fontId="9" fillId="0" borderId="1" xfId="0" applyFont="1" applyBorder="1" applyAlignment="1">
      <alignment horizontal="right" vertical="center"/>
    </xf>
    <xf numFmtId="0" fontId="5" fillId="10" borderId="9" xfId="0" applyFont="1" applyFill="1" applyBorder="1" applyAlignment="1">
      <alignment horizontal="left" vertical="center" wrapText="1"/>
    </xf>
    <xf numFmtId="0" fontId="5" fillId="10" borderId="7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5" fillId="10" borderId="1" xfId="0" applyFont="1" applyFill="1" applyBorder="1" applyAlignment="1">
      <alignment horizontal="left" vertical="center" wrapText="1"/>
    </xf>
    <xf numFmtId="0" fontId="5" fillId="10" borderId="13" xfId="0" applyFont="1" applyFill="1" applyBorder="1" applyAlignment="1">
      <alignment horizontal="left" vertical="center" wrapText="1"/>
    </xf>
    <xf numFmtId="0" fontId="5" fillId="10" borderId="14" xfId="0" applyFont="1" applyFill="1" applyBorder="1" applyAlignment="1">
      <alignment horizontal="left" vertical="center" wrapText="1"/>
    </xf>
    <xf numFmtId="0" fontId="9" fillId="3" borderId="6" xfId="0" applyFont="1" applyFill="1" applyBorder="1" applyAlignment="1">
      <alignment horizontal="center" vertical="center" wrapText="1"/>
    </xf>
    <xf numFmtId="0" fontId="9" fillId="3" borderId="4" xfId="0" applyFont="1" applyFill="1" applyBorder="1" applyAlignment="1">
      <alignment horizontal="center" vertical="center" wrapText="1"/>
    </xf>
    <xf numFmtId="0" fontId="9" fillId="2" borderId="6" xfId="0" applyFont="1" applyFill="1" applyBorder="1" applyAlignment="1">
      <alignment horizontal="center" vertical="center" wrapText="1"/>
    </xf>
    <xf numFmtId="0" fontId="9" fillId="2" borderId="4" xfId="0" applyFont="1" applyFill="1" applyBorder="1" applyAlignment="1">
      <alignment horizontal="center" vertical="center" wrapText="1"/>
    </xf>
    <xf numFmtId="0" fontId="5" fillId="8" borderId="6" xfId="0" applyFont="1" applyFill="1" applyBorder="1" applyAlignment="1">
      <alignment horizontal="left" vertical="center"/>
    </xf>
    <xf numFmtId="0" fontId="5" fillId="8" borderId="11" xfId="0" applyFont="1" applyFill="1" applyBorder="1" applyAlignment="1">
      <alignment horizontal="left" vertical="center"/>
    </xf>
    <xf numFmtId="0" fontId="5" fillId="8" borderId="4" xfId="0" applyFont="1" applyFill="1" applyBorder="1" applyAlignment="1">
      <alignment horizontal="left" vertical="center"/>
    </xf>
    <xf numFmtId="0" fontId="5" fillId="8" borderId="6" xfId="0" applyFont="1" applyFill="1" applyBorder="1" applyAlignment="1">
      <alignment horizontal="left" vertical="center" wrapText="1"/>
    </xf>
    <xf numFmtId="0" fontId="5" fillId="8" borderId="11" xfId="0" applyFont="1" applyFill="1" applyBorder="1" applyAlignment="1">
      <alignment horizontal="left" vertical="center" wrapText="1"/>
    </xf>
    <xf numFmtId="0" fontId="5" fillId="8" borderId="4" xfId="0" applyFont="1" applyFill="1" applyBorder="1" applyAlignment="1">
      <alignment horizontal="left" vertical="center" wrapText="1"/>
    </xf>
    <xf numFmtId="0" fontId="6" fillId="0" borderId="6" xfId="0" applyFont="1" applyBorder="1" applyAlignment="1">
      <alignment horizontal="left" vertical="center"/>
    </xf>
    <xf numFmtId="0" fontId="6" fillId="0" borderId="11" xfId="0" applyFont="1" applyBorder="1" applyAlignment="1">
      <alignment horizontal="left" vertical="center"/>
    </xf>
    <xf numFmtId="0" fontId="6" fillId="0" borderId="4" xfId="0" applyFont="1" applyBorder="1" applyAlignment="1">
      <alignment horizontal="left" vertical="center"/>
    </xf>
    <xf numFmtId="0" fontId="12" fillId="0" borderId="3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15" borderId="6" xfId="0" applyFont="1" applyFill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6" fillId="0" borderId="8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39" fillId="16" borderId="5" xfId="0" applyFont="1" applyFill="1" applyBorder="1" applyAlignment="1">
      <alignment horizontal="center" vertical="top" wrapText="1"/>
    </xf>
    <xf numFmtId="0" fontId="40" fillId="0" borderId="5" xfId="0" applyFont="1" applyBorder="1" applyAlignment="1">
      <alignment vertical="top" wrapText="1"/>
    </xf>
  </cellXfs>
  <cellStyles count="23">
    <cellStyle name="Comma" xfId="22" builtinId="3"/>
    <cellStyle name="Comma 2" xfId="12" xr:uid="{58A5290D-416F-4D9B-AAD2-A56BBC871A2A}"/>
    <cellStyle name="Hyperlink" xfId="3" builtinId="8"/>
    <cellStyle name="Hyperlink 2" xfId="9" xr:uid="{C2E28983-3F48-4F6E-9BD9-2C364EDAF5BB}"/>
    <cellStyle name="Normal" xfId="0" builtinId="0"/>
    <cellStyle name="Normal 2" xfId="4" xr:uid="{00000000-0005-0000-0000-000002000000}"/>
    <cellStyle name="Normal 2 2" xfId="5" xr:uid="{00000000-0005-0000-0000-000003000000}"/>
    <cellStyle name="Normal 2 3" xfId="8" xr:uid="{4CBDF80F-A217-4879-A5B2-6BF83B50480E}"/>
    <cellStyle name="Normal 2 4" xfId="16" xr:uid="{7EA46637-31FC-470F-AE09-E8BA08F560DC}"/>
    <cellStyle name="Normal 2 5" xfId="7" xr:uid="{00000000-0005-0000-0000-000004000000}"/>
    <cellStyle name="Normal 3" xfId="2" xr:uid="{00000000-0005-0000-0000-000005000000}"/>
    <cellStyle name="Normal 3 2" xfId="18" xr:uid="{FCD8E639-4D55-4521-B610-12DC26D03F92}"/>
    <cellStyle name="Normal 4" xfId="11" xr:uid="{E33884FB-5F07-4093-8D07-79F04C009B55}"/>
    <cellStyle name="Normal 4 2" xfId="17" xr:uid="{C6A44D8D-1A6B-413D-9EEC-F9EF50972F0C}"/>
    <cellStyle name="Normal 5" xfId="6" xr:uid="{00000000-0005-0000-0000-000006000000}"/>
    <cellStyle name="Percent" xfId="1" builtinId="5"/>
    <cellStyle name="Percent 2" xfId="10" xr:uid="{A47F6EDD-CB77-4FBD-9F07-CDCEB9FBDC99}"/>
    <cellStyle name="Percent 2 2" xfId="20" xr:uid="{B2D3C122-C6AA-4251-AA0B-A146FEC7271C}"/>
    <cellStyle name="Percent 3" xfId="13" xr:uid="{3C00CE4C-F1E7-41F6-8AFF-811B8B24FF09}"/>
    <cellStyle name="Percent 3 2" xfId="19" xr:uid="{07553329-830B-474D-AA25-58E38A094C7D}"/>
    <cellStyle name="Standard 2" xfId="15" xr:uid="{DE62C802-CA66-4A81-B01D-8D11E0571582}"/>
    <cellStyle name="Standard 2 2 2" xfId="21" xr:uid="{31C60B51-85BC-4ABF-967D-06302805115A}"/>
    <cellStyle name="千位分隔 13" xfId="14" xr:uid="{35A899F9-BAF8-4228-A59B-2B67AC2D8B2D}"/>
  </cellStyles>
  <dxfs count="768">
    <dxf>
      <font>
        <color rgb="FF9C0006"/>
      </font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190" formatCode="_-[$¥-411]* #,##0_-;\-[$¥-411]* #,##0_-;_-[$¥-411]* &quot;-&quot;_-;_-@_-"/>
    </dxf>
    <dxf>
      <numFmt numFmtId="191" formatCode="_ [$₹-4009]\ * #,##0_ ;_ [$₹-4009]\ * \-#,##0_ ;_ [$₹-4009]\ * &quot;-&quot;_ ;_ @_ "/>
    </dxf>
    <dxf>
      <numFmt numFmtId="196" formatCode="_-[$€-2]\ * #,##0_ ;_-[$€-2]\ * \-#,##0\ ;_-[$€-2]\ * &quot;-&quot;_ ;_-@_ "/>
    </dxf>
    <dxf>
      <numFmt numFmtId="197" formatCode="_-[$$-409]* #,##0.00_ ;_-[$$-409]* \-#,##0.00\ ;_-[$$-409]* &quot;-&quot;??_ ;_-@_ "/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190" formatCode="_-[$¥-411]* #,##0_-;\-[$¥-411]* #,##0_-;_-[$¥-411]* &quot;-&quot;_-;_-@_-"/>
    </dxf>
    <dxf>
      <numFmt numFmtId="191" formatCode="_ [$₹-4009]\ * #,##0_ ;_ [$₹-4009]\ * \-#,##0_ ;_ [$₹-4009]\ * &quot;-&quot;_ ;_ @_ 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190" formatCode="_-[$¥-411]* #,##0_-;\-[$¥-411]* #,##0_-;_-[$¥-411]* &quot;-&quot;_-;_-@_-"/>
    </dxf>
    <dxf>
      <numFmt numFmtId="191" formatCode="_ [$₹-4009]\ * #,##0_ ;_ [$₹-4009]\ * \-#,##0_ ;_ [$₹-4009]\ * &quot;-&quot;_ ;_ @_ 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190" formatCode="_-[$¥-411]* #,##0_-;\-[$¥-411]* #,##0_-;_-[$¥-411]* &quot;-&quot;_-;_-@_-"/>
    </dxf>
    <dxf>
      <numFmt numFmtId="191" formatCode="_ [$₹-4009]\ * #,##0_ ;_ [$₹-4009]\ * \-#,##0_ ;_ [$₹-4009]\ * &quot;-&quot;_ ;_ @_ 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190" formatCode="_-[$¥-411]* #,##0_-;\-[$¥-411]* #,##0_-;_-[$¥-411]* &quot;-&quot;_-;_-@_-"/>
    </dxf>
    <dxf>
      <numFmt numFmtId="191" formatCode="_ [$₹-4009]\ * #,##0_ ;_ [$₹-4009]\ * \-#,##0_ ;_ [$₹-4009]\ * &quot;-&quot;_ ;_ @_ 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190" formatCode="_-[$¥-411]* #,##0_-;\-[$¥-411]* #,##0_-;_-[$¥-411]* &quot;-&quot;_-;_-@_-"/>
    </dxf>
    <dxf>
      <numFmt numFmtId="191" formatCode="_ [$₹-4009]\ * #,##0_ ;_ [$₹-4009]\ * \-#,##0_ ;_ [$₹-4009]\ * &quot;-&quot;_ ;_ @_ 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190" formatCode="_-[$¥-411]* #,##0_-;\-[$¥-411]* #,##0_-;_-[$¥-411]* &quot;-&quot;_-;_-@_-"/>
    </dxf>
    <dxf>
      <numFmt numFmtId="191" formatCode="_ [$₹-4009]\ * #,##0_ ;_ [$₹-4009]\ * \-#,##0_ ;_ [$₹-4009]\ * &quot;-&quot;_ ;_ @_ 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190" formatCode="_-[$¥-411]* #,##0_-;\-[$¥-411]* #,##0_-;_-[$¥-411]* &quot;-&quot;_-;_-@_-"/>
    </dxf>
    <dxf>
      <numFmt numFmtId="191" formatCode="_ [$₹-4009]\ * #,##0_ ;_ [$₹-4009]\ * \-#,##0_ ;_ [$₹-4009]\ * &quot;-&quot;_ ;_ @_ 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190" formatCode="_-[$¥-411]* #,##0_-;\-[$¥-411]* #,##0_-;_-[$¥-411]* &quot;-&quot;_-;_-@_-"/>
    </dxf>
    <dxf>
      <numFmt numFmtId="191" formatCode="_ [$₹-4009]\ * #,##0_ ;_ [$₹-4009]\ * \-#,##0_ ;_ [$₹-4009]\ * &quot;-&quot;_ ;_ @_ 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190" formatCode="_-[$¥-411]* #,##0_-;\-[$¥-411]* #,##0_-;_-[$¥-411]* &quot;-&quot;_-;_-@_-"/>
    </dxf>
    <dxf>
      <numFmt numFmtId="191" formatCode="_ [$₹-4009]\ * #,##0_ ;_ [$₹-4009]\ * \-#,##0_ ;_ [$₹-4009]\ * &quot;-&quot;_ ;_ @_ 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190" formatCode="_-[$¥-411]* #,##0_-;\-[$¥-411]* #,##0_-;_-[$¥-411]* &quot;-&quot;_-;_-@_-"/>
    </dxf>
    <dxf>
      <numFmt numFmtId="191" formatCode="_ [$₹-4009]\ * #,##0_ ;_ [$₹-4009]\ * \-#,##0_ ;_ [$₹-4009]\ * &quot;-&quot;_ ;_ @_ 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190" formatCode="_-[$¥-411]* #,##0_-;\-[$¥-411]* #,##0_-;_-[$¥-411]* &quot;-&quot;_-;_-@_-"/>
    </dxf>
    <dxf>
      <numFmt numFmtId="191" formatCode="_ [$₹-4009]\ * #,##0_ ;_ [$₹-4009]\ * \-#,##0_ ;_ [$₹-4009]\ * &quot;-&quot;_ ;_ @_ 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190" formatCode="_-[$¥-411]* #,##0_-;\-[$¥-411]* #,##0_-;_-[$¥-411]* &quot;-&quot;_-;_-@_-"/>
    </dxf>
    <dxf>
      <numFmt numFmtId="191" formatCode="_ [$₹-4009]\ * #,##0_ ;_ [$₹-4009]\ * \-#,##0_ ;_ [$₹-4009]\ * &quot;-&quot;_ ;_ @_ 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190" formatCode="_-[$¥-411]* #,##0_-;\-[$¥-411]* #,##0_-;_-[$¥-411]* &quot;-&quot;_-;_-@_-"/>
    </dxf>
    <dxf>
      <numFmt numFmtId="191" formatCode="_ [$₹-4009]\ * #,##0_ ;_ [$₹-4009]\ * \-#,##0_ ;_ [$₹-4009]\ * &quot;-&quot;_ ;_ @_ 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190" formatCode="_-[$¥-411]* #,##0_-;\-[$¥-411]* #,##0_-;_-[$¥-411]* &quot;-&quot;_-;_-@_-"/>
    </dxf>
    <dxf>
      <numFmt numFmtId="191" formatCode="_ [$₹-4009]\ * #,##0_ ;_ [$₹-4009]\ * \-#,##0_ ;_ [$₹-4009]\ * &quot;-&quot;_ ;_ @_ 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190" formatCode="_-[$¥-411]* #,##0_-;\-[$¥-411]* #,##0_-;_-[$¥-411]* &quot;-&quot;_-;_-@_-"/>
    </dxf>
    <dxf>
      <numFmt numFmtId="191" formatCode="_ [$₹-4009]\ * #,##0_ ;_ [$₹-4009]\ * \-#,##0_ ;_ [$₹-4009]\ * &quot;-&quot;_ ;_ @_ 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190" formatCode="_-[$¥-411]* #,##0_-;\-[$¥-411]* #,##0_-;_-[$¥-411]* &quot;-&quot;_-;_-@_-"/>
    </dxf>
    <dxf>
      <numFmt numFmtId="191" formatCode="_ [$₹-4009]\ * #,##0_ ;_ [$₹-4009]\ * \-#,##0_ ;_ [$₹-4009]\ * &quot;-&quot;_ ;_ @_ 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190" formatCode="_-[$¥-411]* #,##0_-;\-[$¥-411]* #,##0_-;_-[$¥-411]* &quot;-&quot;_-;_-@_-"/>
    </dxf>
    <dxf>
      <numFmt numFmtId="191" formatCode="_ [$₹-4009]\ * #,##0_ ;_ [$₹-4009]\ * \-#,##0_ ;_ [$₹-4009]\ * &quot;-&quot;_ ;_ @_ 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190" formatCode="_-[$¥-411]* #,##0_-;\-[$¥-411]* #,##0_-;_-[$¥-411]* &quot;-&quot;_-;_-@_-"/>
    </dxf>
    <dxf>
      <numFmt numFmtId="191" formatCode="_ [$₹-4009]\ * #,##0_ ;_ [$₹-4009]\ * \-#,##0_ ;_ [$₹-4009]\ * &quot;-&quot;_ ;_ @_ 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190" formatCode="_-[$¥-411]* #,##0_-;\-[$¥-411]* #,##0_-;_-[$¥-411]* &quot;-&quot;_-;_-@_-"/>
    </dxf>
    <dxf>
      <numFmt numFmtId="191" formatCode="_ [$₹-4009]\ * #,##0_ ;_ [$₹-4009]\ * \-#,##0_ ;_ [$₹-4009]\ * &quot;-&quot;_ ;_ @_ 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190" formatCode="_-[$¥-411]* #,##0_-;\-[$¥-411]* #,##0_-;_-[$¥-411]* &quot;-&quot;_-;_-@_-"/>
    </dxf>
    <dxf>
      <numFmt numFmtId="191" formatCode="_ [$₹-4009]\ * #,##0_ ;_ [$₹-4009]\ * \-#,##0_ ;_ [$₹-4009]\ * &quot;-&quot;_ ;_ @_ 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190" formatCode="_-[$¥-411]* #,##0_-;\-[$¥-411]* #,##0_-;_-[$¥-411]* &quot;-&quot;_-;_-@_-"/>
    </dxf>
    <dxf>
      <numFmt numFmtId="191" formatCode="_ [$₹-4009]\ * #,##0_ ;_ [$₹-4009]\ * \-#,##0_ ;_ [$₹-4009]\ * &quot;-&quot;_ ;_ @_ 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190" formatCode="_-[$¥-411]* #,##0_-;\-[$¥-411]* #,##0_-;_-[$¥-411]* &quot;-&quot;_-;_-@_-"/>
    </dxf>
    <dxf>
      <numFmt numFmtId="191" formatCode="_ [$₹-4009]\ * #,##0_ ;_ [$₹-4009]\ * \-#,##0_ ;_ [$₹-4009]\ * &quot;-&quot;_ ;_ @_ 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190" formatCode="_-[$¥-411]* #,##0_-;\-[$¥-411]* #,##0_-;_-[$¥-411]* &quot;-&quot;_-;_-@_-"/>
    </dxf>
    <dxf>
      <numFmt numFmtId="191" formatCode="_ [$₹-4009]\ * #,##0_ ;_ [$₹-4009]\ * \-#,##0_ ;_ [$₹-4009]\ * &quot;-&quot;_ ;_ @_ 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190" formatCode="_-[$¥-411]* #,##0_-;\-[$¥-411]* #,##0_-;_-[$¥-411]* &quot;-&quot;_-;_-@_-"/>
    </dxf>
    <dxf>
      <numFmt numFmtId="191" formatCode="_ [$₹-4009]\ * #,##0_ ;_ [$₹-4009]\ * \-#,##0_ ;_ [$₹-4009]\ * &quot;-&quot;_ ;_ @_ 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190" formatCode="_-[$¥-411]* #,##0_-;\-[$¥-411]* #,##0_-;_-[$¥-411]* &quot;-&quot;_-;_-@_-"/>
    </dxf>
    <dxf>
      <numFmt numFmtId="191" formatCode="_ [$₹-4009]\ * #,##0_ ;_ [$₹-4009]\ * \-#,##0_ ;_ [$₹-4009]\ * &quot;-&quot;_ ;_ @_ 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190" formatCode="_-[$¥-411]* #,##0_-;\-[$¥-411]* #,##0_-;_-[$¥-411]* &quot;-&quot;_-;_-@_-"/>
    </dxf>
    <dxf>
      <numFmt numFmtId="191" formatCode="_ [$₹-4009]\ * #,##0_ ;_ [$₹-4009]\ * \-#,##0_ ;_ [$₹-4009]\ * &quot;-&quot;_ ;_ @_ 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190" formatCode="_-[$¥-411]* #,##0_-;\-[$¥-411]* #,##0_-;_-[$¥-411]* &quot;-&quot;_-;_-@_-"/>
    </dxf>
    <dxf>
      <numFmt numFmtId="191" formatCode="_ [$₹-4009]\ * #,##0_ ;_ [$₹-4009]\ * \-#,##0_ ;_ [$₹-4009]\ * &quot;-&quot;_ ;_ @_ 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190" formatCode="_-[$¥-411]* #,##0_-;\-[$¥-411]* #,##0_-;_-[$¥-411]* &quot;-&quot;_-;_-@_-"/>
    </dxf>
    <dxf>
      <numFmt numFmtId="191" formatCode="_ [$₹-4009]\ * #,##0_ ;_ [$₹-4009]\ * \-#,##0_ ;_ [$₹-4009]\ * &quot;-&quot;_ ;_ @_ 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190" formatCode="_-[$¥-411]* #,##0_-;\-[$¥-411]* #,##0_-;_-[$¥-411]* &quot;-&quot;_-;_-@_-"/>
    </dxf>
    <dxf>
      <numFmt numFmtId="191" formatCode="_ [$₹-4009]\ * #,##0_ ;_ [$₹-4009]\ * \-#,##0_ ;_ [$₹-4009]\ * &quot;-&quot;_ ;_ @_ 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190" formatCode="_-[$¥-411]* #,##0_-;\-[$¥-411]* #,##0_-;_-[$¥-411]* &quot;-&quot;_-;_-@_-"/>
    </dxf>
    <dxf>
      <numFmt numFmtId="191" formatCode="_ [$₹-4009]\ * #,##0_ ;_ [$₹-4009]\ * \-#,##0_ ;_ [$₹-4009]\ * &quot;-&quot;_ ;_ @_ 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190" formatCode="_-[$¥-411]* #,##0_-;\-[$¥-411]* #,##0_-;_-[$¥-411]* &quot;-&quot;_-;_-@_-"/>
    </dxf>
    <dxf>
      <numFmt numFmtId="191" formatCode="_ [$₹-4009]\ * #,##0_ ;_ [$₹-4009]\ * \-#,##0_ ;_ [$₹-4009]\ * &quot;-&quot;_ ;_ @_ 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190" formatCode="_-[$¥-411]* #,##0_-;\-[$¥-411]* #,##0_-;_-[$¥-411]* &quot;-&quot;_-;_-@_-"/>
    </dxf>
    <dxf>
      <numFmt numFmtId="191" formatCode="_ [$₹-4009]\ * #,##0_ ;_ [$₹-4009]\ * \-#,##0_ ;_ [$₹-4009]\ * &quot;-&quot;_ ;_ @_ 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190" formatCode="_-[$¥-411]* #,##0_-;\-[$¥-411]* #,##0_-;_-[$¥-411]* &quot;-&quot;_-;_-@_-"/>
    </dxf>
    <dxf>
      <numFmt numFmtId="191" formatCode="_ [$₹-4009]\ * #,##0_ ;_ [$₹-4009]\ * \-#,##0_ ;_ [$₹-4009]\ * &quot;-&quot;_ ;_ @_ 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190" formatCode="_-[$¥-411]* #,##0_-;\-[$¥-411]* #,##0_-;_-[$¥-411]* &quot;-&quot;_-;_-@_-"/>
    </dxf>
    <dxf>
      <numFmt numFmtId="191" formatCode="_ [$₹-4009]\ * #,##0_ ;_ [$₹-4009]\ * \-#,##0_ ;_ [$₹-4009]\ * &quot;-&quot;_ ;_ @_ 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190" formatCode="_-[$¥-411]* #,##0_-;\-[$¥-411]* #,##0_-;_-[$¥-411]* &quot;-&quot;_-;_-@_-"/>
    </dxf>
    <dxf>
      <numFmt numFmtId="191" formatCode="_ [$₹-4009]\ * #,##0_ ;_ [$₹-4009]\ * \-#,##0_ ;_ [$₹-4009]\ * &quot;-&quot;_ ;_ @_ 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190" formatCode="_-[$¥-411]* #,##0_-;\-[$¥-411]* #,##0_-;_-[$¥-411]* &quot;-&quot;_-;_-@_-"/>
    </dxf>
    <dxf>
      <numFmt numFmtId="191" formatCode="_ [$₹-4009]\ * #,##0_ ;_ [$₹-4009]\ * \-#,##0_ ;_ [$₹-4009]\ * &quot;-&quot;_ ;_ @_ 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190" formatCode="_-[$¥-411]* #,##0_-;\-[$¥-411]* #,##0_-;_-[$¥-411]* &quot;-&quot;_-;_-@_-"/>
    </dxf>
    <dxf>
      <numFmt numFmtId="191" formatCode="_ [$₹-4009]\ * #,##0_ ;_ [$₹-4009]\ * \-#,##0_ ;_ [$₹-4009]\ * &quot;-&quot;_ ;_ @_ 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190" formatCode="_-[$¥-411]* #,##0_-;\-[$¥-411]* #,##0_-;_-[$¥-411]* &quot;-&quot;_-;_-@_-"/>
    </dxf>
    <dxf>
      <numFmt numFmtId="191" formatCode="_ [$₹-4009]\ * #,##0_ ;_ [$₹-4009]\ * \-#,##0_ ;_ [$₹-4009]\ * &quot;-&quot;_ ;_ @_ 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190" formatCode="_-[$¥-411]* #,##0_-;\-[$¥-411]* #,##0_-;_-[$¥-411]* &quot;-&quot;_-;_-@_-"/>
    </dxf>
    <dxf>
      <numFmt numFmtId="191" formatCode="_ [$₹-4009]\ * #,##0_ ;_ [$₹-4009]\ * \-#,##0_ ;_ [$₹-4009]\ * &quot;-&quot;_ ;_ @_ 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190" formatCode="_-[$¥-411]* #,##0_-;\-[$¥-411]* #,##0_-;_-[$¥-411]* &quot;-&quot;_-;_-@_-"/>
    </dxf>
    <dxf>
      <numFmt numFmtId="191" formatCode="_ [$₹-4009]\ * #,##0_ ;_ [$₹-4009]\ * \-#,##0_ ;_ [$₹-4009]\ * &quot;-&quot;_ ;_ @_ 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190" formatCode="_-[$¥-411]* #,##0_-;\-[$¥-411]* #,##0_-;_-[$¥-411]* &quot;-&quot;_-;_-@_-"/>
    </dxf>
    <dxf>
      <numFmt numFmtId="191" formatCode="_ [$₹-4009]\ * #,##0_ ;_ [$₹-4009]\ * \-#,##0_ ;_ [$₹-4009]\ * &quot;-&quot;_ ;_ @_ 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190" formatCode="_-[$¥-411]* #,##0_-;\-[$¥-411]* #,##0_-;_-[$¥-411]* &quot;-&quot;_-;_-@_-"/>
    </dxf>
    <dxf>
      <numFmt numFmtId="191" formatCode="_ [$₹-4009]\ * #,##0_ ;_ [$₹-4009]\ * \-#,##0_ ;_ [$₹-4009]\ * &quot;-&quot;_ ;_ @_ 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190" formatCode="_-[$¥-411]* #,##0_-;\-[$¥-411]* #,##0_-;_-[$¥-411]* &quot;-&quot;_-;_-@_-"/>
    </dxf>
    <dxf>
      <numFmt numFmtId="191" formatCode="_ [$₹-4009]\ * #,##0_ ;_ [$₹-4009]\ * \-#,##0_ ;_ [$₹-4009]\ * &quot;-&quot;_ ;_ @_ 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190" formatCode="_-[$¥-411]* #,##0_-;\-[$¥-411]* #,##0_-;_-[$¥-411]* &quot;-&quot;_-;_-@_-"/>
    </dxf>
    <dxf>
      <numFmt numFmtId="191" formatCode="_ [$₹-4009]\ * #,##0_ ;_ [$₹-4009]\ * \-#,##0_ ;_ [$₹-4009]\ * &quot;-&quot;_ ;_ @_ 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190" formatCode="_-[$¥-411]* #,##0_-;\-[$¥-411]* #,##0_-;_-[$¥-411]* &quot;-&quot;_-;_-@_-"/>
    </dxf>
    <dxf>
      <numFmt numFmtId="191" formatCode="_ [$₹-4009]\ * #,##0_ ;_ [$₹-4009]\ * \-#,##0_ ;_ [$₹-4009]\ * &quot;-&quot;_ ;_ @_ 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190" formatCode="_-[$¥-411]* #,##0_-;\-[$¥-411]* #,##0_-;_-[$¥-411]* &quot;-&quot;_-;_-@_-"/>
    </dxf>
    <dxf>
      <numFmt numFmtId="191" formatCode="_ [$₹-4009]\ * #,##0_ ;_ [$₹-4009]\ * \-#,##0_ ;_ [$₹-4009]\ * &quot;-&quot;_ ;_ @_ 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190" formatCode="_-[$¥-411]* #,##0_-;\-[$¥-411]* #,##0_-;_-[$¥-411]* &quot;-&quot;_-;_-@_-"/>
    </dxf>
    <dxf>
      <numFmt numFmtId="191" formatCode="_ [$₹-4009]\ * #,##0_ ;_ [$₹-4009]\ * \-#,##0_ ;_ [$₹-4009]\ * &quot;-&quot;_ ;_ @_ 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190" formatCode="_-[$¥-411]* #,##0_-;\-[$¥-411]* #,##0_-;_-[$¥-411]* &quot;-&quot;_-;_-@_-"/>
    </dxf>
    <dxf>
      <numFmt numFmtId="191" formatCode="_ [$₹-4009]\ * #,##0_ ;_ [$₹-4009]\ * \-#,##0_ ;_ [$₹-4009]\ * &quot;-&quot;_ ;_ @_ 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190" formatCode="_-[$¥-411]* #,##0_-;\-[$¥-411]* #,##0_-;_-[$¥-411]* &quot;-&quot;_-;_-@_-"/>
    </dxf>
    <dxf>
      <numFmt numFmtId="191" formatCode="_ [$₹-4009]\ * #,##0_ ;_ [$₹-4009]\ * \-#,##0_ ;_ [$₹-4009]\ * &quot;-&quot;_ ;_ @_ 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font>
        <color theme="0"/>
      </font>
    </dxf>
    <dxf>
      <font>
        <color theme="0"/>
      </font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200" formatCode="_ [$₹-445]\ * #,##0_ ;_ [$₹-445]\ * \-#,##0_ ;_ [$₹-445]\ * &quot;-&quot;_ ;_ @_ "/>
    </dxf>
    <dxf>
      <numFmt numFmtId="190" formatCode="_-[$¥-411]* #,##0_-;\-[$¥-411]* #,##0_-;_-[$¥-411]* &quot;-&quot;_-;_-@_-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ill>
        <patternFill>
          <bgColor rgb="FFFFFF99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200" formatCode="_ [$₹-445]\ * #,##0_ ;_ [$₹-445]\ * \-#,##0_ ;_ [$₹-445]\ * &quot;-&quot;_ ;_ @_ "/>
    </dxf>
    <dxf>
      <numFmt numFmtId="190" formatCode="_-[$¥-411]* #,##0_-;\-[$¥-411]* #,##0_-;_-[$¥-411]* &quot;-&quot;_-;_-@_-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ill>
        <patternFill>
          <bgColor rgb="FFFFFF99"/>
        </patternFill>
      </fill>
    </dxf>
    <dxf>
      <font>
        <color theme="0"/>
      </font>
    </dxf>
    <dxf>
      <font>
        <color theme="0"/>
      </font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200" formatCode="_ [$₹-445]\ * #,##0_ ;_ [$₹-445]\ * \-#,##0_ ;_ [$₹-445]\ * &quot;-&quot;_ ;_ @_ "/>
    </dxf>
    <dxf>
      <numFmt numFmtId="190" formatCode="_-[$¥-411]* #,##0_-;\-[$¥-411]* #,##0_-;_-[$¥-411]* &quot;-&quot;_-;_-@_-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ill>
        <patternFill>
          <bgColor rgb="FFFFFF99"/>
        </patternFill>
      </fill>
    </dxf>
    <dxf>
      <font>
        <color theme="0"/>
      </font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200" formatCode="_ [$₹-445]\ * #,##0_ ;_ [$₹-445]\ * \-#,##0_ ;_ [$₹-445]\ * &quot;-&quot;_ ;_ @_ "/>
    </dxf>
    <dxf>
      <numFmt numFmtId="190" formatCode="_-[$¥-411]* #,##0_-;\-[$¥-411]* #,##0_-;_-[$¥-411]* &quot;-&quot;_-;_-@_-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ill>
        <patternFill>
          <bgColor rgb="FFFFFF99"/>
        </patternFill>
      </fill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200" formatCode="_ [$₹-445]\ * #,##0_ ;_ [$₹-445]\ * \-#,##0_ ;_ [$₹-445]\ * &quot;-&quot;_ ;_ @_ "/>
    </dxf>
    <dxf>
      <numFmt numFmtId="190" formatCode="_-[$¥-411]* #,##0_-;\-[$¥-411]* #,##0_-;_-[$¥-411]* &quot;-&quot;_-;_-@_-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ill>
        <patternFill>
          <bgColor rgb="FFFFFF99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200" formatCode="_ [$₹-445]\ * #,##0_ ;_ [$₹-445]\ * \-#,##0_ ;_ [$₹-445]\ * &quot;-&quot;_ ;_ @_ "/>
    </dxf>
    <dxf>
      <numFmt numFmtId="190" formatCode="_-[$¥-411]* #,##0_-;\-[$¥-411]* #,##0_-;_-[$¥-411]* &quot;-&quot;_-;_-@_-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ill>
        <patternFill>
          <bgColor rgb="FFFFFF99"/>
        </patternFill>
      </fill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200" formatCode="_ [$₹-445]\ * #,##0_ ;_ [$₹-445]\ * \-#,##0_ ;_ [$₹-445]\ * &quot;-&quot;_ ;_ @_ "/>
    </dxf>
    <dxf>
      <numFmt numFmtId="190" formatCode="_-[$¥-411]* #,##0_-;\-[$¥-411]* #,##0_-;_-[$¥-411]* &quot;-&quot;_-;_-@_-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ill>
        <patternFill>
          <bgColor rgb="FFFFFF99"/>
        </patternFill>
      </fill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200" formatCode="_ [$₹-445]\ * #,##0_ ;_ [$₹-445]\ * \-#,##0_ ;_ [$₹-445]\ * &quot;-&quot;_ ;_ @_ "/>
    </dxf>
    <dxf>
      <numFmt numFmtId="190" formatCode="_-[$¥-411]* #,##0_-;\-[$¥-411]* #,##0_-;_-[$¥-411]* &quot;-&quot;_-;_-@_-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ill>
        <patternFill>
          <bgColor rgb="FFFFFF99"/>
        </patternFill>
      </fill>
    </dxf>
    <dxf>
      <font>
        <color theme="0"/>
      </font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200" formatCode="_ [$₹-445]\ * #,##0_ ;_ [$₹-445]\ * \-#,##0_ ;_ [$₹-445]\ * &quot;-&quot;_ ;_ @_ "/>
    </dxf>
    <dxf>
      <numFmt numFmtId="190" formatCode="_-[$¥-411]* #,##0_-;\-[$¥-411]* #,##0_-;_-[$¥-411]* &quot;-&quot;_-;_-@_-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ill>
        <patternFill>
          <bgColor rgb="FFFFFF99"/>
        </patternFill>
      </fill>
    </dxf>
    <dxf>
      <font>
        <color theme="0"/>
      </font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200" formatCode="_ [$₹-445]\ * #,##0_ ;_ [$₹-445]\ * \-#,##0_ ;_ [$₹-445]\ * &quot;-&quot;_ ;_ @_ "/>
    </dxf>
    <dxf>
      <numFmt numFmtId="190" formatCode="_-[$¥-411]* #,##0_-;\-[$¥-411]* #,##0_-;_-[$¥-411]* &quot;-&quot;_-;_-@_-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ill>
        <patternFill>
          <bgColor rgb="FFFFFF99"/>
        </patternFill>
      </fill>
    </dxf>
    <dxf>
      <font>
        <color theme="0"/>
      </font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200" formatCode="_ [$₹-445]\ * #,##0_ ;_ [$₹-445]\ * \-#,##0_ ;_ [$₹-445]\ * &quot;-&quot;_ ;_ @_ "/>
    </dxf>
    <dxf>
      <numFmt numFmtId="190" formatCode="_-[$¥-411]* #,##0_-;\-[$¥-411]* #,##0_-;_-[$¥-411]* &quot;-&quot;_-;_-@_-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ill>
        <patternFill>
          <bgColor rgb="FFFFFF99"/>
        </patternFill>
      </fill>
    </dxf>
    <dxf>
      <font>
        <color theme="0"/>
      </font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200" formatCode="_ [$₹-445]\ * #,##0_ ;_ [$₹-445]\ * \-#,##0_ ;_ [$₹-445]\ * &quot;-&quot;_ ;_ @_ "/>
    </dxf>
    <dxf>
      <numFmt numFmtId="190" formatCode="_-[$¥-411]* #,##0_-;\-[$¥-411]* #,##0_-;_-[$¥-411]* &quot;-&quot;_-;_-@_-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ill>
        <patternFill>
          <bgColor rgb="FFFFFF99"/>
        </patternFill>
      </fill>
    </dxf>
    <dxf>
      <font>
        <color theme="0"/>
      </font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200" formatCode="_ [$₹-445]\ * #,##0_ ;_ [$₹-445]\ * \-#,##0_ ;_ [$₹-445]\ * &quot;-&quot;_ ;_ @_ "/>
    </dxf>
    <dxf>
      <numFmt numFmtId="190" formatCode="_-[$¥-411]* #,##0_-;\-[$¥-411]* #,##0_-;_-[$¥-411]* &quot;-&quot;_-;_-@_-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ill>
        <patternFill>
          <bgColor rgb="FFFFFF99"/>
        </patternFill>
      </fill>
    </dxf>
    <dxf>
      <font>
        <color theme="0"/>
      </font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200" formatCode="_ [$₹-445]\ * #,##0_ ;_ [$₹-445]\ * \-#,##0_ ;_ [$₹-445]\ * &quot;-&quot;_ ;_ @_ "/>
    </dxf>
    <dxf>
      <numFmt numFmtId="190" formatCode="_-[$¥-411]* #,##0_-;\-[$¥-411]* #,##0_-;_-[$¥-411]* &quot;-&quot;_-;_-@_-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ill>
        <patternFill>
          <bgColor rgb="FFFFFF99"/>
        </patternFill>
      </fill>
    </dxf>
    <dxf>
      <font>
        <color theme="0"/>
      </font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200" formatCode="_ [$₹-445]\ * #,##0_ ;_ [$₹-445]\ * \-#,##0_ ;_ [$₹-445]\ * &quot;-&quot;_ ;_ @_ "/>
    </dxf>
    <dxf>
      <numFmt numFmtId="190" formatCode="_-[$¥-411]* #,##0_-;\-[$¥-411]* #,##0_-;_-[$¥-411]* &quot;-&quot;_-;_-@_-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ill>
        <patternFill>
          <bgColor rgb="FFFFFF99"/>
        </patternFill>
      </fill>
    </dxf>
    <dxf>
      <font>
        <color theme="0"/>
      </font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200" formatCode="_ [$₹-445]\ * #,##0_ ;_ [$₹-445]\ * \-#,##0_ ;_ [$₹-445]\ * &quot;-&quot;_ ;_ @_ "/>
    </dxf>
    <dxf>
      <numFmt numFmtId="190" formatCode="_-[$¥-411]* #,##0_-;\-[$¥-411]* #,##0_-;_-[$¥-411]* &quot;-&quot;_-;_-@_-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ill>
        <patternFill>
          <bgColor rgb="FFFFFF99"/>
        </patternFill>
      </fill>
    </dxf>
    <dxf>
      <font>
        <color theme="0"/>
      </font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200" formatCode="_ [$₹-445]\ * #,##0_ ;_ [$₹-445]\ * \-#,##0_ ;_ [$₹-445]\ * &quot;-&quot;_ ;_ @_ "/>
    </dxf>
    <dxf>
      <numFmt numFmtId="190" formatCode="_-[$¥-411]* #,##0_-;\-[$¥-411]* #,##0_-;_-[$¥-411]* &quot;-&quot;_-;_-@_-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ill>
        <patternFill>
          <bgColor rgb="FFFFFF99"/>
        </patternFill>
      </fill>
    </dxf>
    <dxf>
      <font>
        <color theme="0"/>
      </font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200" formatCode="_ [$₹-445]\ * #,##0_ ;_ [$₹-445]\ * \-#,##0_ ;_ [$₹-445]\ * &quot;-&quot;_ ;_ @_ "/>
    </dxf>
    <dxf>
      <numFmt numFmtId="190" formatCode="_-[$¥-411]* #,##0_-;\-[$¥-411]* #,##0_-;_-[$¥-411]* &quot;-&quot;_-;_-@_-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ill>
        <patternFill>
          <bgColor rgb="FFFFFF99"/>
        </patternFill>
      </fill>
    </dxf>
    <dxf>
      <font>
        <color theme="0"/>
      </font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200" formatCode="_ [$₹-445]\ * #,##0_ ;_ [$₹-445]\ * \-#,##0_ ;_ [$₹-445]\ * &quot;-&quot;_ ;_ @_ "/>
    </dxf>
    <dxf>
      <numFmt numFmtId="190" formatCode="_-[$¥-411]* #,##0_-;\-[$¥-411]* #,##0_-;_-[$¥-411]* &quot;-&quot;_-;_-@_-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ill>
        <patternFill>
          <bgColor rgb="FFFFFF99"/>
        </patternFill>
      </fill>
    </dxf>
    <dxf>
      <font>
        <color theme="0"/>
      </font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200" formatCode="_ [$₹-445]\ * #,##0_ ;_ [$₹-445]\ * \-#,##0_ ;_ [$₹-445]\ * &quot;-&quot;_ ;_ @_ "/>
    </dxf>
    <dxf>
      <numFmt numFmtId="190" formatCode="_-[$¥-411]* #,##0_-;\-[$¥-411]* #,##0_-;_-[$¥-411]* &quot;-&quot;_-;_-@_-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ill>
        <patternFill>
          <bgColor rgb="FFFFFF99"/>
        </patternFill>
      </fill>
    </dxf>
    <dxf>
      <font>
        <color theme="0"/>
      </font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200" formatCode="_ [$₹-445]\ * #,##0_ ;_ [$₹-445]\ * \-#,##0_ ;_ [$₹-445]\ * &quot;-&quot;_ ;_ @_ "/>
    </dxf>
    <dxf>
      <numFmt numFmtId="190" formatCode="_-[$¥-411]* #,##0_-;\-[$¥-411]* #,##0_-;_-[$¥-411]* &quot;-&quot;_-;_-@_-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ill>
        <patternFill>
          <bgColor rgb="FFFFFF99"/>
        </patternFill>
      </fill>
    </dxf>
    <dxf>
      <font>
        <color theme="0"/>
      </font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200" formatCode="_ [$₹-445]\ * #,##0_ ;_ [$₹-445]\ * \-#,##0_ ;_ [$₹-445]\ * &quot;-&quot;_ ;_ @_ "/>
    </dxf>
    <dxf>
      <numFmt numFmtId="190" formatCode="_-[$¥-411]* #,##0_-;\-[$¥-411]* #,##0_-;_-[$¥-411]* &quot;-&quot;_-;_-@_-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ill>
        <patternFill>
          <bgColor rgb="FFFFFF99"/>
        </patternFill>
      </fill>
    </dxf>
    <dxf>
      <font>
        <color theme="0"/>
      </font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200" formatCode="_ [$₹-445]\ * #,##0_ ;_ [$₹-445]\ * \-#,##0_ ;_ [$₹-445]\ * &quot;-&quot;_ ;_ @_ "/>
    </dxf>
    <dxf>
      <numFmt numFmtId="190" formatCode="_-[$¥-411]* #,##0_-;\-[$¥-411]* #,##0_-;_-[$¥-411]* &quot;-&quot;_-;_-@_-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ill>
        <patternFill>
          <bgColor rgb="FFFFFF99"/>
        </patternFill>
      </fill>
    </dxf>
    <dxf>
      <font>
        <color theme="0"/>
      </font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200" formatCode="_ [$₹-445]\ * #,##0_ ;_ [$₹-445]\ * \-#,##0_ ;_ [$₹-445]\ * &quot;-&quot;_ ;_ @_ "/>
    </dxf>
    <dxf>
      <numFmt numFmtId="190" formatCode="_-[$¥-411]* #,##0_-;\-[$¥-411]* #,##0_-;_-[$¥-411]* &quot;-&quot;_-;_-@_-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ill>
        <patternFill>
          <bgColor rgb="FFFFFF99"/>
        </patternFill>
      </fill>
    </dxf>
    <dxf>
      <font>
        <color theme="0"/>
      </font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200" formatCode="_ [$₹-445]\ * #,##0_ ;_ [$₹-445]\ * \-#,##0_ ;_ [$₹-445]\ * &quot;-&quot;_ ;_ @_ "/>
    </dxf>
    <dxf>
      <numFmt numFmtId="190" formatCode="_-[$¥-411]* #,##0_-;\-[$¥-411]* #,##0_-;_-[$¥-411]* &quot;-&quot;_-;_-@_-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ill>
        <patternFill>
          <bgColor rgb="FFFFFF99"/>
        </patternFill>
      </fill>
    </dxf>
    <dxf>
      <font>
        <color theme="0"/>
      </font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200" formatCode="_ [$₹-445]\ * #,##0_ ;_ [$₹-445]\ * \-#,##0_ ;_ [$₹-445]\ * &quot;-&quot;_ ;_ @_ "/>
    </dxf>
    <dxf>
      <numFmt numFmtId="190" formatCode="_-[$¥-411]* #,##0_-;\-[$¥-411]* #,##0_-;_-[$¥-411]* &quot;-&quot;_-;_-@_-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ill>
        <patternFill>
          <bgColor rgb="FFFFFF99"/>
        </patternFill>
      </fill>
    </dxf>
    <dxf>
      <font>
        <color theme="0"/>
      </font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200" formatCode="_ [$₹-445]\ * #,##0_ ;_ [$₹-445]\ * \-#,##0_ ;_ [$₹-445]\ * &quot;-&quot;_ ;_ @_ "/>
    </dxf>
    <dxf>
      <numFmt numFmtId="190" formatCode="_-[$¥-411]* #,##0_-;\-[$¥-411]* #,##0_-;_-[$¥-411]* &quot;-&quot;_-;_-@_-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ill>
        <patternFill>
          <bgColor rgb="FFFFFF99"/>
        </patternFill>
      </fill>
    </dxf>
    <dxf>
      <font>
        <color theme="0"/>
      </font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200" formatCode="_ [$₹-445]\ * #,##0_ ;_ [$₹-445]\ * \-#,##0_ ;_ [$₹-445]\ * &quot;-&quot;_ ;_ @_ "/>
    </dxf>
    <dxf>
      <numFmt numFmtId="190" formatCode="_-[$¥-411]* #,##0_-;\-[$¥-411]* #,##0_-;_-[$¥-411]* &quot;-&quot;_-;_-@_-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ill>
        <patternFill>
          <bgColor rgb="FFFFFF99"/>
        </patternFill>
      </fill>
    </dxf>
    <dxf>
      <font>
        <color theme="0"/>
      </font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200" formatCode="_ [$₹-445]\ * #,##0_ ;_ [$₹-445]\ * \-#,##0_ ;_ [$₹-445]\ * &quot;-&quot;_ ;_ @_ "/>
    </dxf>
    <dxf>
      <numFmt numFmtId="190" formatCode="_-[$¥-411]* #,##0_-;\-[$¥-411]* #,##0_-;_-[$¥-411]* &quot;-&quot;_-;_-@_-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ill>
        <patternFill>
          <bgColor rgb="FFFFFF99"/>
        </patternFill>
      </fill>
    </dxf>
    <dxf>
      <font>
        <color theme="0"/>
      </font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200" formatCode="_ [$₹-445]\ * #,##0_ ;_ [$₹-445]\ * \-#,##0_ ;_ [$₹-445]\ * &quot;-&quot;_ ;_ @_ "/>
    </dxf>
    <dxf>
      <numFmt numFmtId="190" formatCode="_-[$¥-411]* #,##0_-;\-[$¥-411]* #,##0_-;_-[$¥-411]* &quot;-&quot;_-;_-@_-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ill>
        <patternFill>
          <bgColor rgb="FFFFFF99"/>
        </patternFill>
      </fill>
    </dxf>
    <dxf>
      <font>
        <color theme="0"/>
      </font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200" formatCode="_ [$₹-445]\ * #,##0_ ;_ [$₹-445]\ * \-#,##0_ ;_ [$₹-445]\ * &quot;-&quot;_ ;_ @_ "/>
    </dxf>
    <dxf>
      <numFmt numFmtId="190" formatCode="_-[$¥-411]* #,##0_-;\-[$¥-411]* #,##0_-;_-[$¥-411]* &quot;-&quot;_-;_-@_-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ill>
        <patternFill>
          <bgColor rgb="FFFFFF99"/>
        </patternFill>
      </fill>
    </dxf>
    <dxf>
      <font>
        <color theme="0"/>
      </font>
    </dxf>
    <dxf>
      <font>
        <color theme="0"/>
      </font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200" formatCode="_ [$₹-445]\ * #,##0_ ;_ [$₹-445]\ * \-#,##0_ ;_ [$₹-445]\ * &quot;-&quot;_ ;_ @_ "/>
    </dxf>
    <dxf>
      <numFmt numFmtId="190" formatCode="_-[$¥-411]* #,##0_-;\-[$¥-411]* #,##0_-;_-[$¥-411]* &quot;-&quot;_-;_-@_-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ill>
        <patternFill>
          <bgColor rgb="FFFFFF99"/>
        </patternFill>
      </fill>
    </dxf>
    <dxf>
      <font>
        <color theme="0"/>
      </font>
    </dxf>
    <dxf>
      <font>
        <color theme="0"/>
      </font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200" formatCode="_ [$₹-445]\ * #,##0_ ;_ [$₹-445]\ * \-#,##0_ ;_ [$₹-445]\ * &quot;-&quot;_ ;_ @_ "/>
    </dxf>
    <dxf>
      <numFmt numFmtId="190" formatCode="_-[$¥-411]* #,##0_-;\-[$¥-411]* #,##0_-;_-[$¥-411]* &quot;-&quot;_-;_-@_-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ill>
        <patternFill>
          <bgColor rgb="FFFFFF99"/>
        </patternFill>
      </fill>
    </dxf>
    <dxf>
      <font>
        <color theme="0"/>
      </font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200" formatCode="_ [$₹-445]\ * #,##0_ ;_ [$₹-445]\ * \-#,##0_ ;_ [$₹-445]\ * &quot;-&quot;_ ;_ @_ "/>
    </dxf>
    <dxf>
      <numFmt numFmtId="190" formatCode="_-[$¥-411]* #,##0_-;\-[$¥-411]* #,##0_-;_-[$¥-411]* &quot;-&quot;_-;_-@_-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ill>
        <patternFill>
          <bgColor rgb="FFFFFF99"/>
        </patternFill>
      </fill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200" formatCode="_ [$₹-445]\ * #,##0_ ;_ [$₹-445]\ * \-#,##0_ ;_ [$₹-445]\ * &quot;-&quot;_ ;_ @_ "/>
    </dxf>
    <dxf>
      <numFmt numFmtId="190" formatCode="_-[$¥-411]* #,##0_-;\-[$¥-411]* #,##0_-;_-[$¥-411]* &quot;-&quot;_-;_-@_-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ill>
        <patternFill>
          <bgColor rgb="FFFFFF99"/>
        </patternFill>
      </fill>
    </dxf>
    <dxf>
      <font>
        <color theme="0"/>
      </font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200" formatCode="_ [$₹-445]\ * #,##0_ ;_ [$₹-445]\ * \-#,##0_ ;_ [$₹-445]\ * &quot;-&quot;_ ;_ @_ "/>
    </dxf>
    <dxf>
      <numFmt numFmtId="190" formatCode="_-[$¥-411]* #,##0_-;\-[$¥-411]* #,##0_-;_-[$¥-411]* &quot;-&quot;_-;_-@_-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ill>
        <patternFill>
          <bgColor rgb="FFFFFF99"/>
        </patternFill>
      </fill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200" formatCode="_ [$₹-445]\ * #,##0_ ;_ [$₹-445]\ * \-#,##0_ ;_ [$₹-445]\ * &quot;-&quot;_ ;_ @_ "/>
    </dxf>
    <dxf>
      <numFmt numFmtId="190" formatCode="_-[$¥-411]* #,##0_-;\-[$¥-411]* #,##0_-;_-[$¥-411]* &quot;-&quot;_-;_-@_-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ill>
        <patternFill>
          <bgColor rgb="FFFFFF99"/>
        </patternFill>
      </fill>
    </dxf>
    <dxf>
      <font>
        <color theme="0"/>
      </font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200" formatCode="_ [$₹-445]\ * #,##0_ ;_ [$₹-445]\ * \-#,##0_ ;_ [$₹-445]\ * &quot;-&quot;_ ;_ @_ "/>
    </dxf>
    <dxf>
      <numFmt numFmtId="190" formatCode="_-[$¥-411]* #,##0_-;\-[$¥-411]* #,##0_-;_-[$¥-411]* &quot;-&quot;_-;_-@_-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ill>
        <patternFill>
          <bgColor rgb="FFFFFF99"/>
        </patternFill>
      </fill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200" formatCode="_ [$₹-445]\ * #,##0_ ;_ [$₹-445]\ * \-#,##0_ ;_ [$₹-445]\ * &quot;-&quot;_ ;_ @_ "/>
    </dxf>
    <dxf>
      <numFmt numFmtId="190" formatCode="_-[$¥-411]* #,##0_-;\-[$¥-411]* #,##0_-;_-[$¥-411]* &quot;-&quot;_-;_-@_-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ill>
        <patternFill>
          <bgColor rgb="FFFFFF99"/>
        </patternFill>
      </fill>
    </dxf>
    <dxf>
      <font>
        <color theme="0"/>
      </font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200" formatCode="_ [$₹-445]\ * #,##0_ ;_ [$₹-445]\ * \-#,##0_ ;_ [$₹-445]\ * &quot;-&quot;_ ;_ @_ "/>
    </dxf>
    <dxf>
      <numFmt numFmtId="190" formatCode="_-[$¥-411]* #,##0_-;\-[$¥-411]* #,##0_-;_-[$¥-411]* &quot;-&quot;_-;_-@_-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ill>
        <patternFill>
          <bgColor rgb="FFFFFF99"/>
        </patternFill>
      </fill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200" formatCode="_ [$₹-445]\ * #,##0_ ;_ [$₹-445]\ * \-#,##0_ ;_ [$₹-445]\ * &quot;-&quot;_ ;_ @_ "/>
    </dxf>
    <dxf>
      <numFmt numFmtId="190" formatCode="_-[$¥-411]* #,##0_-;\-[$¥-411]* #,##0_-;_-[$¥-411]* &quot;-&quot;_-;_-@_-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ill>
        <patternFill>
          <bgColor rgb="FFFFFF99"/>
        </patternFill>
      </fill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200" formatCode="_ [$₹-445]\ * #,##0_ ;_ [$₹-445]\ * \-#,##0_ ;_ [$₹-445]\ * &quot;-&quot;_ ;_ @_ "/>
    </dxf>
    <dxf>
      <numFmt numFmtId="190" formatCode="_-[$¥-411]* #,##0_-;\-[$¥-411]* #,##0_-;_-[$¥-411]* &quot;-&quot;_-;_-@_-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ill>
        <patternFill>
          <bgColor rgb="FFFFFF99"/>
        </patternFill>
      </fill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200" formatCode="_ [$₹-445]\ * #,##0_ ;_ [$₹-445]\ * \-#,##0_ ;_ [$₹-445]\ * &quot;-&quot;_ ;_ @_ "/>
    </dxf>
    <dxf>
      <numFmt numFmtId="190" formatCode="_-[$¥-411]* #,##0_-;\-[$¥-411]* #,##0_-;_-[$¥-411]* &quot;-&quot;_-;_-@_-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ill>
        <patternFill>
          <bgColor rgb="FFFFFF99"/>
        </patternFill>
      </fill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200" formatCode="_ [$₹-445]\ * #,##0_ ;_ [$₹-445]\ * \-#,##0_ ;_ [$₹-445]\ * &quot;-&quot;_ ;_ @_ "/>
    </dxf>
    <dxf>
      <numFmt numFmtId="190" formatCode="_-[$¥-411]* #,##0_-;\-[$¥-411]* #,##0_-;_-[$¥-411]* &quot;-&quot;_-;_-@_-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ill>
        <patternFill>
          <bgColor rgb="FFFFFF99"/>
        </patternFill>
      </fill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200" formatCode="_ [$₹-445]\ * #,##0_ ;_ [$₹-445]\ * \-#,##0_ ;_ [$₹-445]\ * &quot;-&quot;_ ;_ @_ "/>
    </dxf>
    <dxf>
      <numFmt numFmtId="190" formatCode="_-[$¥-411]* #,##0_-;\-[$¥-411]* #,##0_-;_-[$¥-411]* &quot;-&quot;_-;_-@_-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ill>
        <patternFill>
          <bgColor rgb="FFFFFF99"/>
        </patternFill>
      </fill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200" formatCode="_ [$₹-445]\ * #,##0_ ;_ [$₹-445]\ * \-#,##0_ ;_ [$₹-445]\ * &quot;-&quot;_ ;_ @_ "/>
    </dxf>
    <dxf>
      <numFmt numFmtId="190" formatCode="_-[$¥-411]* #,##0_-;\-[$¥-411]* #,##0_-;_-[$¥-411]* &quot;-&quot;_-;_-@_-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ill>
        <patternFill>
          <bgColor rgb="FFFFFF99"/>
        </patternFill>
      </fill>
    </dxf>
    <dxf>
      <numFmt numFmtId="178" formatCode="_(&quot;¥&quot;* #,##0_);_(&quot;¥&quot;* \(#,##0\);_(&quot;¥&quot;* &quot;-&quot;_);_(@_)"/>
    </dxf>
    <dxf>
      <numFmt numFmtId="181" formatCode="_-[$₩-412]* #,##0_-;\-[$₩-412]* #,##0_-;_-[$₩-412]* &quot;-&quot;_-;_-@_-"/>
    </dxf>
    <dxf>
      <numFmt numFmtId="200" formatCode="_ [$₹-445]\ * #,##0_ ;_ [$₹-445]\ * \-#,##0_ ;_ [$₹-445]\ * &quot;-&quot;_ ;_ @_ "/>
    </dxf>
    <dxf>
      <numFmt numFmtId="190" formatCode="_-[$¥-411]* #,##0_-;\-[$¥-411]* #,##0_-;_-[$¥-411]* &quot;-&quot;_-;_-@_-"/>
    </dxf>
    <dxf>
      <numFmt numFmtId="198" formatCode="_ [$€-2]\ * #,##0_ ;_ [$€-2]\ * \-#,##0_ ;_ [$€-2]\ * &quot;-&quot;_ ;_ @_ "/>
    </dxf>
    <dxf>
      <numFmt numFmtId="199" formatCode="_-[$$-409]* #,##0_ ;_-[$$-409]* \-#,##0\ ;_-[$$-409]* &quot;-&quot;_ ;_-@_ "/>
    </dxf>
    <dxf>
      <fill>
        <patternFill>
          <bgColor rgb="FFFFFF99"/>
        </patternFill>
      </fill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scheme val="none"/>
      </font>
      <numFmt numFmtId="193" formatCode="0\ &quot;CNY&quot;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auto="1"/>
        <name val="Century Gothic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</dxfs>
  <tableStyles count="0" defaultTableStyle="TableStyleMedium2" defaultPivotStyle="PivotStyleMedium9"/>
  <colors>
    <mruColors>
      <color rgb="FFFFFF99"/>
      <color rgb="FFFFCC99"/>
      <color rgb="FFCCFFFF"/>
      <color rgb="FFFF9999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openxmlformats.org/officeDocument/2006/relationships/customXml" Target="../customXml/item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3968032</xdr:colOff>
      <xdr:row>0</xdr:row>
      <xdr:rowOff>0</xdr:rowOff>
    </xdr:from>
    <xdr:to>
      <xdr:col>2</xdr:col>
      <xdr:colOff>33130</xdr:colOff>
      <xdr:row>0</xdr:row>
      <xdr:rowOff>530087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/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 bwMode="auto">
        <a:xfrm>
          <a:off x="5417489" y="0"/>
          <a:ext cx="1962315" cy="530087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2019332</xdr:colOff>
      <xdr:row>0</xdr:row>
      <xdr:rowOff>457204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780DCCD-DA0D-1969-5A42-3C222F55AD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322352" cy="45720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11</xdr:col>
          <xdr:colOff>361950</xdr:colOff>
          <xdr:row>17</xdr:row>
          <xdr:rowOff>1104900</xdr:rowOff>
        </xdr:to>
        <xdr:sp macro="" textlink="">
          <xdr:nvSpPr>
            <xdr:cNvPr id="10243" name="ListBox1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3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17</xdr:row>
          <xdr:rowOff>939800</xdr:rowOff>
        </xdr:to>
        <xdr:sp macro="" textlink="">
          <xdr:nvSpPr>
            <xdr:cNvPr id="10255" name="ListBox2" hidden="1">
              <a:extLst>
                <a:ext uri="{63B3BB69-23CF-44E3-9099-C40C66FF867C}">
                  <a14:compatExt spid="_x0000_s10255"/>
                </a:ext>
                <a:ext uri="{FF2B5EF4-FFF2-40B4-BE49-F238E27FC236}">
                  <a16:creationId xmlns:a16="http://schemas.microsoft.com/office/drawing/2014/main" id="{00000000-0008-0000-0300-00000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190500</xdr:rowOff>
        </xdr:from>
        <xdr:to>
          <xdr:col>7</xdr:col>
          <xdr:colOff>285750</xdr:colOff>
          <xdr:row>17</xdr:row>
          <xdr:rowOff>869950</xdr:rowOff>
        </xdr:to>
        <xdr:sp macro="" textlink="">
          <xdr:nvSpPr>
            <xdr:cNvPr id="10257" name="ListBox3" hidden="1">
              <a:extLst>
                <a:ext uri="{63B3BB69-23CF-44E3-9099-C40C66FF867C}">
                  <a14:compatExt spid="_x0000_s10257"/>
                </a:ext>
                <a:ext uri="{FF2B5EF4-FFF2-40B4-BE49-F238E27FC236}">
                  <a16:creationId xmlns:a16="http://schemas.microsoft.com/office/drawing/2014/main" id="{00000000-0008-0000-0300-00001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0</xdr:row>
          <xdr:rowOff>107950</xdr:rowOff>
        </xdr:from>
        <xdr:to>
          <xdr:col>2</xdr:col>
          <xdr:colOff>223745</xdr:colOff>
          <xdr:row>0</xdr:row>
          <xdr:rowOff>533400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4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Century Gothic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299945</xdr:colOff>
          <xdr:row>0</xdr:row>
          <xdr:rowOff>107950</xdr:rowOff>
        </xdr:from>
        <xdr:to>
          <xdr:col>3</xdr:col>
          <xdr:colOff>458694</xdr:colOff>
          <xdr:row>0</xdr:row>
          <xdr:rowOff>533400</xdr:rowOff>
        </xdr:to>
        <xdr:sp macro="" textlink="">
          <xdr:nvSpPr>
            <xdr:cNvPr id="4110" name="Button 14" descr="Filter_For_Input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4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Century Gothic"/>
                </a:rPr>
                <a:t>Filter for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547594</xdr:colOff>
          <xdr:row>0</xdr:row>
          <xdr:rowOff>107950</xdr:rowOff>
        </xdr:from>
        <xdr:to>
          <xdr:col>3</xdr:col>
          <xdr:colOff>1696944</xdr:colOff>
          <xdr:row>0</xdr:row>
          <xdr:rowOff>533400</xdr:rowOff>
        </xdr:to>
        <xdr:sp macro="" textlink="">
          <xdr:nvSpPr>
            <xdr:cNvPr id="4111" name="Button 15" descr="Filter_For_Input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4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Century Gothic"/>
                </a:rPr>
                <a:t>Quotation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582565</xdr:colOff>
      <xdr:row>2</xdr:row>
      <xdr:rowOff>0</xdr:rowOff>
    </xdr:from>
    <xdr:to>
      <xdr:col>13</xdr:col>
      <xdr:colOff>0</xdr:colOff>
      <xdr:row>9</xdr:row>
      <xdr:rowOff>0</xdr:rowOff>
    </xdr:to>
    <xdr:pic>
      <xdr:nvPicPr>
        <xdr:cNvPr id="27649" name="Picture 1">
          <a:extLst>
            <a:ext uri="{FF2B5EF4-FFF2-40B4-BE49-F238E27FC236}">
              <a16:creationId xmlns:a16="http://schemas.microsoft.com/office/drawing/2014/main" id="{CA50085F-CF26-2D58-00A9-D8F3BFA5D0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3815" y="666750"/>
          <a:ext cx="1601835" cy="1111250"/>
        </a:xfrm>
        <a:prstGeom prst="rect">
          <a:avLst/>
        </a:prstGeom>
        <a:solidFill>
          <a:schemeClr val="bg1">
            <a:lumMod val="100000"/>
          </a:schemeClr>
        </a:solidFill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13</xdr:col>
      <xdr:colOff>0</xdr:colOff>
      <xdr:row>19</xdr:row>
      <xdr:rowOff>127142</xdr:rowOff>
    </xdr:to>
    <xdr:pic>
      <xdr:nvPicPr>
        <xdr:cNvPr id="27650" name="Picture 2">
          <a:extLst>
            <a:ext uri="{FF2B5EF4-FFF2-40B4-BE49-F238E27FC236}">
              <a16:creationId xmlns:a16="http://schemas.microsoft.com/office/drawing/2014/main" id="{C0395605-9A4B-D5F4-F441-E86DD1D319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" y="2095500"/>
          <a:ext cx="10801350" cy="1397142"/>
        </a:xfrm>
        <a:prstGeom prst="rect">
          <a:avLst/>
        </a:prstGeom>
        <a:solidFill>
          <a:schemeClr val="bg1">
            <a:lumMod val="100000"/>
          </a:schemeClr>
        </a:solidFill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453505</xdr:colOff>
      <xdr:row>2</xdr:row>
      <xdr:rowOff>0</xdr:rowOff>
    </xdr:from>
    <xdr:to>
      <xdr:col>13</xdr:col>
      <xdr:colOff>1</xdr:colOff>
      <xdr:row>9</xdr:row>
      <xdr:rowOff>0</xdr:rowOff>
    </xdr:to>
    <xdr:pic>
      <xdr:nvPicPr>
        <xdr:cNvPr id="13313" name="Picture 1">
          <a:extLst>
            <a:ext uri="{FF2B5EF4-FFF2-40B4-BE49-F238E27FC236}">
              <a16:creationId xmlns:a16="http://schemas.microsoft.com/office/drawing/2014/main" id="{56421ECB-3869-C2BA-A7E9-55759B88EE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45030" y="676275"/>
          <a:ext cx="1641996" cy="1200150"/>
        </a:xfrm>
        <a:prstGeom prst="rect">
          <a:avLst/>
        </a:prstGeom>
        <a:solidFill>
          <a:schemeClr val="bg1">
            <a:lumMod val="100000"/>
          </a:schemeClr>
        </a:solidFill>
      </xdr:spPr>
    </xdr:pic>
    <xdr:clientData/>
  </xdr:twoCellAnchor>
  <xdr:twoCellAnchor editAs="oneCell">
    <xdr:from>
      <xdr:col>1</xdr:col>
      <xdr:colOff>1</xdr:colOff>
      <xdr:row>11</xdr:row>
      <xdr:rowOff>0</xdr:rowOff>
    </xdr:from>
    <xdr:to>
      <xdr:col>13</xdr:col>
      <xdr:colOff>1</xdr:colOff>
      <xdr:row>20</xdr:row>
      <xdr:rowOff>91308</xdr:rowOff>
    </xdr:to>
    <xdr:pic>
      <xdr:nvPicPr>
        <xdr:cNvPr id="13314" name="Picture 2">
          <a:extLst>
            <a:ext uri="{FF2B5EF4-FFF2-40B4-BE49-F238E27FC236}">
              <a16:creationId xmlns:a16="http://schemas.microsoft.com/office/drawing/2014/main" id="{F6FE8E3B-C0CE-79E7-418E-6C303DEEB1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1" y="2219325"/>
          <a:ext cx="10372725" cy="1634358"/>
        </a:xfrm>
        <a:prstGeom prst="rect">
          <a:avLst/>
        </a:prstGeom>
        <a:solidFill>
          <a:schemeClr val="bg1">
            <a:lumMod val="100000"/>
          </a:schemeClr>
        </a:solidFill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C26" totalsRowShown="0" headerRowDxfId="759" dataDxfId="757" headerRowBorderDxfId="758" tableBorderDxfId="756" totalsRowBorderDxfId="755">
  <autoFilter ref="A1:C26" xr:uid="{00000000-000C-0000-FFFF-FFFF00000000}"/>
  <tableColumns count="3">
    <tableColumn id="1" xr3:uid="{00000000-0010-0000-0000-000001000000}" name="Date" dataDxfId="754"/>
    <tableColumn id="2" xr3:uid="{00000000-0010-0000-0000-000002000000}" name="Revision" dataDxfId="753"/>
    <tableColumn id="3" xr3:uid="{00000000-0010-0000-0000-000003000000}" name="Modification content" dataDxfId="75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../../../../../../../../../../../:p:/r/sites/ES-Asia_RandD2/Released%20Documents/ESA-I-DSS-0006_DD%20cost%20templates%20-%20Product%20family.pptx" TargetMode="External"/><Relationship Id="rId1" Type="http://schemas.openxmlformats.org/officeDocument/2006/relationships/hyperlink" Target="../../../../../../../../../../../:p:/r/sites/ES-Asia_RandD2/Released%20Documents/ESA-I-DSS-0005_DD%20Cost%20Template%20-%20User%20Instruction.pptx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Relationship Id="rId9" Type="http://schemas.openxmlformats.org/officeDocument/2006/relationships/image" Target="../media/image5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68905-04CE-49CB-A612-8EEB827F3DF2}">
  <sheetPr codeName="Sheet13"/>
  <dimension ref="A1:C15"/>
  <sheetViews>
    <sheetView showGridLines="0" zoomScale="115" zoomScaleNormal="115" workbookViewId="0">
      <selection activeCell="E3" sqref="E3"/>
    </sheetView>
  </sheetViews>
  <sheetFormatPr defaultRowHeight="14"/>
  <cols>
    <col min="1" max="1" width="19" bestFit="1" customWidth="1"/>
    <col min="2" max="2" width="77.453125" customWidth="1"/>
  </cols>
  <sheetData>
    <row r="1" spans="1:3" ht="45" customHeight="1">
      <c r="A1" s="169"/>
      <c r="B1" s="170"/>
      <c r="C1" s="170"/>
    </row>
    <row r="2" spans="1:3" ht="45" customHeight="1" thickBot="1">
      <c r="A2" s="171" t="s">
        <v>0</v>
      </c>
      <c r="B2" s="172"/>
      <c r="C2" s="170"/>
    </row>
    <row r="3" spans="1:3" ht="25.5" thickBot="1">
      <c r="A3" s="173" t="s">
        <v>1</v>
      </c>
      <c r="B3" s="174" t="s">
        <v>2</v>
      </c>
      <c r="C3" s="170"/>
    </row>
    <row r="4" spans="1:3" ht="19.5">
      <c r="A4" s="175" t="s">
        <v>3</v>
      </c>
      <c r="B4" s="176" t="s">
        <v>4</v>
      </c>
      <c r="C4" s="170"/>
    </row>
    <row r="5" spans="1:3">
      <c r="A5" s="177" t="s">
        <v>5</v>
      </c>
      <c r="B5" s="178" t="s">
        <v>6</v>
      </c>
      <c r="C5" s="170"/>
    </row>
    <row r="6" spans="1:3" ht="25">
      <c r="A6" s="175" t="s">
        <v>7</v>
      </c>
      <c r="B6" s="179" t="s">
        <v>8</v>
      </c>
      <c r="C6" s="170"/>
    </row>
    <row r="7" spans="1:3">
      <c r="A7" s="177" t="s">
        <v>9</v>
      </c>
      <c r="B7" s="180" t="s">
        <v>10</v>
      </c>
      <c r="C7" s="181"/>
    </row>
    <row r="8" spans="1:3" ht="19.5">
      <c r="A8" s="175" t="s">
        <v>11</v>
      </c>
      <c r="B8" s="182" t="s">
        <v>12</v>
      </c>
      <c r="C8" s="170"/>
    </row>
    <row r="9" spans="1:3" ht="25">
      <c r="A9" s="177" t="s">
        <v>13</v>
      </c>
      <c r="B9" s="180" t="s">
        <v>14</v>
      </c>
      <c r="C9" s="170"/>
    </row>
    <row r="10" spans="1:3" ht="25">
      <c r="A10" s="175" t="s">
        <v>15</v>
      </c>
      <c r="B10" s="183" t="s">
        <v>16</v>
      </c>
      <c r="C10" s="170"/>
    </row>
    <row r="11" spans="1:3" ht="37.5">
      <c r="A11" s="177" t="s">
        <v>17</v>
      </c>
      <c r="B11" s="180" t="s">
        <v>18</v>
      </c>
      <c r="C11" s="170"/>
    </row>
    <row r="12" spans="1:3">
      <c r="A12" s="175" t="s">
        <v>19</v>
      </c>
      <c r="B12" s="183" t="s">
        <v>20</v>
      </c>
      <c r="C12" s="170"/>
    </row>
    <row r="13" spans="1:3" ht="62.5">
      <c r="A13" s="177" t="s">
        <v>21</v>
      </c>
      <c r="B13" s="180" t="s">
        <v>22</v>
      </c>
      <c r="C13" s="170"/>
    </row>
    <row r="14" spans="1:3" ht="50.5" thickBot="1">
      <c r="A14" s="184" t="s">
        <v>23</v>
      </c>
      <c r="B14" s="185" t="s">
        <v>24</v>
      </c>
      <c r="C14" s="170"/>
    </row>
    <row r="15" spans="1:3" ht="25">
      <c r="A15" s="186" t="s">
        <v>25</v>
      </c>
      <c r="B15" s="187" t="s">
        <v>26</v>
      </c>
      <c r="C15" s="170"/>
    </row>
  </sheetData>
  <phoneticPr fontId="22" type="noConversion"/>
  <pageMargins left="0.31496062992125984" right="0.31496062992125984" top="0.35433070866141736" bottom="0.15748031496062992" header="0.31496062992125984" footer="0.31496062992125984"/>
  <pageSetup paperSize="9" orientation="portrait" horizontalDpi="1200" verticalDpi="1200" r:id="rId1"/>
  <headerFooter>
    <oddHeader>&amp;L&amp;1&amp;K00+000mrB4UcbL&amp;R&amp;"Century Gothic,Regular"ESA-F-DSS-0001</oddHeader>
    <oddFooter>&amp;R&amp;"Century Gothic,Regular"V8.4.5 - May 2024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"/>
  <dimension ref="A1:C27"/>
  <sheetViews>
    <sheetView showGridLines="0" workbookViewId="0">
      <pane ySplit="1" topLeftCell="A21" activePane="bottomLeft" state="frozen"/>
      <selection activeCell="G4" sqref="G4"/>
      <selection pane="bottomLeft" activeCell="C25" sqref="C25"/>
    </sheetView>
  </sheetViews>
  <sheetFormatPr defaultRowHeight="12.5"/>
  <cols>
    <col min="1" max="1" width="12.1796875" style="5" customWidth="1"/>
    <col min="2" max="2" width="10.81640625" style="5" customWidth="1"/>
    <col min="3" max="3" width="80.54296875" style="14" customWidth="1"/>
    <col min="4" max="256" width="9.1796875" style="5"/>
    <col min="257" max="257" width="12.1796875" style="5" customWidth="1"/>
    <col min="258" max="258" width="10.81640625" style="5" customWidth="1"/>
    <col min="259" max="259" width="57.81640625" style="5" customWidth="1"/>
    <col min="260" max="512" width="9.1796875" style="5"/>
    <col min="513" max="513" width="12.1796875" style="5" customWidth="1"/>
    <col min="514" max="514" width="10.81640625" style="5" customWidth="1"/>
    <col min="515" max="515" width="57.81640625" style="5" customWidth="1"/>
    <col min="516" max="768" width="9.1796875" style="5"/>
    <col min="769" max="769" width="12.1796875" style="5" customWidth="1"/>
    <col min="770" max="770" width="10.81640625" style="5" customWidth="1"/>
    <col min="771" max="771" width="57.81640625" style="5" customWidth="1"/>
    <col min="772" max="1024" width="9.1796875" style="5"/>
    <col min="1025" max="1025" width="12.1796875" style="5" customWidth="1"/>
    <col min="1026" max="1026" width="10.81640625" style="5" customWidth="1"/>
    <col min="1027" max="1027" width="57.81640625" style="5" customWidth="1"/>
    <col min="1028" max="1280" width="9.1796875" style="5"/>
    <col min="1281" max="1281" width="12.1796875" style="5" customWidth="1"/>
    <col min="1282" max="1282" width="10.81640625" style="5" customWidth="1"/>
    <col min="1283" max="1283" width="57.81640625" style="5" customWidth="1"/>
    <col min="1284" max="1536" width="9.1796875" style="5"/>
    <col min="1537" max="1537" width="12.1796875" style="5" customWidth="1"/>
    <col min="1538" max="1538" width="10.81640625" style="5" customWidth="1"/>
    <col min="1539" max="1539" width="57.81640625" style="5" customWidth="1"/>
    <col min="1540" max="1792" width="9.1796875" style="5"/>
    <col min="1793" max="1793" width="12.1796875" style="5" customWidth="1"/>
    <col min="1794" max="1794" width="10.81640625" style="5" customWidth="1"/>
    <col min="1795" max="1795" width="57.81640625" style="5" customWidth="1"/>
    <col min="1796" max="2048" width="9.1796875" style="5"/>
    <col min="2049" max="2049" width="12.1796875" style="5" customWidth="1"/>
    <col min="2050" max="2050" width="10.81640625" style="5" customWidth="1"/>
    <col min="2051" max="2051" width="57.81640625" style="5" customWidth="1"/>
    <col min="2052" max="2304" width="9.1796875" style="5"/>
    <col min="2305" max="2305" width="12.1796875" style="5" customWidth="1"/>
    <col min="2306" max="2306" width="10.81640625" style="5" customWidth="1"/>
    <col min="2307" max="2307" width="57.81640625" style="5" customWidth="1"/>
    <col min="2308" max="2560" width="9.1796875" style="5"/>
    <col min="2561" max="2561" width="12.1796875" style="5" customWidth="1"/>
    <col min="2562" max="2562" width="10.81640625" style="5" customWidth="1"/>
    <col min="2563" max="2563" width="57.81640625" style="5" customWidth="1"/>
    <col min="2564" max="2816" width="9.1796875" style="5"/>
    <col min="2817" max="2817" width="12.1796875" style="5" customWidth="1"/>
    <col min="2818" max="2818" width="10.81640625" style="5" customWidth="1"/>
    <col min="2819" max="2819" width="57.81640625" style="5" customWidth="1"/>
    <col min="2820" max="3072" width="9.1796875" style="5"/>
    <col min="3073" max="3073" width="12.1796875" style="5" customWidth="1"/>
    <col min="3074" max="3074" width="10.81640625" style="5" customWidth="1"/>
    <col min="3075" max="3075" width="57.81640625" style="5" customWidth="1"/>
    <col min="3076" max="3328" width="9.1796875" style="5"/>
    <col min="3329" max="3329" width="12.1796875" style="5" customWidth="1"/>
    <col min="3330" max="3330" width="10.81640625" style="5" customWidth="1"/>
    <col min="3331" max="3331" width="57.81640625" style="5" customWidth="1"/>
    <col min="3332" max="3584" width="9.1796875" style="5"/>
    <col min="3585" max="3585" width="12.1796875" style="5" customWidth="1"/>
    <col min="3586" max="3586" width="10.81640625" style="5" customWidth="1"/>
    <col min="3587" max="3587" width="57.81640625" style="5" customWidth="1"/>
    <col min="3588" max="3840" width="9.1796875" style="5"/>
    <col min="3841" max="3841" width="12.1796875" style="5" customWidth="1"/>
    <col min="3842" max="3842" width="10.81640625" style="5" customWidth="1"/>
    <col min="3843" max="3843" width="57.81640625" style="5" customWidth="1"/>
    <col min="3844" max="4096" width="9.1796875" style="5"/>
    <col min="4097" max="4097" width="12.1796875" style="5" customWidth="1"/>
    <col min="4098" max="4098" width="10.81640625" style="5" customWidth="1"/>
    <col min="4099" max="4099" width="57.81640625" style="5" customWidth="1"/>
    <col min="4100" max="4352" width="9.1796875" style="5"/>
    <col min="4353" max="4353" width="12.1796875" style="5" customWidth="1"/>
    <col min="4354" max="4354" width="10.81640625" style="5" customWidth="1"/>
    <col min="4355" max="4355" width="57.81640625" style="5" customWidth="1"/>
    <col min="4356" max="4608" width="9.1796875" style="5"/>
    <col min="4609" max="4609" width="12.1796875" style="5" customWidth="1"/>
    <col min="4610" max="4610" width="10.81640625" style="5" customWidth="1"/>
    <col min="4611" max="4611" width="57.81640625" style="5" customWidth="1"/>
    <col min="4612" max="4864" width="9.1796875" style="5"/>
    <col min="4865" max="4865" width="12.1796875" style="5" customWidth="1"/>
    <col min="4866" max="4866" width="10.81640625" style="5" customWidth="1"/>
    <col min="4867" max="4867" width="57.81640625" style="5" customWidth="1"/>
    <col min="4868" max="5120" width="9.1796875" style="5"/>
    <col min="5121" max="5121" width="12.1796875" style="5" customWidth="1"/>
    <col min="5122" max="5122" width="10.81640625" style="5" customWidth="1"/>
    <col min="5123" max="5123" width="57.81640625" style="5" customWidth="1"/>
    <col min="5124" max="5376" width="9.1796875" style="5"/>
    <col min="5377" max="5377" width="12.1796875" style="5" customWidth="1"/>
    <col min="5378" max="5378" width="10.81640625" style="5" customWidth="1"/>
    <col min="5379" max="5379" width="57.81640625" style="5" customWidth="1"/>
    <col min="5380" max="5632" width="9.1796875" style="5"/>
    <col min="5633" max="5633" width="12.1796875" style="5" customWidth="1"/>
    <col min="5634" max="5634" width="10.81640625" style="5" customWidth="1"/>
    <col min="5635" max="5635" width="57.81640625" style="5" customWidth="1"/>
    <col min="5636" max="5888" width="9.1796875" style="5"/>
    <col min="5889" max="5889" width="12.1796875" style="5" customWidth="1"/>
    <col min="5890" max="5890" width="10.81640625" style="5" customWidth="1"/>
    <col min="5891" max="5891" width="57.81640625" style="5" customWidth="1"/>
    <col min="5892" max="6144" width="9.1796875" style="5"/>
    <col min="6145" max="6145" width="12.1796875" style="5" customWidth="1"/>
    <col min="6146" max="6146" width="10.81640625" style="5" customWidth="1"/>
    <col min="6147" max="6147" width="57.81640625" style="5" customWidth="1"/>
    <col min="6148" max="6400" width="9.1796875" style="5"/>
    <col min="6401" max="6401" width="12.1796875" style="5" customWidth="1"/>
    <col min="6402" max="6402" width="10.81640625" style="5" customWidth="1"/>
    <col min="6403" max="6403" width="57.81640625" style="5" customWidth="1"/>
    <col min="6404" max="6656" width="9.1796875" style="5"/>
    <col min="6657" max="6657" width="12.1796875" style="5" customWidth="1"/>
    <col min="6658" max="6658" width="10.81640625" style="5" customWidth="1"/>
    <col min="6659" max="6659" width="57.81640625" style="5" customWidth="1"/>
    <col min="6660" max="6912" width="9.1796875" style="5"/>
    <col min="6913" max="6913" width="12.1796875" style="5" customWidth="1"/>
    <col min="6914" max="6914" width="10.81640625" style="5" customWidth="1"/>
    <col min="6915" max="6915" width="57.81640625" style="5" customWidth="1"/>
    <col min="6916" max="7168" width="9.1796875" style="5"/>
    <col min="7169" max="7169" width="12.1796875" style="5" customWidth="1"/>
    <col min="7170" max="7170" width="10.81640625" style="5" customWidth="1"/>
    <col min="7171" max="7171" width="57.81640625" style="5" customWidth="1"/>
    <col min="7172" max="7424" width="9.1796875" style="5"/>
    <col min="7425" max="7425" width="12.1796875" style="5" customWidth="1"/>
    <col min="7426" max="7426" width="10.81640625" style="5" customWidth="1"/>
    <col min="7427" max="7427" width="57.81640625" style="5" customWidth="1"/>
    <col min="7428" max="7680" width="9.1796875" style="5"/>
    <col min="7681" max="7681" width="12.1796875" style="5" customWidth="1"/>
    <col min="7682" max="7682" width="10.81640625" style="5" customWidth="1"/>
    <col min="7683" max="7683" width="57.81640625" style="5" customWidth="1"/>
    <col min="7684" max="7936" width="9.1796875" style="5"/>
    <col min="7937" max="7937" width="12.1796875" style="5" customWidth="1"/>
    <col min="7938" max="7938" width="10.81640625" style="5" customWidth="1"/>
    <col min="7939" max="7939" width="57.81640625" style="5" customWidth="1"/>
    <col min="7940" max="8192" width="9.1796875" style="5"/>
    <col min="8193" max="8193" width="12.1796875" style="5" customWidth="1"/>
    <col min="8194" max="8194" width="10.81640625" style="5" customWidth="1"/>
    <col min="8195" max="8195" width="57.81640625" style="5" customWidth="1"/>
    <col min="8196" max="8448" width="9.1796875" style="5"/>
    <col min="8449" max="8449" width="12.1796875" style="5" customWidth="1"/>
    <col min="8450" max="8450" width="10.81640625" style="5" customWidth="1"/>
    <col min="8451" max="8451" width="57.81640625" style="5" customWidth="1"/>
    <col min="8452" max="8704" width="9.1796875" style="5"/>
    <col min="8705" max="8705" width="12.1796875" style="5" customWidth="1"/>
    <col min="8706" max="8706" width="10.81640625" style="5" customWidth="1"/>
    <col min="8707" max="8707" width="57.81640625" style="5" customWidth="1"/>
    <col min="8708" max="8960" width="9.1796875" style="5"/>
    <col min="8961" max="8961" width="12.1796875" style="5" customWidth="1"/>
    <col min="8962" max="8962" width="10.81640625" style="5" customWidth="1"/>
    <col min="8963" max="8963" width="57.81640625" style="5" customWidth="1"/>
    <col min="8964" max="9216" width="9.1796875" style="5"/>
    <col min="9217" max="9217" width="12.1796875" style="5" customWidth="1"/>
    <col min="9218" max="9218" width="10.81640625" style="5" customWidth="1"/>
    <col min="9219" max="9219" width="57.81640625" style="5" customWidth="1"/>
    <col min="9220" max="9472" width="9.1796875" style="5"/>
    <col min="9473" max="9473" width="12.1796875" style="5" customWidth="1"/>
    <col min="9474" max="9474" width="10.81640625" style="5" customWidth="1"/>
    <col min="9475" max="9475" width="57.81640625" style="5" customWidth="1"/>
    <col min="9476" max="9728" width="9.1796875" style="5"/>
    <col min="9729" max="9729" width="12.1796875" style="5" customWidth="1"/>
    <col min="9730" max="9730" width="10.81640625" style="5" customWidth="1"/>
    <col min="9731" max="9731" width="57.81640625" style="5" customWidth="1"/>
    <col min="9732" max="9984" width="9.1796875" style="5"/>
    <col min="9985" max="9985" width="12.1796875" style="5" customWidth="1"/>
    <col min="9986" max="9986" width="10.81640625" style="5" customWidth="1"/>
    <col min="9987" max="9987" width="57.81640625" style="5" customWidth="1"/>
    <col min="9988" max="10240" width="9.1796875" style="5"/>
    <col min="10241" max="10241" width="12.1796875" style="5" customWidth="1"/>
    <col min="10242" max="10242" width="10.81640625" style="5" customWidth="1"/>
    <col min="10243" max="10243" width="57.81640625" style="5" customWidth="1"/>
    <col min="10244" max="10496" width="9.1796875" style="5"/>
    <col min="10497" max="10497" width="12.1796875" style="5" customWidth="1"/>
    <col min="10498" max="10498" width="10.81640625" style="5" customWidth="1"/>
    <col min="10499" max="10499" width="57.81640625" style="5" customWidth="1"/>
    <col min="10500" max="10752" width="9.1796875" style="5"/>
    <col min="10753" max="10753" width="12.1796875" style="5" customWidth="1"/>
    <col min="10754" max="10754" width="10.81640625" style="5" customWidth="1"/>
    <col min="10755" max="10755" width="57.81640625" style="5" customWidth="1"/>
    <col min="10756" max="11008" width="9.1796875" style="5"/>
    <col min="11009" max="11009" width="12.1796875" style="5" customWidth="1"/>
    <col min="11010" max="11010" width="10.81640625" style="5" customWidth="1"/>
    <col min="11011" max="11011" width="57.81640625" style="5" customWidth="1"/>
    <col min="11012" max="11264" width="9.1796875" style="5"/>
    <col min="11265" max="11265" width="12.1796875" style="5" customWidth="1"/>
    <col min="11266" max="11266" width="10.81640625" style="5" customWidth="1"/>
    <col min="11267" max="11267" width="57.81640625" style="5" customWidth="1"/>
    <col min="11268" max="11520" width="9.1796875" style="5"/>
    <col min="11521" max="11521" width="12.1796875" style="5" customWidth="1"/>
    <col min="11522" max="11522" width="10.81640625" style="5" customWidth="1"/>
    <col min="11523" max="11523" width="57.81640625" style="5" customWidth="1"/>
    <col min="11524" max="11776" width="9.1796875" style="5"/>
    <col min="11777" max="11777" width="12.1796875" style="5" customWidth="1"/>
    <col min="11778" max="11778" width="10.81640625" style="5" customWidth="1"/>
    <col min="11779" max="11779" width="57.81640625" style="5" customWidth="1"/>
    <col min="11780" max="12032" width="9.1796875" style="5"/>
    <col min="12033" max="12033" width="12.1796875" style="5" customWidth="1"/>
    <col min="12034" max="12034" width="10.81640625" style="5" customWidth="1"/>
    <col min="12035" max="12035" width="57.81640625" style="5" customWidth="1"/>
    <col min="12036" max="12288" width="9.1796875" style="5"/>
    <col min="12289" max="12289" width="12.1796875" style="5" customWidth="1"/>
    <col min="12290" max="12290" width="10.81640625" style="5" customWidth="1"/>
    <col min="12291" max="12291" width="57.81640625" style="5" customWidth="1"/>
    <col min="12292" max="12544" width="9.1796875" style="5"/>
    <col min="12545" max="12545" width="12.1796875" style="5" customWidth="1"/>
    <col min="12546" max="12546" width="10.81640625" style="5" customWidth="1"/>
    <col min="12547" max="12547" width="57.81640625" style="5" customWidth="1"/>
    <col min="12548" max="12800" width="9.1796875" style="5"/>
    <col min="12801" max="12801" width="12.1796875" style="5" customWidth="1"/>
    <col min="12802" max="12802" width="10.81640625" style="5" customWidth="1"/>
    <col min="12803" max="12803" width="57.81640625" style="5" customWidth="1"/>
    <col min="12804" max="13056" width="9.1796875" style="5"/>
    <col min="13057" max="13057" width="12.1796875" style="5" customWidth="1"/>
    <col min="13058" max="13058" width="10.81640625" style="5" customWidth="1"/>
    <col min="13059" max="13059" width="57.81640625" style="5" customWidth="1"/>
    <col min="13060" max="13312" width="9.1796875" style="5"/>
    <col min="13313" max="13313" width="12.1796875" style="5" customWidth="1"/>
    <col min="13314" max="13314" width="10.81640625" style="5" customWidth="1"/>
    <col min="13315" max="13315" width="57.81640625" style="5" customWidth="1"/>
    <col min="13316" max="13568" width="9.1796875" style="5"/>
    <col min="13569" max="13569" width="12.1796875" style="5" customWidth="1"/>
    <col min="13570" max="13570" width="10.81640625" style="5" customWidth="1"/>
    <col min="13571" max="13571" width="57.81640625" style="5" customWidth="1"/>
    <col min="13572" max="13824" width="9.1796875" style="5"/>
    <col min="13825" max="13825" width="12.1796875" style="5" customWidth="1"/>
    <col min="13826" max="13826" width="10.81640625" style="5" customWidth="1"/>
    <col min="13827" max="13827" width="57.81640625" style="5" customWidth="1"/>
    <col min="13828" max="14080" width="9.1796875" style="5"/>
    <col min="14081" max="14081" width="12.1796875" style="5" customWidth="1"/>
    <col min="14082" max="14082" width="10.81640625" style="5" customWidth="1"/>
    <col min="14083" max="14083" width="57.81640625" style="5" customWidth="1"/>
    <col min="14084" max="14336" width="9.1796875" style="5"/>
    <col min="14337" max="14337" width="12.1796875" style="5" customWidth="1"/>
    <col min="14338" max="14338" width="10.81640625" style="5" customWidth="1"/>
    <col min="14339" max="14339" width="57.81640625" style="5" customWidth="1"/>
    <col min="14340" max="14592" width="9.1796875" style="5"/>
    <col min="14593" max="14593" width="12.1796875" style="5" customWidth="1"/>
    <col min="14594" max="14594" width="10.81640625" style="5" customWidth="1"/>
    <col min="14595" max="14595" width="57.81640625" style="5" customWidth="1"/>
    <col min="14596" max="14848" width="9.1796875" style="5"/>
    <col min="14849" max="14849" width="12.1796875" style="5" customWidth="1"/>
    <col min="14850" max="14850" width="10.81640625" style="5" customWidth="1"/>
    <col min="14851" max="14851" width="57.81640625" style="5" customWidth="1"/>
    <col min="14852" max="15104" width="9.1796875" style="5"/>
    <col min="15105" max="15105" width="12.1796875" style="5" customWidth="1"/>
    <col min="15106" max="15106" width="10.81640625" style="5" customWidth="1"/>
    <col min="15107" max="15107" width="57.81640625" style="5" customWidth="1"/>
    <col min="15108" max="15360" width="9.1796875" style="5"/>
    <col min="15361" max="15361" width="12.1796875" style="5" customWidth="1"/>
    <col min="15362" max="15362" width="10.81640625" style="5" customWidth="1"/>
    <col min="15363" max="15363" width="57.81640625" style="5" customWidth="1"/>
    <col min="15364" max="15616" width="9.1796875" style="5"/>
    <col min="15617" max="15617" width="12.1796875" style="5" customWidth="1"/>
    <col min="15618" max="15618" width="10.81640625" style="5" customWidth="1"/>
    <col min="15619" max="15619" width="57.81640625" style="5" customWidth="1"/>
    <col min="15620" max="15872" width="9.1796875" style="5"/>
    <col min="15873" max="15873" width="12.1796875" style="5" customWidth="1"/>
    <col min="15874" max="15874" width="10.81640625" style="5" customWidth="1"/>
    <col min="15875" max="15875" width="57.81640625" style="5" customWidth="1"/>
    <col min="15876" max="16128" width="9.1796875" style="5"/>
    <col min="16129" max="16129" width="12.1796875" style="5" customWidth="1"/>
    <col min="16130" max="16130" width="10.81640625" style="5" customWidth="1"/>
    <col min="16131" max="16131" width="57.81640625" style="5" customWidth="1"/>
    <col min="16132" max="16384" width="9.1796875" style="5"/>
  </cols>
  <sheetData>
    <row r="1" spans="1:3">
      <c r="A1" s="2" t="s">
        <v>27</v>
      </c>
      <c r="B1" s="3" t="s">
        <v>28</v>
      </c>
      <c r="C1" s="4" t="s">
        <v>29</v>
      </c>
    </row>
    <row r="2" spans="1:3" ht="62.5">
      <c r="A2" s="6">
        <v>41603</v>
      </c>
      <c r="B2" s="7" t="s">
        <v>30</v>
      </c>
      <c r="C2" s="8" t="s">
        <v>31</v>
      </c>
    </row>
    <row r="3" spans="1:3" ht="62.5">
      <c r="A3" s="6">
        <v>41617</v>
      </c>
      <c r="B3" s="7" t="s">
        <v>32</v>
      </c>
      <c r="C3" s="8" t="s">
        <v>33</v>
      </c>
    </row>
    <row r="4" spans="1:3" ht="25">
      <c r="A4" s="6">
        <v>41687</v>
      </c>
      <c r="B4" s="7" t="s">
        <v>34</v>
      </c>
      <c r="C4" s="8" t="s">
        <v>35</v>
      </c>
    </row>
    <row r="5" spans="1:3" ht="25">
      <c r="A5" s="6">
        <v>41725</v>
      </c>
      <c r="B5" s="7" t="s">
        <v>36</v>
      </c>
      <c r="C5" s="8" t="s">
        <v>37</v>
      </c>
    </row>
    <row r="6" spans="1:3" ht="75">
      <c r="A6" s="9">
        <v>41835</v>
      </c>
      <c r="B6" s="10" t="s">
        <v>38</v>
      </c>
      <c r="C6" s="11" t="s">
        <v>39</v>
      </c>
    </row>
    <row r="7" spans="1:3" ht="50">
      <c r="A7" s="9">
        <v>42340</v>
      </c>
      <c r="B7" s="10" t="s">
        <v>40</v>
      </c>
      <c r="C7" s="12" t="s">
        <v>41</v>
      </c>
    </row>
    <row r="8" spans="1:3">
      <c r="A8" s="9">
        <v>42353</v>
      </c>
      <c r="B8" s="10" t="s">
        <v>42</v>
      </c>
      <c r="C8" s="12" t="s">
        <v>43</v>
      </c>
    </row>
    <row r="9" spans="1:3">
      <c r="A9" s="9">
        <v>42373</v>
      </c>
      <c r="B9" s="10" t="s">
        <v>44</v>
      </c>
      <c r="C9" s="12" t="s">
        <v>45</v>
      </c>
    </row>
    <row r="10" spans="1:3">
      <c r="A10" s="9">
        <v>42375</v>
      </c>
      <c r="B10" s="10" t="s">
        <v>46</v>
      </c>
      <c r="C10" s="12" t="s">
        <v>47</v>
      </c>
    </row>
    <row r="11" spans="1:3">
      <c r="A11" s="9">
        <v>42465</v>
      </c>
      <c r="B11" s="10" t="s">
        <v>48</v>
      </c>
      <c r="C11" s="12" t="s">
        <v>49</v>
      </c>
    </row>
    <row r="12" spans="1:3" ht="87.5">
      <c r="A12" s="9">
        <v>42555</v>
      </c>
      <c r="B12" s="7" t="s">
        <v>50</v>
      </c>
      <c r="C12" s="13" t="s">
        <v>51</v>
      </c>
    </row>
    <row r="13" spans="1:3" ht="25">
      <c r="A13" s="9">
        <v>42570</v>
      </c>
      <c r="B13" s="10" t="s">
        <v>52</v>
      </c>
      <c r="C13" s="12" t="s">
        <v>53</v>
      </c>
    </row>
    <row r="14" spans="1:3" ht="50">
      <c r="A14" s="9">
        <v>43003</v>
      </c>
      <c r="B14" s="10" t="s">
        <v>54</v>
      </c>
      <c r="C14" s="12" t="s">
        <v>55</v>
      </c>
    </row>
    <row r="15" spans="1:3">
      <c r="A15" s="9">
        <v>43080</v>
      </c>
      <c r="B15" s="10" t="s">
        <v>56</v>
      </c>
      <c r="C15" s="12" t="s">
        <v>57</v>
      </c>
    </row>
    <row r="16" spans="1:3" ht="50">
      <c r="A16" s="9">
        <v>43640</v>
      </c>
      <c r="B16" s="10" t="s">
        <v>58</v>
      </c>
      <c r="C16" s="12" t="s">
        <v>59</v>
      </c>
    </row>
    <row r="17" spans="1:3" ht="75">
      <c r="A17" s="9">
        <v>43648</v>
      </c>
      <c r="B17" s="10" t="s">
        <v>60</v>
      </c>
      <c r="C17" s="12" t="s">
        <v>61</v>
      </c>
    </row>
    <row r="18" spans="1:3" ht="62.5">
      <c r="A18" s="9">
        <v>43657</v>
      </c>
      <c r="B18" s="10" t="s">
        <v>62</v>
      </c>
      <c r="C18" s="12" t="s">
        <v>63</v>
      </c>
    </row>
    <row r="19" spans="1:3" ht="100">
      <c r="A19" s="9">
        <v>43936</v>
      </c>
      <c r="B19" s="10" t="s">
        <v>64</v>
      </c>
      <c r="C19" s="12" t="s">
        <v>65</v>
      </c>
    </row>
    <row r="20" spans="1:3" ht="50">
      <c r="A20" s="9">
        <v>43985</v>
      </c>
      <c r="B20" s="10" t="s">
        <v>66</v>
      </c>
      <c r="C20" s="12" t="s">
        <v>67</v>
      </c>
    </row>
    <row r="21" spans="1:3" ht="75">
      <c r="A21" s="9">
        <v>44225</v>
      </c>
      <c r="B21" s="10" t="s">
        <v>68</v>
      </c>
      <c r="C21" s="12" t="s">
        <v>69</v>
      </c>
    </row>
    <row r="22" spans="1:3" ht="50">
      <c r="A22" s="9">
        <v>44347</v>
      </c>
      <c r="B22" s="10" t="s">
        <v>70</v>
      </c>
      <c r="C22" s="12" t="s">
        <v>71</v>
      </c>
    </row>
    <row r="23" spans="1:3" ht="75">
      <c r="A23" s="9">
        <v>44649</v>
      </c>
      <c r="B23" s="10" t="s">
        <v>72</v>
      </c>
      <c r="C23" s="12" t="s">
        <v>73</v>
      </c>
    </row>
    <row r="24" spans="1:3" ht="62.5">
      <c r="A24" s="9">
        <v>45131</v>
      </c>
      <c r="B24" s="10" t="s">
        <v>74</v>
      </c>
      <c r="C24" s="12" t="s">
        <v>75</v>
      </c>
    </row>
    <row r="25" spans="1:3" ht="102">
      <c r="A25" s="209" t="s">
        <v>76</v>
      </c>
      <c r="B25" s="7" t="s">
        <v>77</v>
      </c>
      <c r="C25" s="13" t="s">
        <v>78</v>
      </c>
    </row>
    <row r="26" spans="1:3" ht="62.5">
      <c r="A26" s="6">
        <v>45744</v>
      </c>
      <c r="B26" s="10" t="s">
        <v>79</v>
      </c>
      <c r="C26" s="12" t="s">
        <v>80</v>
      </c>
    </row>
    <row r="27" spans="1:3" ht="68.5">
      <c r="A27" s="227">
        <v>45839</v>
      </c>
      <c r="B27" s="7" t="s">
        <v>12</v>
      </c>
      <c r="C27" s="226" t="s">
        <v>81</v>
      </c>
    </row>
  </sheetData>
  <phoneticPr fontId="22" type="noConversion"/>
  <pageMargins left="0.31496062992125984" right="0.31496062992125984" top="0.35433070866141736" bottom="0.15748031496062992" header="0.31496062992125984" footer="0.31496062992125984"/>
  <pageSetup paperSize="9" orientation="portrait" horizontalDpi="1200" verticalDpi="1200" r:id="rId1"/>
  <headerFooter>
    <oddHeader>&amp;L&amp;1&amp;K00+000mrB4UcbL&amp;R&amp;"Century Gothic,Regular"ESA-F-DSS-0001</oddHeader>
    <oddFooter>&amp;R&amp;"Century Gothic,Regular"V8.4.5 - May 2024</oddFooter>
  </headerFooter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B5"/>
  <sheetViews>
    <sheetView showGridLines="0" workbookViewId="0">
      <selection activeCell="E22" sqref="E22"/>
    </sheetView>
  </sheetViews>
  <sheetFormatPr defaultColWidth="9.1796875" defaultRowHeight="12.5"/>
  <cols>
    <col min="1" max="16384" width="9.1796875" style="155"/>
  </cols>
  <sheetData>
    <row r="1" spans="2:2">
      <c r="B1" s="155" t="s">
        <v>82</v>
      </c>
    </row>
    <row r="2" spans="2:2">
      <c r="B2" s="188" t="s">
        <v>83</v>
      </c>
    </row>
    <row r="4" spans="2:2">
      <c r="B4" s="155" t="s">
        <v>84</v>
      </c>
    </row>
    <row r="5" spans="2:2">
      <c r="B5" s="188" t="s">
        <v>85</v>
      </c>
    </row>
  </sheetData>
  <phoneticPr fontId="22" type="noConversion"/>
  <hyperlinks>
    <hyperlink ref="B2" r:id="rId1" xr:uid="{BABA2FD6-1256-48B8-8638-648E5A703814}"/>
    <hyperlink ref="B5" r:id="rId2" xr:uid="{6B49AE73-E7E0-449A-97A9-65F4DEB1716C}"/>
  </hyperlinks>
  <pageMargins left="0.31496062992125984" right="0.31496062992125984" top="0.35433070866141736" bottom="0.15748031496062992" header="0.31496062992125984" footer="0.31496062992125984"/>
  <pageSetup paperSize="9" orientation="portrait" horizontalDpi="1200" verticalDpi="1200" r:id="rId3"/>
  <headerFooter>
    <oddHeader>&amp;L&amp;1&amp;K00+000mrB4UcbL&amp;R&amp;"Century Gothic,Regular"ESA-F-DSS-0001</oddHeader>
    <oddFooter>&amp;R&amp;"Century Gothic,Regular"V8.4.5 - May 2024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P20"/>
  <sheetViews>
    <sheetView showGridLines="0" zoomScaleNormal="100" workbookViewId="0">
      <selection activeCell="D14" sqref="D14"/>
    </sheetView>
  </sheetViews>
  <sheetFormatPr defaultColWidth="9.1796875" defaultRowHeight="14"/>
  <cols>
    <col min="1" max="1" width="18.54296875" style="15" customWidth="1"/>
    <col min="2" max="6" width="20.54296875" style="15" customWidth="1"/>
    <col min="7" max="7" width="2.54296875" style="15" customWidth="1"/>
    <col min="8" max="16" width="9" customWidth="1"/>
    <col min="17" max="16384" width="9.1796875" style="15"/>
  </cols>
  <sheetData>
    <row r="1" spans="1:7" ht="24.5">
      <c r="A1" s="235" t="s">
        <v>86</v>
      </c>
      <c r="B1" s="235"/>
      <c r="C1" s="235"/>
      <c r="D1" s="235"/>
      <c r="E1" s="235"/>
      <c r="F1" s="235"/>
      <c r="G1" s="49"/>
    </row>
    <row r="2" spans="1:7" ht="10" customHeight="1"/>
    <row r="3" spans="1:7">
      <c r="A3" s="17" t="s">
        <v>87</v>
      </c>
      <c r="B3" s="17" t="s">
        <v>88</v>
      </c>
      <c r="C3" s="17" t="s">
        <v>89</v>
      </c>
      <c r="D3" s="17" t="s">
        <v>90</v>
      </c>
      <c r="E3" s="17" t="s">
        <v>91</v>
      </c>
      <c r="F3" s="213" t="s">
        <v>92</v>
      </c>
    </row>
    <row r="4" spans="1:7">
      <c r="A4" s="41" t="s">
        <v>1404</v>
      </c>
      <c r="B4" s="42" t="s">
        <v>94</v>
      </c>
      <c r="C4" s="42" t="s">
        <v>488</v>
      </c>
      <c r="D4" s="39">
        <f>IF(A4="China", IF(C4="New development",4%,2%),"")</f>
        <v>0.04</v>
      </c>
      <c r="E4" s="40">
        <v>12</v>
      </c>
      <c r="F4" s="40">
        <v>32</v>
      </c>
    </row>
    <row r="6" spans="1:7">
      <c r="A6" s="17" t="s">
        <v>95</v>
      </c>
      <c r="B6" s="17" t="s">
        <v>96</v>
      </c>
      <c r="C6" s="17" t="s">
        <v>97</v>
      </c>
      <c r="D6" s="17" t="s">
        <v>98</v>
      </c>
      <c r="E6" s="17" t="s">
        <v>99</v>
      </c>
      <c r="F6" s="17" t="s">
        <v>100</v>
      </c>
    </row>
    <row r="7" spans="1:7">
      <c r="A7" s="38"/>
      <c r="B7" s="42" t="s">
        <v>1408</v>
      </c>
      <c r="C7" s="38"/>
      <c r="D7" s="38"/>
      <c r="E7" s="42" t="s">
        <v>1407</v>
      </c>
      <c r="F7" s="38" t="s">
        <v>1398</v>
      </c>
    </row>
    <row r="8" spans="1:7" ht="5.15" customHeight="1">
      <c r="G8" s="15" t="s">
        <v>101</v>
      </c>
    </row>
    <row r="9" spans="1:7">
      <c r="A9" s="238" t="s">
        <v>102</v>
      </c>
      <c r="B9" s="17" t="s">
        <v>103</v>
      </c>
      <c r="C9" s="17" t="s">
        <v>104</v>
      </c>
      <c r="D9" s="17" t="s">
        <v>105</v>
      </c>
      <c r="E9" s="17" t="s">
        <v>106</v>
      </c>
      <c r="F9" s="17" t="s">
        <v>107</v>
      </c>
    </row>
    <row r="10" spans="1:7">
      <c r="A10" s="238"/>
      <c r="B10" s="100"/>
      <c r="C10" s="43"/>
      <c r="D10" s="43"/>
      <c r="E10" s="43"/>
      <c r="F10" s="43"/>
    </row>
    <row r="11" spans="1:7" ht="5.15" customHeight="1"/>
    <row r="12" spans="1:7" ht="25">
      <c r="A12" s="17" t="s">
        <v>108</v>
      </c>
      <c r="B12" s="239" t="s">
        <v>109</v>
      </c>
      <c r="C12" s="239"/>
      <c r="D12" s="239"/>
      <c r="E12" s="239"/>
      <c r="F12" s="239"/>
      <c r="G12" s="15" t="s">
        <v>101</v>
      </c>
    </row>
    <row r="13" spans="1:7">
      <c r="A13" s="236" t="s">
        <v>610</v>
      </c>
      <c r="B13" s="50" t="str">
        <f>IF($A$13="","","1 "&amp;IF(A13="","",IF(A13="CNY","KRW","CNY"))&amp;" =")</f>
        <v>1 KRW =</v>
      </c>
      <c r="C13" s="50" t="str">
        <f>IF($A$13="","","1 "&amp;IF(A13="","",IF(OR(A13="CNY",A13="KRW"),"JPY","KRW"))&amp;" =")</f>
        <v>1 JPY =</v>
      </c>
      <c r="D13" s="50" t="str">
        <f>IF($A$13="","","1 "&amp;IF(A13="","",IF(OR(A13="CNY",A13="KRW",A13="JPY"),"INR","JPY"))&amp;" =")</f>
        <v>1 INR =</v>
      </c>
      <c r="E13" s="50" t="str">
        <f>IF($A$13="","","1 "&amp;IF(A13="","",IF(OR(A13="EUR",A13="USD"),"INR","EUR"))&amp;" =")</f>
        <v>1 EUR =</v>
      </c>
      <c r="F13" s="50" t="str">
        <f>IF($A$13="","","1 "&amp;IF(A13="","",IF(A13="USD","EUR","USD"))&amp;" =")</f>
        <v>1 USD =</v>
      </c>
    </row>
    <row r="14" spans="1:7">
      <c r="A14" s="237"/>
      <c r="B14" s="230">
        <f>IF($A$13="","",INDEX('Exchange rate'!$A$1:$G$7,MATCH('Project information'!$A$13,'Exchange rate'!$A$2:$A$7,0)+1,MATCH(MID('Project information'!B13,3,3),'Exchange rate'!$B$1:$G$1,0)+1))</f>
        <v>5.1677852348993285E-3</v>
      </c>
      <c r="C14" s="230">
        <f>IF($A$13="","",INDEX('Exchange rate'!$A$1:$G$7,MATCH('Project information'!$A$13,'Exchange rate'!$A$2:$A$7,0)+1,MATCH(MID('Project information'!C13,3,3),'Exchange rate'!$B$1:$G$1,0)+1))</f>
        <v>4.8125000000000001E-2</v>
      </c>
      <c r="D14" s="230">
        <f>IF($A$13="","",INDEX('Exchange rate'!$A$1:$G$7,MATCH('Project information'!$A$13,'Exchange rate'!$A$2:$A$7,0)+1,MATCH(MID('Project information'!D13,3,3),'Exchange rate'!$B$1:$G$1,0)+1))</f>
        <v>8.3695652173913046E-2</v>
      </c>
      <c r="E14" s="230">
        <f>IF($A$13="","",INDEX('Exchange rate'!$A$1:$G$7,MATCH('Project information'!$A$13,'Exchange rate'!$A$2:$A$7,0)+1,MATCH(MID('Project information'!E13,3,3),'Exchange rate'!$B$1:$G$1,0)+1))</f>
        <v>7.7</v>
      </c>
      <c r="F14" s="230">
        <f>IF($A$13="","",INDEX('Exchange rate'!$A$1:$G$7,MATCH('Project information'!$A$13,'Exchange rate'!$A$2:$A$7,0)+1,MATCH(MID('Project information'!F13,3,3),'Exchange rate'!$B$1:$G$1,0)+1))</f>
        <v>7.1296296296296298</v>
      </c>
    </row>
    <row r="15" spans="1:7" ht="5.15" customHeight="1"/>
    <row r="16" spans="1:7">
      <c r="A16" s="243" t="s">
        <v>110</v>
      </c>
      <c r="B16" s="244"/>
      <c r="C16" s="245"/>
      <c r="D16" s="240">
        <v>1</v>
      </c>
      <c r="E16" s="241"/>
      <c r="F16" s="242"/>
    </row>
    <row r="17" spans="1:8">
      <c r="A17" s="96" t="s">
        <v>111</v>
      </c>
      <c r="B17" s="98">
        <v>1</v>
      </c>
      <c r="C17" s="96" t="s">
        <v>112</v>
      </c>
      <c r="D17" s="98" t="str">
        <f>IF(VALUE(RIGHT(C17,1))&lt;=$D$16,"Name","NA")</f>
        <v>NA</v>
      </c>
      <c r="E17" s="96" t="s">
        <v>113</v>
      </c>
      <c r="F17" s="98" t="str">
        <f>IF(VALUE(RIGHT(E17,1))&lt;=$D$16,"Name","NA")</f>
        <v>NA</v>
      </c>
    </row>
    <row r="18" spans="1:8" ht="135" customHeight="1">
      <c r="A18" s="233" t="s">
        <v>114</v>
      </c>
      <c r="B18" s="234"/>
      <c r="C18" s="233" t="s">
        <v>115</v>
      </c>
      <c r="D18" s="234"/>
      <c r="E18" s="233" t="s">
        <v>115</v>
      </c>
      <c r="F18" s="234"/>
      <c r="H18" s="97"/>
    </row>
    <row r="19" spans="1:8">
      <c r="A19" s="96" t="s">
        <v>116</v>
      </c>
      <c r="B19" s="98" t="str">
        <f>IF(VALUE(RIGHT(A19,1))&lt;=$D$16,"Name","NA")</f>
        <v>NA</v>
      </c>
      <c r="C19" s="96" t="s">
        <v>117</v>
      </c>
      <c r="D19" s="98" t="str">
        <f>IF(VALUE(RIGHT(C19,1))&lt;=$D$16,"Name","NA")</f>
        <v>NA</v>
      </c>
      <c r="E19" s="96" t="s">
        <v>118</v>
      </c>
      <c r="F19" s="98" t="str">
        <f>IF(VALUE(RIGHT(E19,1))&lt;=$D$16,"Name","NA")</f>
        <v>NA</v>
      </c>
    </row>
    <row r="20" spans="1:8" ht="135" customHeight="1">
      <c r="A20" s="233" t="s">
        <v>114</v>
      </c>
      <c r="B20" s="234"/>
      <c r="C20" s="233" t="s">
        <v>114</v>
      </c>
      <c r="D20" s="234"/>
      <c r="E20" s="233" t="s">
        <v>115</v>
      </c>
      <c r="F20" s="234"/>
      <c r="H20" s="97"/>
    </row>
  </sheetData>
  <dataConsolidate/>
  <mergeCells count="12">
    <mergeCell ref="A20:B20"/>
    <mergeCell ref="C20:D20"/>
    <mergeCell ref="E20:F20"/>
    <mergeCell ref="A1:F1"/>
    <mergeCell ref="A13:A14"/>
    <mergeCell ref="A9:A10"/>
    <mergeCell ref="B12:F12"/>
    <mergeCell ref="E18:F18"/>
    <mergeCell ref="C18:D18"/>
    <mergeCell ref="A18:B18"/>
    <mergeCell ref="D16:F16"/>
    <mergeCell ref="A16:C16"/>
  </mergeCells>
  <phoneticPr fontId="22" type="noConversion"/>
  <conditionalFormatting sqref="D17 F17 B19 D19 F19 B17">
    <cfRule type="expression" dxfId="767" priority="3">
      <formula>IF(VALUE(RIGHT(A17,1))&lt;=$D$16,TRUE)</formula>
    </cfRule>
  </conditionalFormatting>
  <conditionalFormatting sqref="E3">
    <cfRule type="expression" dxfId="766" priority="1">
      <formula>IF(AND($A$4="China",$B$4="LVE"),TRUE)</formula>
    </cfRule>
  </conditionalFormatting>
  <dataValidations count="8">
    <dataValidation allowBlank="1" sqref="D7" xr:uid="{00000000-0002-0000-0200-000000000000}"/>
    <dataValidation allowBlank="1" showErrorMessage="1" promptTitle="Mandatory input" prompt="Orange cells are mandatory inputs to run the macro." sqref="D17 F17 B14:F14 B19 F19 D19 B17 E7" xr:uid="{00000000-0002-0000-0200-000001000000}"/>
    <dataValidation type="whole" allowBlank="1" showInputMessage="1" showErrorMessage="1" promptTitle="Mandatory input" prompt="Orange cells are mandatory inputs to run the macro." sqref="E16:F16" xr:uid="{00000000-0002-0000-0200-000002000000}">
      <formula1>1</formula1>
      <formula2>6</formula2>
    </dataValidation>
    <dataValidation allowBlank="1" showErrorMessage="1" prompt="Please choose &quot;Lead AFO&quot; and &quot;Business&quot; type first." sqref="F7 B7" xr:uid="{00000000-0002-0000-0200-000007000000}"/>
    <dataValidation type="date" allowBlank="1" showInputMessage="1" showErrorMessage="1" sqref="B10:F10" xr:uid="{00000000-0002-0000-0200-000009000000}">
      <formula1>43466</formula1>
      <formula2>55153</formula2>
    </dataValidation>
    <dataValidation type="list" allowBlank="1" showErrorMessage="1" sqref="E3" xr:uid="{41A4728A-D307-4D64-9774-EA33CB62D8B2}">
      <formula1>"PM, PM - USA &amp; Korean OEMS, PM - European &amp; Japanese OEMS"</formula1>
    </dataValidation>
    <dataValidation type="list" allowBlank="1" showErrorMessage="1" sqref="F3" xr:uid="{52DCB61F-77C3-4213-A0A6-24F52B60070F}">
      <formula1>"PDL,TPL"</formula1>
    </dataValidation>
    <dataValidation type="whole" allowBlank="1" showErrorMessage="1" promptTitle="Mandatory input" prompt="Orange cells are mandatory inputs to run the macro." sqref="D16" xr:uid="{2D8EB8F4-3B95-4491-B695-AF0202AA7E46}">
      <formula1>1</formula1>
      <formula2>6</formula2>
    </dataValidation>
  </dataValidations>
  <pageMargins left="0.31496062992125984" right="0.31496062992125984" top="0.35433070866141736" bottom="0.15748031496062992" header="0.31496062992125984" footer="0.31496062992125984"/>
  <pageSetup paperSize="9" orientation="portrait" horizontalDpi="1200" verticalDpi="1200" r:id="rId1"/>
  <headerFooter>
    <oddHeader>&amp;L&amp;1&amp;K00+000mrB4UcbL&amp;R&amp;"Century Gothic,Regular"ESA-F-DSS-0001</oddHeader>
    <oddFooter>&amp;R&amp;"Century Gothic,Regular"V8.4.5 - May 2024</oddFooter>
  </headerFooter>
  <colBreaks count="1" manualBreakCount="1">
    <brk id="6" max="1048575" man="1"/>
  </colBreaks>
  <drawing r:id="rId2"/>
  <legacyDrawing r:id="rId3"/>
  <controls>
    <mc:AlternateContent xmlns:mc="http://schemas.openxmlformats.org/markup-compatibility/2006">
      <mc:Choice Requires="x14">
        <control shapeId="10257" r:id="rId4" name="ListBox3">
          <controlPr defaultSize="0" autoLine="0" autoPict="0" r:id="rId5">
            <anchor moveWithCells="1">
              <from>
                <xdr:col>5</xdr:col>
                <xdr:colOff>0</xdr:colOff>
                <xdr:row>5</xdr:row>
                <xdr:rowOff>190500</xdr:rowOff>
              </from>
              <to>
                <xdr:col>7</xdr:col>
                <xdr:colOff>285750</xdr:colOff>
                <xdr:row>17</xdr:row>
                <xdr:rowOff>869950</xdr:rowOff>
              </to>
            </anchor>
          </controlPr>
        </control>
      </mc:Choice>
      <mc:Fallback>
        <control shapeId="10257" r:id="rId4" name="ListBox3"/>
      </mc:Fallback>
    </mc:AlternateContent>
    <mc:AlternateContent xmlns:mc="http://schemas.openxmlformats.org/markup-compatibility/2006">
      <mc:Choice Requires="x14">
        <control shapeId="10255" r:id="rId6" name="ListBox2">
          <controlPr defaultSize="0" autoLine="0" autoPict="0" r:id="rId7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17</xdr:row>
                <xdr:rowOff>939800</xdr:rowOff>
              </to>
            </anchor>
          </controlPr>
        </control>
      </mc:Choice>
      <mc:Fallback>
        <control shapeId="10255" r:id="rId6" name="ListBox2"/>
      </mc:Fallback>
    </mc:AlternateContent>
    <mc:AlternateContent xmlns:mc="http://schemas.openxmlformats.org/markup-compatibility/2006">
      <mc:Choice Requires="x14">
        <control shapeId="10243" r:id="rId8" name="ListBox1">
          <controlPr defaultSize="0" autoLine="0" autoPict="0" r:id="rId9">
            <anchor moveWithCells="1">
              <from>
                <xdr:col>4</xdr:col>
                <xdr:colOff>0</xdr:colOff>
                <xdr:row>6</xdr:row>
                <xdr:rowOff>0</xdr:rowOff>
              </from>
              <to>
                <xdr:col>11</xdr:col>
                <xdr:colOff>361950</xdr:colOff>
                <xdr:row>17</xdr:row>
                <xdr:rowOff>1104900</xdr:rowOff>
              </to>
            </anchor>
          </controlPr>
        </control>
      </mc:Choice>
      <mc:Fallback>
        <control shapeId="10243" r:id="rId8" name="ListBox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86B055C9-BEC6-41B9-AA8B-210B391B8FF5}">
            <xm:f>IF(AND(B13="100 USD =",COUNTIF('D&amp;D cost quotation'!$E:$E,"NAO")&gt;0),TRUE)</xm:f>
            <x14:dxf>
              <fill>
                <patternFill>
                  <bgColor rgb="FFFFC000"/>
                </patternFill>
              </fill>
            </x14:dxf>
          </x14:cfRule>
          <x14:cfRule type="expression" priority="6" id="{E854165D-EE61-4C64-B7E5-E13D9AEB4B42}">
            <xm:f>IF(AND(B13="100 EUR =",COUNTIF('D&amp;D cost quotation'!$E:$E,"EUR")&gt;0),TRUE)</xm:f>
            <x14:dxf>
              <fill>
                <patternFill>
                  <bgColor rgb="FFFFC000"/>
                </patternFill>
              </fill>
            </x14:dxf>
          </x14:cfRule>
          <x14:cfRule type="expression" priority="7" id="{FFCC618B-D756-48DF-AAFA-A229130C5FB1}">
            <xm:f>IF(AND(B13="100 INR =",COUNTIF('D&amp;D cost quotation'!$E:$E,"India")&gt;0),TRUE)</xm:f>
            <x14:dxf>
              <fill>
                <patternFill>
                  <bgColor rgb="FFFFC000"/>
                </patternFill>
              </fill>
            </x14:dxf>
          </x14:cfRule>
          <x14:cfRule type="expression" priority="8" id="{62B33FE8-76CA-4A1A-B58C-ADB80BF0E620}">
            <xm:f>IF(AND(B13="100 JPY =",COUNTIF('D&amp;D cost quotation'!$E:$E,"Japan")&gt;0),TRUE)</xm:f>
            <x14:dxf>
              <fill>
                <patternFill>
                  <bgColor rgb="FFFFC000"/>
                </patternFill>
              </fill>
            </x14:dxf>
          </x14:cfRule>
          <x14:cfRule type="expression" priority="9" id="{37476E44-B314-497B-873A-15837E5CC5D5}">
            <xm:f>IF(AND(B13="100 KWR =",COUNTIF('D&amp;D cost quotation'!$E:$E,"Korea")&gt;0),TRUE)</xm:f>
            <x14:dxf>
              <fill>
                <patternFill>
                  <bgColor rgb="FFFFC000"/>
                </patternFill>
              </fill>
            </x14:dxf>
          </x14:cfRule>
          <x14:cfRule type="expression" priority="10" id="{6257D3FE-05F3-4FAB-AFCB-5CA3BC554A56}">
            <xm:f>IF(AND(B13="100 CNY =",COUNTIF('D&amp;D cost quotation'!$E:$E,"China")&gt;0),TRUE)</xm:f>
            <x14:dxf>
              <fill>
                <patternFill>
                  <bgColor rgb="FFFFC000"/>
                </patternFill>
              </fill>
            </x14:dxf>
          </x14:cfRule>
          <xm:sqref>B14:F14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errorStyle="warning" allowBlank="1" showErrorMessage="1" errorTitle="Warning" error="You might chose a AFO out of Asia. Please contact document owner to check if this document can be used properly." promptTitle="Mandatory input" prompt="Orange cells are mandatory inputs to run the macro." xr:uid="{00000000-0002-0000-0200-00000D000000}">
          <x14:formula1>
            <xm:f>'Dropdown list'!$A$2:$A$5</xm:f>
          </x14:formula1>
          <xm:sqref>A4</xm:sqref>
        </x14:dataValidation>
        <x14:dataValidation type="list" allowBlank="1" showInputMessage="1" showErrorMessage="1" promptTitle="Mandatory input" prompt="Orange cells are mandatory inputs to run the macro." xr:uid="{00000000-0002-0000-0200-00000F000000}">
          <x14:formula1>
            <xm:f>'Dropdown list'!$C$2:$C$3</xm:f>
          </x14:formula1>
          <xm:sqref>B4</xm:sqref>
        </x14:dataValidation>
        <x14:dataValidation type="list" allowBlank="1" showInputMessage="1" showErrorMessage="1" xr:uid="{00000000-0002-0000-0200-000010000000}">
          <x14:formula1>
            <xm:f>'Exchange rate'!$A$2:$A$7</xm:f>
          </x14:formula1>
          <xm:sqref>A14</xm:sqref>
        </x14:dataValidation>
        <x14:dataValidation type="list" allowBlank="1" showErrorMessage="1" promptTitle="CVE program type explanation" prompt="Main platform: have base design, all simulation(reference to STD DVP)+part of test(including HVT/Thermal)_x000a_Varient: have base design,mixer design carry over,do part of simulation+part of test (exlcude HVT/thermal)_x000a_Varient w/o test: a few simulation+no test" xr:uid="{00000000-0002-0000-0200-00000E000000}">
          <x14:formula1>
            <xm:f>INDIRECT('Dropdown list'!F2)</xm:f>
          </x14:formula1>
          <xm:sqref>C4</xm:sqref>
        </x14:dataValidation>
        <x14:dataValidation type="list" allowBlank="1" showErrorMessage="1" xr:uid="{F2E73824-AAED-4F1B-AC46-0359B2A6391C}">
          <x14:formula1>
            <xm:f>'Exchange rate'!$A$2:$A$7</xm:f>
          </x14:formula1>
          <xm:sqref>A13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outlinePr summaryBelow="0"/>
  </sheetPr>
  <dimension ref="A1:BA410"/>
  <sheetViews>
    <sheetView tabSelected="1" zoomScale="85" zoomScaleNormal="85" workbookViewId="0">
      <selection activeCell="F17" sqref="F17"/>
    </sheetView>
  </sheetViews>
  <sheetFormatPr defaultColWidth="9.1796875" defaultRowHeight="13.5" outlineLevelRow="1" outlineLevelCol="1"/>
  <cols>
    <col min="1" max="1" width="5.54296875" style="19" customWidth="1"/>
    <col min="2" max="2" width="10.1796875" style="19" customWidth="1"/>
    <col min="3" max="3" width="15" style="19" bestFit="1" customWidth="1"/>
    <col min="4" max="4" width="35.54296875" style="35" customWidth="1"/>
    <col min="5" max="5" width="13.453125" style="19" customWidth="1"/>
    <col min="6" max="6" width="10.54296875" style="19" customWidth="1"/>
    <col min="7" max="7" width="22" style="135" customWidth="1"/>
    <col min="8" max="12" width="10.54296875" style="19" customWidth="1" outlineLevel="1"/>
    <col min="13" max="13" width="10.54296875" style="19" customWidth="1"/>
    <col min="14" max="19" width="18.54296875" style="19" customWidth="1" outlineLevel="1"/>
    <col min="20" max="20" width="18.54296875" style="19" customWidth="1"/>
    <col min="21" max="21" width="18.54296875" style="19" customWidth="1" outlineLevel="1"/>
    <col min="22" max="26" width="15.54296875" style="19" customWidth="1" outlineLevel="1"/>
    <col min="27" max="27" width="15.54296875" style="19" customWidth="1"/>
    <col min="28" max="29" width="20.453125" style="19" customWidth="1"/>
    <col min="30" max="51" width="9.1796875" style="19"/>
    <col min="52" max="52" width="5.54296875" style="19" customWidth="1"/>
    <col min="53" max="53" width="22" style="135" customWidth="1"/>
    <col min="54" max="16384" width="9.1796875" style="19"/>
  </cols>
  <sheetData>
    <row r="1" spans="1:53" ht="51.75" customHeight="1">
      <c r="A1" s="273" t="s">
        <v>119</v>
      </c>
      <c r="B1" s="274"/>
      <c r="C1" s="274"/>
      <c r="D1" s="274"/>
      <c r="E1" s="274"/>
      <c r="F1" s="274"/>
      <c r="G1" s="274"/>
      <c r="H1" s="274"/>
      <c r="I1" s="274"/>
      <c r="J1" s="274"/>
      <c r="K1" s="274"/>
      <c r="L1" s="274"/>
      <c r="M1" s="274"/>
      <c r="N1" s="274"/>
      <c r="O1" s="274"/>
      <c r="P1" s="274"/>
      <c r="Q1" s="274"/>
      <c r="R1" s="274"/>
      <c r="S1" s="274"/>
      <c r="T1" s="274"/>
      <c r="U1" s="274"/>
      <c r="V1" s="274"/>
      <c r="W1" s="274"/>
      <c r="X1" s="274"/>
      <c r="Y1" s="274"/>
      <c r="Z1" s="274"/>
      <c r="AA1" s="274"/>
      <c r="AB1" s="274"/>
      <c r="AC1" s="274"/>
      <c r="BA1" s="19"/>
    </row>
    <row r="2" spans="1:53">
      <c r="A2" s="270" t="s">
        <v>1405</v>
      </c>
      <c r="B2" s="271"/>
      <c r="C2" s="271"/>
      <c r="D2" s="271"/>
      <c r="E2" s="271"/>
      <c r="F2" s="271"/>
      <c r="G2" s="272"/>
      <c r="H2" s="32" t="s">
        <v>120</v>
      </c>
      <c r="I2" s="32" t="s">
        <v>121</v>
      </c>
      <c r="J2" s="32" t="s">
        <v>122</v>
      </c>
      <c r="K2" s="32" t="s">
        <v>123</v>
      </c>
      <c r="L2" s="32" t="s">
        <v>124</v>
      </c>
      <c r="M2" s="21" t="s">
        <v>125</v>
      </c>
      <c r="N2" s="278" t="s">
        <v>126</v>
      </c>
      <c r="O2" s="276"/>
      <c r="P2" s="276"/>
      <c r="Q2" s="276"/>
      <c r="R2" s="276"/>
      <c r="S2" s="276"/>
      <c r="T2" s="277"/>
      <c r="U2" s="275" t="str">
        <f>"Cost with quotation currency ("&amp;'Project information'!A13&amp;")"</f>
        <v>Cost with quotation currency (CNY)</v>
      </c>
      <c r="V2" s="276"/>
      <c r="W2" s="276"/>
      <c r="X2" s="276"/>
      <c r="Y2" s="276"/>
      <c r="Z2" s="276"/>
      <c r="AA2" s="277"/>
      <c r="AB2" s="20" t="s">
        <v>127</v>
      </c>
      <c r="AC2" s="22">
        <f>IF(COUNTA(C401:C410)=0,"",MAX(C401:C410))</f>
        <v>46223</v>
      </c>
      <c r="BA2" s="19"/>
    </row>
    <row r="3" spans="1:53" ht="25">
      <c r="A3" s="23" t="s">
        <v>128</v>
      </c>
      <c r="B3" s="23" t="s">
        <v>129</v>
      </c>
      <c r="C3" s="23" t="s">
        <v>130</v>
      </c>
      <c r="D3" s="23" t="s">
        <v>131</v>
      </c>
      <c r="E3" s="23" t="s">
        <v>132</v>
      </c>
      <c r="F3" s="23" t="s">
        <v>133</v>
      </c>
      <c r="G3" s="23" t="s">
        <v>134</v>
      </c>
      <c r="H3" s="23" t="s">
        <v>135</v>
      </c>
      <c r="I3" s="23" t="s">
        <v>135</v>
      </c>
      <c r="J3" s="23" t="s">
        <v>135</v>
      </c>
      <c r="K3" s="23" t="s">
        <v>135</v>
      </c>
      <c r="L3" s="23" t="s">
        <v>135</v>
      </c>
      <c r="M3" s="23" t="s">
        <v>135</v>
      </c>
      <c r="N3" s="24" t="s">
        <v>136</v>
      </c>
      <c r="O3" s="36" t="s">
        <v>120</v>
      </c>
      <c r="P3" s="36" t="s">
        <v>121</v>
      </c>
      <c r="Q3" s="36" t="s">
        <v>122</v>
      </c>
      <c r="R3" s="36" t="s">
        <v>123</v>
      </c>
      <c r="S3" s="36" t="s">
        <v>124</v>
      </c>
      <c r="T3" s="37" t="s">
        <v>125</v>
      </c>
      <c r="U3" s="24" t="s">
        <v>136</v>
      </c>
      <c r="V3" s="36" t="s">
        <v>120</v>
      </c>
      <c r="W3" s="36" t="s">
        <v>121</v>
      </c>
      <c r="X3" s="36" t="s">
        <v>122</v>
      </c>
      <c r="Y3" s="36" t="s">
        <v>123</v>
      </c>
      <c r="Z3" s="36" t="s">
        <v>124</v>
      </c>
      <c r="AA3" s="37" t="s">
        <v>125</v>
      </c>
      <c r="AB3" s="262" t="s">
        <v>137</v>
      </c>
      <c r="AC3" s="263"/>
      <c r="AZ3" s="23" t="s">
        <v>128</v>
      </c>
      <c r="BA3" s="23" t="s">
        <v>134</v>
      </c>
    </row>
    <row r="4" spans="1:53">
      <c r="A4" s="25">
        <v>1</v>
      </c>
      <c r="B4" s="25"/>
      <c r="C4" s="26"/>
      <c r="D4" s="34" t="s">
        <v>138</v>
      </c>
      <c r="E4" s="27"/>
      <c r="F4" s="28"/>
      <c r="G4" s="27"/>
      <c r="H4" s="29"/>
      <c r="I4" s="29"/>
      <c r="J4" s="29"/>
      <c r="K4" s="29"/>
      <c r="L4" s="29"/>
      <c r="M4" s="29"/>
      <c r="N4" s="44"/>
      <c r="O4" s="26"/>
      <c r="P4" s="26"/>
      <c r="Q4" s="26"/>
      <c r="R4" s="26"/>
      <c r="S4" s="26"/>
      <c r="T4" s="26"/>
      <c r="U4" s="30"/>
      <c r="V4" s="160">
        <f>SUM(V5:V10)</f>
        <v>0</v>
      </c>
      <c r="W4" s="160">
        <f>SUM(W5:W10)</f>
        <v>0</v>
      </c>
      <c r="X4" s="160">
        <f>SUM(X5:X10)</f>
        <v>0</v>
      </c>
      <c r="Y4" s="160">
        <f>SUM(Y5:Y10)</f>
        <v>0</v>
      </c>
      <c r="Z4" s="160">
        <f>SUM(Z5:Z10)</f>
        <v>0</v>
      </c>
      <c r="AA4" s="160">
        <f>SUM(V4:Z4)</f>
        <v>0</v>
      </c>
      <c r="AB4" s="260"/>
      <c r="AC4" s="261"/>
      <c r="AZ4" s="25">
        <v>1</v>
      </c>
      <c r="BA4" s="27"/>
    </row>
    <row r="5" spans="1:53" s="16" customFormat="1" ht="12.5" outlineLevel="1">
      <c r="A5" s="33" t="str">
        <f>$A$4&amp;"."&amp;ROW(A5)-ROW($A$4)</f>
        <v>1.1</v>
      </c>
      <c r="B5" s="33" t="s">
        <v>139</v>
      </c>
      <c r="C5" s="33" t="s">
        <v>140</v>
      </c>
      <c r="D5" s="52" t="s">
        <v>141</v>
      </c>
      <c r="E5" s="51" t="str">
        <f>IF('Project information'!$A$4="","",'Project information'!$A$4)</f>
        <v>China</v>
      </c>
      <c r="F5" s="46"/>
      <c r="G5" s="38" t="s">
        <v>142</v>
      </c>
      <c r="H5" s="51">
        <f>IF($F5="",0,INDEX('Standard working hours - CT'!$A$1:$AV$180,MATCH($D5,'Standard working hours - CT'!$B$1:$B$180,0)+MATCH('Project information'!$E$7,'Standard working hours - CT'!$A$1:$A$18,0)-1,MATCH('D&amp;D cost quotation'!H$2,'Standard working hours - CT'!$A$1:$G$1,0)+MATCH('Project information'!$A$4,'Standard working hours - CT'!$A$1:$AV$1,0)-1)*$F5)</f>
        <v>0</v>
      </c>
      <c r="I5" s="51">
        <f>IF($F5="",0,INDEX('Standard working hours - CT'!$A$1:$AV$180,MATCH($D5,'Standard working hours - CT'!$B$1:$B$180,0)+MATCH('Project information'!$E$7,'Standard working hours - CT'!$A$1:$A$18,0)-1,MATCH('D&amp;D cost quotation'!I$2,'Standard working hours - CT'!$A$1:$G$1,0)+MATCH('Project information'!$A$4,'Standard working hours - CT'!$A$1:$AV$1,0)-1)*$F5)</f>
        <v>0</v>
      </c>
      <c r="J5" s="51">
        <f>IF($F5="",0,INDEX('Standard working hours - CT'!$A$1:$AV$180,MATCH($D5,'Standard working hours - CT'!$B$1:$B$180,0)+MATCH('Project information'!$E$7,'Standard working hours - CT'!$A$1:$A$18,0)-1,MATCH('D&amp;D cost quotation'!J$2,'Standard working hours - CT'!$A$1:$G$1,0)+MATCH('Project information'!$A$4,'Standard working hours - CT'!$A$1:$AV$1,0)-1)*$F5)</f>
        <v>0</v>
      </c>
      <c r="K5" s="51">
        <f>IF($F5="",0,INDEX('Standard working hours - CT'!$A$1:$AV$180,MATCH($D5,'Standard working hours - CT'!$B$1:$B$180,0)+MATCH('Project information'!$E$7,'Standard working hours - CT'!$A$1:$A$18,0)-1,MATCH('D&amp;D cost quotation'!K$2,'Standard working hours - CT'!$A$1:$G$1,0)+MATCH('Project information'!$A$4,'Standard working hours - CT'!$A$1:$AV$1,0)-1)*$F5)</f>
        <v>0</v>
      </c>
      <c r="L5" s="51">
        <f>IF($F5="",0,INDEX('Standard working hours - CT'!$A$1:$AV$180,MATCH($D5,'Standard working hours - CT'!$B$1:$B$180,0)+MATCH('Project information'!$E$7,'Standard working hours - CT'!$A$1:$A$18,0)-1,MATCH('D&amp;D cost quotation'!L$2,'Standard working hours - CT'!$A$1:$G$1,0)+MATCH('Project information'!$A$4,'Standard working hours - CT'!$A$1:$AV$1,0)-1)*$F5)</f>
        <v>0</v>
      </c>
      <c r="M5" s="33">
        <f>SUM(H5:L5)</f>
        <v>0</v>
      </c>
      <c r="N5" s="157" t="str">
        <f>IF($E5="","",IF(ISERROR(INDEX('Standard hourly rate'!$A$1:$E$14,MATCH($D5,'Standard hourly rate'!$A$1:$A$14,0),MATCH($E5,'Standard hourly rate'!$A$1:$E$1,0))),"NA",IF(INDEX('Standard hourly rate'!$A$1:$E$14,MATCH($D5,'Standard hourly rate'!$A$1:$A$14,0),MATCH($E5,'Standard hourly rate'!$A$1:$E$1,0))=0,"NA",INDEX('Standard hourly rate'!$A$1:$E$14,MATCH($D5,'Standard hourly rate'!$A$1:$A$14,0),MATCH($E5,'Standard hourly rate'!$A$1:$E$1,0)))))</f>
        <v>NA</v>
      </c>
      <c r="O5" s="45">
        <f>IF(OR(ISERROR($N5),$N5="",$N5="NA"),0,H5*$N5)*(1+INDEX('For Finance Control'!$B$27:$E$29,3,MATCH('Project information'!$A$4,'For Finance Control'!$B$27:$E$27,0)))</f>
        <v>0</v>
      </c>
      <c r="P5" s="45">
        <f>IF(OR(ISERROR($N5),$N5="",$N5="NA"),0,I5*$N5)*(1+INDEX('For Finance Control'!$B$27:$E$29,3,MATCH('Project information'!$A$4,'For Finance Control'!$B$27:$E$27,0)))</f>
        <v>0</v>
      </c>
      <c r="Q5" s="45">
        <f>IF(OR(ISERROR($N5),$N5="",$N5="NA"),0,J5*$N5)*(1+INDEX('For Finance Control'!$B$27:$E$29,3,MATCH('Project information'!$A$4,'For Finance Control'!$B$27:$E$27,0)))</f>
        <v>0</v>
      </c>
      <c r="R5" s="45">
        <f>IF(OR(ISERROR($N5),$N5="",$N5="NA"),0,K5*$N5)*(1+INDEX('For Finance Control'!$B$27:$E$29,3,MATCH('Project information'!$A$4,'For Finance Control'!$B$27:$E$27,0)))</f>
        <v>0</v>
      </c>
      <c r="S5" s="45">
        <f>IF(OR(ISERROR($N5),$N5="",$N5="NA"),0,L5*$N5)*(1+INDEX('For Finance Control'!$B$27:$E$29,3,MATCH('Project information'!$A$4,'For Finance Control'!$B$27:$E$27,0)))</f>
        <v>0</v>
      </c>
      <c r="T5" s="45">
        <f>SUM(O5:S5)</f>
        <v>0</v>
      </c>
      <c r="U5" s="33" t="str" cm="1">
        <f t="array" ref="U5">IF($N5="NA","NA",$N5*INDEX('Exchange rate'!$A$1:$G$7,MATCH('Project information'!$A$13,'Exchange rate'!$A$1:$A$7,0),MATCH(LOOKUP(2,1/({"China";"Korea";"India";"Japan";"EUR";"NAO"}=$E5),{"CNY";"KRW";"INR";"JPY";"EUR";"USD"}),'Exchange rate'!$A$1:$G$1,0)))</f>
        <v>NA</v>
      </c>
      <c r="V5" s="33">
        <f>IF(OR(ISERROR($U5),$U5="",$U5="NA"),0,H5*$U5)</f>
        <v>0</v>
      </c>
      <c r="W5" s="33">
        <f t="shared" ref="W5:Z5" si="0">IF(OR(ISERROR($U5),$U5="",$U5="NA"),0,I5*$U5)</f>
        <v>0</v>
      </c>
      <c r="X5" s="33">
        <f t="shared" si="0"/>
        <v>0</v>
      </c>
      <c r="Y5" s="33">
        <f t="shared" si="0"/>
        <v>0</v>
      </c>
      <c r="Z5" s="33">
        <f t="shared" si="0"/>
        <v>0</v>
      </c>
      <c r="AA5" s="33">
        <f>SUM(V5:Z5)</f>
        <v>0</v>
      </c>
      <c r="AB5" s="246"/>
      <c r="AC5" s="247"/>
      <c r="AZ5" s="33" t="str">
        <f>$A$4&amp;"."&amp;ROW(AZ5)-ROW($A$4)</f>
        <v>1.1</v>
      </c>
      <c r="BA5" s="38" t="s">
        <v>143</v>
      </c>
    </row>
    <row r="6" spans="1:53" outlineLevel="1">
      <c r="A6" s="33" t="str">
        <f t="shared" ref="A6:A10" si="1">$A$4&amp;"."&amp;ROW(A6)-ROW($A$4)</f>
        <v>1.2</v>
      </c>
      <c r="B6" s="148" t="s">
        <v>144</v>
      </c>
      <c r="C6" s="149" t="s">
        <v>145</v>
      </c>
      <c r="D6" s="150" t="s">
        <v>146</v>
      </c>
      <c r="E6" s="51" t="str">
        <f>IF('Project information'!$A$4="","",'Project information'!$A$4)</f>
        <v>China</v>
      </c>
      <c r="F6" s="46"/>
      <c r="G6" s="38" t="s">
        <v>142</v>
      </c>
      <c r="H6" s="51">
        <f>IF($F6="",0,INDEX('Standard working hours - CT'!$A$1:$AV$180,MATCH($D6,'Standard working hours - CT'!$B$1:$B$180,0)+MATCH('Project information'!$E$7,'Standard working hours - CT'!$A$1:$A$18,0)-1,MATCH('D&amp;D cost quotation'!H$2,'Standard working hours - CT'!$A$1:$G$1,0)+MATCH('Project information'!$A$4,'Standard working hours - CT'!$A$1:$AV$1,0)-1)*$F6)</f>
        <v>0</v>
      </c>
      <c r="I6" s="51">
        <f>IF($F6="",0,INDEX('Standard working hours - CT'!$A$1:$AV$180,MATCH($D6,'Standard working hours - CT'!$B$1:$B$180,0)+MATCH('Project information'!$E$7,'Standard working hours - CT'!$A$1:$A$18,0)-1,MATCH('D&amp;D cost quotation'!I$2,'Standard working hours - CT'!$A$1:$G$1,0)+MATCH('Project information'!$A$4,'Standard working hours - CT'!$A$1:$AV$1,0)-1)*$F6)</f>
        <v>0</v>
      </c>
      <c r="J6" s="51">
        <f>IF($F6="",0,INDEX('Standard working hours - CT'!$A$1:$AV$180,MATCH($D6,'Standard working hours - CT'!$B$1:$B$180,0)+MATCH('Project information'!$E$7,'Standard working hours - CT'!$A$1:$A$18,0)-1,MATCH('D&amp;D cost quotation'!J$2,'Standard working hours - CT'!$A$1:$G$1,0)+MATCH('Project information'!$A$4,'Standard working hours - CT'!$A$1:$AV$1,0)-1)*$F6)</f>
        <v>0</v>
      </c>
      <c r="K6" s="51">
        <f>IF($F6="",0,INDEX('Standard working hours - CT'!$A$1:$AV$180,MATCH($D6,'Standard working hours - CT'!$B$1:$B$180,0)+MATCH('Project information'!$E$7,'Standard working hours - CT'!$A$1:$A$18,0)-1,MATCH('D&amp;D cost quotation'!K$2,'Standard working hours - CT'!$A$1:$G$1,0)+MATCH('Project information'!$A$4,'Standard working hours - CT'!$A$1:$AV$1,0)-1)*$F6)</f>
        <v>0</v>
      </c>
      <c r="L6" s="51">
        <f>IF($F6="",0,INDEX('Standard working hours - CT'!$A$1:$AV$180,MATCH($D6,'Standard working hours - CT'!$B$1:$B$180,0)+MATCH('Project information'!$E$7,'Standard working hours - CT'!$A$1:$A$18,0)-1,MATCH('D&amp;D cost quotation'!L$2,'Standard working hours - CT'!$A$1:$G$1,0)+MATCH('Project information'!$A$4,'Standard working hours - CT'!$A$1:$AV$1,0)-1)*$F6)</f>
        <v>0</v>
      </c>
      <c r="M6" s="33">
        <f t="shared" ref="M6:M9" si="2">SUM(H6:L6)</f>
        <v>0</v>
      </c>
      <c r="N6" s="157" t="str">
        <f>IF($E6="","",IF(ISERROR(INDEX('Standard hourly rate'!$A$1:$E$14,MATCH($D6,'Standard hourly rate'!$A$1:$A$14,0),MATCH($E6,'Standard hourly rate'!$A$1:$E$1,0))),"NA",IF(INDEX('Standard hourly rate'!$A$1:$E$14,MATCH($D6,'Standard hourly rate'!$A$1:$A$14,0),MATCH($E6,'Standard hourly rate'!$A$1:$E$1,0))=0,"NA",INDEX('Standard hourly rate'!$A$1:$E$14,MATCH($D6,'Standard hourly rate'!$A$1:$A$14,0),MATCH($E6,'Standard hourly rate'!$A$1:$E$1,0)))))</f>
        <v>NA</v>
      </c>
      <c r="O6" s="45">
        <f>IF(OR(ISERROR($N6),$N6="",$N6="NA"),0,H6*$N6)*(1+INDEX('For Finance Control'!$B$27:$E$29,3,MATCH('Project information'!$A$4,'For Finance Control'!$B$27:$E$27,0)))</f>
        <v>0</v>
      </c>
      <c r="P6" s="45">
        <f>IF(OR(ISERROR($N6),$N6="",$N6="NA"),0,I6*$N6)*(1+INDEX('For Finance Control'!$B$27:$E$29,3,MATCH('Project information'!$A$4,'For Finance Control'!$B$27:$E$27,0)))</f>
        <v>0</v>
      </c>
      <c r="Q6" s="45">
        <f>IF(OR(ISERROR($N6),$N6="",$N6="NA"),0,J6*$N6)*(1+INDEX('For Finance Control'!$B$27:$E$29,3,MATCH('Project information'!$A$4,'For Finance Control'!$B$27:$E$27,0)))</f>
        <v>0</v>
      </c>
      <c r="R6" s="45">
        <f>IF(OR(ISERROR($N6),$N6="",$N6="NA"),0,K6*$N6)*(1+INDEX('For Finance Control'!$B$27:$E$29,3,MATCH('Project information'!$A$4,'For Finance Control'!$B$27:$E$27,0)))</f>
        <v>0</v>
      </c>
      <c r="S6" s="45">
        <f>IF(OR(ISERROR($N6),$N6="",$N6="NA"),0,L6*$N6)*(1+INDEX('For Finance Control'!$B$27:$E$29,3,MATCH('Project information'!$A$4,'For Finance Control'!$B$27:$E$27,0)))</f>
        <v>0</v>
      </c>
      <c r="T6" s="33">
        <f t="shared" ref="T6:T10" si="3">SUM(O6:S6)</f>
        <v>0</v>
      </c>
      <c r="U6" s="33" t="str" cm="1">
        <f t="array" ref="U6">IF($N6="NA","NA",$N6*INDEX('Exchange rate'!$A$1:$G$7,MATCH('Project information'!$A$13,'Exchange rate'!$A$1:$A$7,0),MATCH(LOOKUP(2,1/({"China";"Korea";"India";"Japan";"EUR";"NAO"}=$E6),{"CNY";"KRW";"INR";"JPY";"EUR";"USD"}),'Exchange rate'!$A$1:$G$1,0)))</f>
        <v>NA</v>
      </c>
      <c r="V6" s="33">
        <f t="shared" ref="V6:V8" si="4">IF(OR(ISERROR($U6),$U6="",$U6="NA"),0,H6*$U6)</f>
        <v>0</v>
      </c>
      <c r="W6" s="33">
        <f t="shared" ref="W6:W8" si="5">IF(OR(ISERROR($U6),$U6="",$U6="NA"),0,I6*$U6)</f>
        <v>0</v>
      </c>
      <c r="X6" s="33">
        <f t="shared" ref="X6:X8" si="6">IF(OR(ISERROR($U6),$U6="",$U6="NA"),0,J6*$U6)</f>
        <v>0</v>
      </c>
      <c r="Y6" s="33">
        <f t="shared" ref="Y6:Y8" si="7">IF(OR(ISERROR($U6),$U6="",$U6="NA"),0,K6*$U6)</f>
        <v>0</v>
      </c>
      <c r="Z6" s="33">
        <f t="shared" ref="Z6:Z8" si="8">IF(OR(ISERROR($U6),$U6="",$U6="NA"),0,L6*$U6)</f>
        <v>0</v>
      </c>
      <c r="AA6" s="33">
        <f t="shared" ref="AA6:AA23" si="9">SUM(V6:Z6)</f>
        <v>0</v>
      </c>
      <c r="AB6" s="246"/>
      <c r="AC6" s="247"/>
      <c r="AZ6" s="33" t="str">
        <f t="shared" ref="AZ6:AZ10" si="10">$A$4&amp;"."&amp;ROW(AZ6)-ROW($A$4)</f>
        <v>1.2</v>
      </c>
      <c r="BA6" s="38" t="s">
        <v>143</v>
      </c>
    </row>
    <row r="7" spans="1:53" outlineLevel="1">
      <c r="A7" s="33" t="str">
        <f t="shared" si="1"/>
        <v>1.3</v>
      </c>
      <c r="B7" s="148" t="s">
        <v>144</v>
      </c>
      <c r="C7" s="149" t="s">
        <v>147</v>
      </c>
      <c r="D7" s="150" t="s">
        <v>148</v>
      </c>
      <c r="E7" s="51" t="str">
        <f>IF('Project information'!$A$4="","",'Project information'!$A$4)</f>
        <v>China</v>
      </c>
      <c r="F7" s="46"/>
      <c r="G7" s="38" t="s">
        <v>142</v>
      </c>
      <c r="H7" s="51">
        <f>IF($F7="",0,INDEX('Standard working hours - CT'!$A$1:$AV$180,MATCH($D7,'Standard working hours - CT'!$B$1:$B$180,0)+MATCH('Project information'!$E$7,'Standard working hours - CT'!$A$1:$A$18,0)-1,MATCH('D&amp;D cost quotation'!H$2,'Standard working hours - CT'!$A$1:$G$1,0)+MATCH('Project information'!$A$4,'Standard working hours - CT'!$A$1:$AV$1,0)-1)*$F7)</f>
        <v>0</v>
      </c>
      <c r="I7" s="51">
        <f>IF($F7="",0,INDEX('Standard working hours - CT'!$A$1:$AV$180,MATCH($D7,'Standard working hours - CT'!$B$1:$B$180,0)+MATCH('Project information'!$E$7,'Standard working hours - CT'!$A$1:$A$18,0)-1,MATCH('D&amp;D cost quotation'!I$2,'Standard working hours - CT'!$A$1:$G$1,0)+MATCH('Project information'!$A$4,'Standard working hours - CT'!$A$1:$AV$1,0)-1)*$F7)</f>
        <v>0</v>
      </c>
      <c r="J7" s="51">
        <f>IF($F7="",0,INDEX('Standard working hours - CT'!$A$1:$AV$180,MATCH($D7,'Standard working hours - CT'!$B$1:$B$180,0)+MATCH('Project information'!$E$7,'Standard working hours - CT'!$A$1:$A$18,0)-1,MATCH('D&amp;D cost quotation'!J$2,'Standard working hours - CT'!$A$1:$G$1,0)+MATCH('Project information'!$A$4,'Standard working hours - CT'!$A$1:$AV$1,0)-1)*$F7)</f>
        <v>0</v>
      </c>
      <c r="K7" s="51">
        <f>IF($F7="",0,INDEX('Standard working hours - CT'!$A$1:$AV$180,MATCH($D7,'Standard working hours - CT'!$B$1:$B$180,0)+MATCH('Project information'!$E$7,'Standard working hours - CT'!$A$1:$A$18,0)-1,MATCH('D&amp;D cost quotation'!K$2,'Standard working hours - CT'!$A$1:$G$1,0)+MATCH('Project information'!$A$4,'Standard working hours - CT'!$A$1:$AV$1,0)-1)*$F7)</f>
        <v>0</v>
      </c>
      <c r="L7" s="51">
        <f>IF($F7="",0,INDEX('Standard working hours - CT'!$A$1:$AV$180,MATCH($D7,'Standard working hours - CT'!$B$1:$B$180,0)+MATCH('Project information'!$E$7,'Standard working hours - CT'!$A$1:$A$18,0)-1,MATCH('D&amp;D cost quotation'!L$2,'Standard working hours - CT'!$A$1:$G$1,0)+MATCH('Project information'!$A$4,'Standard working hours - CT'!$A$1:$AV$1,0)-1)*$F7)</f>
        <v>0</v>
      </c>
      <c r="M7" s="33">
        <f t="shared" si="2"/>
        <v>0</v>
      </c>
      <c r="N7" s="157" t="str">
        <f>IF($E7="","",IF(ISERROR(INDEX('Standard hourly rate'!$A$1:$E$14,MATCH($D7,'Standard hourly rate'!$A$1:$A$14,0),MATCH($E7,'Standard hourly rate'!$A$1:$E$1,0))),"NA",IF(INDEX('Standard hourly rate'!$A$1:$E$14,MATCH($D7,'Standard hourly rate'!$A$1:$A$14,0),MATCH($E7,'Standard hourly rate'!$A$1:$E$1,0))=0,"NA",INDEX('Standard hourly rate'!$A$1:$E$14,MATCH($D7,'Standard hourly rate'!$A$1:$A$14,0),MATCH($E7,'Standard hourly rate'!$A$1:$E$1,0)))))</f>
        <v>NA</v>
      </c>
      <c r="O7" s="45">
        <f>IF(OR(ISERROR($N7),$N7="",$N7="NA"),0,H7*$N7)*(1+INDEX('For Finance Control'!$B$27:$E$29,3,MATCH('Project information'!$A$4,'For Finance Control'!$B$27:$E$27,0)))</f>
        <v>0</v>
      </c>
      <c r="P7" s="45">
        <f>IF(OR(ISERROR($N7),$N7="",$N7="NA"),0,I7*$N7)*(1+INDEX('For Finance Control'!$B$27:$E$29,3,MATCH('Project information'!$A$4,'For Finance Control'!$B$27:$E$27,0)))</f>
        <v>0</v>
      </c>
      <c r="Q7" s="45">
        <f>IF(OR(ISERROR($N7),$N7="",$N7="NA"),0,J7*$N7)*(1+INDEX('For Finance Control'!$B$27:$E$29,3,MATCH('Project information'!$A$4,'For Finance Control'!$B$27:$E$27,0)))</f>
        <v>0</v>
      </c>
      <c r="R7" s="45">
        <f>IF(OR(ISERROR($N7),$N7="",$N7="NA"),0,K7*$N7)*(1+INDEX('For Finance Control'!$B$27:$E$29,3,MATCH('Project information'!$A$4,'For Finance Control'!$B$27:$E$27,0)))</f>
        <v>0</v>
      </c>
      <c r="S7" s="45">
        <f>IF(OR(ISERROR($N7),$N7="",$N7="NA"),0,L7*$N7)*(1+INDEX('For Finance Control'!$B$27:$E$29,3,MATCH('Project information'!$A$4,'For Finance Control'!$B$27:$E$27,0)))</f>
        <v>0</v>
      </c>
      <c r="T7" s="33">
        <f t="shared" si="3"/>
        <v>0</v>
      </c>
      <c r="U7" s="33" t="str" cm="1">
        <f t="array" ref="U7">IF($N7="NA","NA",$N7*INDEX('Exchange rate'!$A$1:$G$7,MATCH('Project information'!$A$13,'Exchange rate'!$A$1:$A$7,0),MATCH(LOOKUP(2,1/({"China";"Korea";"India";"Japan";"EUR";"NAO"}=$E7),{"CNY";"KRW";"INR";"JPY";"EUR";"USD"}),'Exchange rate'!$A$1:$G$1,0)))</f>
        <v>NA</v>
      </c>
      <c r="V7" s="33">
        <f t="shared" si="4"/>
        <v>0</v>
      </c>
      <c r="W7" s="33">
        <f t="shared" si="5"/>
        <v>0</v>
      </c>
      <c r="X7" s="33">
        <f t="shared" si="6"/>
        <v>0</v>
      </c>
      <c r="Y7" s="33">
        <f t="shared" si="7"/>
        <v>0</v>
      </c>
      <c r="Z7" s="33">
        <f t="shared" si="8"/>
        <v>0</v>
      </c>
      <c r="AA7" s="33">
        <f t="shared" si="9"/>
        <v>0</v>
      </c>
      <c r="AB7" s="246"/>
      <c r="AC7" s="247"/>
      <c r="AZ7" s="33" t="str">
        <f t="shared" si="10"/>
        <v>1.3</v>
      </c>
      <c r="BA7" s="38" t="s">
        <v>143</v>
      </c>
    </row>
    <row r="8" spans="1:53" outlineLevel="1">
      <c r="A8" s="33" t="str">
        <f t="shared" si="1"/>
        <v>1.4</v>
      </c>
      <c r="B8" s="148" t="s">
        <v>144</v>
      </c>
      <c r="C8" s="149" t="s">
        <v>145</v>
      </c>
      <c r="D8" s="150" t="s">
        <v>149</v>
      </c>
      <c r="E8" s="51" t="str">
        <f>IF('Project information'!$A$4="","",'Project information'!$A$4)</f>
        <v>China</v>
      </c>
      <c r="F8" s="46"/>
      <c r="G8" s="38" t="s">
        <v>142</v>
      </c>
      <c r="H8" s="51">
        <f>IF($F8="",0,INDEX('Standard working hours - CT'!$A$1:$AV$180,MATCH($D8,'Standard working hours - CT'!$B$1:$B$180,0)+MATCH('Project information'!$E$7,'Standard working hours - CT'!$A$1:$A$18,0)-1,MATCH('D&amp;D cost quotation'!H$2,'Standard working hours - CT'!$A$1:$G$1,0)+MATCH('Project information'!$A$4,'Standard working hours - CT'!$A$1:$AV$1,0)-1)*$F8)</f>
        <v>0</v>
      </c>
      <c r="I8" s="51">
        <f>IF($F8="",0,INDEX('Standard working hours - CT'!$A$1:$AV$180,MATCH($D8,'Standard working hours - CT'!$B$1:$B$180,0)+MATCH('Project information'!$E$7,'Standard working hours - CT'!$A$1:$A$18,0)-1,MATCH('D&amp;D cost quotation'!I$2,'Standard working hours - CT'!$A$1:$G$1,0)+MATCH('Project information'!$A$4,'Standard working hours - CT'!$A$1:$AV$1,0)-1)*$F8)</f>
        <v>0</v>
      </c>
      <c r="J8" s="51">
        <f>IF($F8="",0,INDEX('Standard working hours - CT'!$A$1:$AV$180,MATCH($D8,'Standard working hours - CT'!$B$1:$B$180,0)+MATCH('Project information'!$E$7,'Standard working hours - CT'!$A$1:$A$18,0)-1,MATCH('D&amp;D cost quotation'!J$2,'Standard working hours - CT'!$A$1:$G$1,0)+MATCH('Project information'!$A$4,'Standard working hours - CT'!$A$1:$AV$1,0)-1)*$F8)</f>
        <v>0</v>
      </c>
      <c r="K8" s="51">
        <f>IF($F8="",0,INDEX('Standard working hours - CT'!$A$1:$AV$180,MATCH($D8,'Standard working hours - CT'!$B$1:$B$180,0)+MATCH('Project information'!$E$7,'Standard working hours - CT'!$A$1:$A$18,0)-1,MATCH('D&amp;D cost quotation'!K$2,'Standard working hours - CT'!$A$1:$G$1,0)+MATCH('Project information'!$A$4,'Standard working hours - CT'!$A$1:$AV$1,0)-1)*$F8)</f>
        <v>0</v>
      </c>
      <c r="L8" s="51">
        <f>IF($F8="",0,INDEX('Standard working hours - CT'!$A$1:$AV$180,MATCH($D8,'Standard working hours - CT'!$B$1:$B$180,0)+MATCH('Project information'!$E$7,'Standard working hours - CT'!$A$1:$A$18,0)-1,MATCH('D&amp;D cost quotation'!L$2,'Standard working hours - CT'!$A$1:$G$1,0)+MATCH('Project information'!$A$4,'Standard working hours - CT'!$A$1:$AV$1,0)-1)*$F8)</f>
        <v>0</v>
      </c>
      <c r="M8" s="33">
        <f t="shared" si="2"/>
        <v>0</v>
      </c>
      <c r="N8" s="157" t="str">
        <f>IF($E8="","",IF(ISERROR(INDEX('Standard hourly rate'!$A$1:$E$14,MATCH($D8,'Standard hourly rate'!$A$1:$A$14,0),MATCH($E8,'Standard hourly rate'!$A$1:$E$1,0))),"NA",IF(INDEX('Standard hourly rate'!$A$1:$E$14,MATCH($D8,'Standard hourly rate'!$A$1:$A$14,0),MATCH($E8,'Standard hourly rate'!$A$1:$E$1,0))=0,"NA",INDEX('Standard hourly rate'!$A$1:$E$14,MATCH($D8,'Standard hourly rate'!$A$1:$A$14,0),MATCH($E8,'Standard hourly rate'!$A$1:$E$1,0)))))</f>
        <v>NA</v>
      </c>
      <c r="O8" s="45">
        <f>IF(OR(ISERROR($N8),$N8="",$N8="NA"),0,H8*$N8)*(1+INDEX('For Finance Control'!$B$27:$E$29,3,MATCH('Project information'!$A$4,'For Finance Control'!$B$27:$E$27,0)))</f>
        <v>0</v>
      </c>
      <c r="P8" s="45">
        <f>IF(OR(ISERROR($N8),$N8="",$N8="NA"),0,I8*$N8)*(1+INDEX('For Finance Control'!$B$27:$E$29,3,MATCH('Project information'!$A$4,'For Finance Control'!$B$27:$E$27,0)))</f>
        <v>0</v>
      </c>
      <c r="Q8" s="45">
        <f>IF(OR(ISERROR($N8),$N8="",$N8="NA"),0,J8*$N8)*(1+INDEX('For Finance Control'!$B$27:$E$29,3,MATCH('Project information'!$A$4,'For Finance Control'!$B$27:$E$27,0)))</f>
        <v>0</v>
      </c>
      <c r="R8" s="45">
        <f>IF(OR(ISERROR($N8),$N8="",$N8="NA"),0,K8*$N8)*(1+INDEX('For Finance Control'!$B$27:$E$29,3,MATCH('Project information'!$A$4,'For Finance Control'!$B$27:$E$27,0)))</f>
        <v>0</v>
      </c>
      <c r="S8" s="45">
        <f>IF(OR(ISERROR($N8),$N8="",$N8="NA"),0,L8*$N8)*(1+INDEX('For Finance Control'!$B$27:$E$29,3,MATCH('Project information'!$A$4,'For Finance Control'!$B$27:$E$27,0)))</f>
        <v>0</v>
      </c>
      <c r="T8" s="33">
        <f t="shared" si="3"/>
        <v>0</v>
      </c>
      <c r="U8" s="33" t="str" cm="1">
        <f t="array" ref="U8">IF($N8="NA","NA",$N8*INDEX('Exchange rate'!$A$1:$G$7,MATCH('Project information'!$A$13,'Exchange rate'!$A$1:$A$7,0),MATCH(LOOKUP(2,1/({"China";"Korea";"India";"Japan";"EUR";"NAO"}=$E8),{"CNY";"KRW";"INR";"JPY";"EUR";"USD"}),'Exchange rate'!$A$1:$G$1,0)))</f>
        <v>NA</v>
      </c>
      <c r="V8" s="33">
        <f t="shared" si="4"/>
        <v>0</v>
      </c>
      <c r="W8" s="33">
        <f t="shared" si="5"/>
        <v>0</v>
      </c>
      <c r="X8" s="33">
        <f t="shared" si="6"/>
        <v>0</v>
      </c>
      <c r="Y8" s="33">
        <f t="shared" si="7"/>
        <v>0</v>
      </c>
      <c r="Z8" s="33">
        <f t="shared" si="8"/>
        <v>0</v>
      </c>
      <c r="AA8" s="33">
        <f t="shared" si="9"/>
        <v>0</v>
      </c>
      <c r="AB8" s="246"/>
      <c r="AC8" s="247"/>
      <c r="AZ8" s="33" t="str">
        <f t="shared" si="10"/>
        <v>1.4</v>
      </c>
      <c r="BA8" s="38" t="s">
        <v>143</v>
      </c>
    </row>
    <row r="9" spans="1:53" outlineLevel="1">
      <c r="A9" s="33" t="str">
        <f t="shared" si="1"/>
        <v>1.5</v>
      </c>
      <c r="B9" s="148" t="s">
        <v>144</v>
      </c>
      <c r="C9" s="149" t="s">
        <v>145</v>
      </c>
      <c r="D9" s="150" t="s">
        <v>150</v>
      </c>
      <c r="E9" s="51" t="str">
        <f>IF('Project information'!$A$4="","",'Project information'!$A$4)</f>
        <v>China</v>
      </c>
      <c r="F9" s="46"/>
      <c r="G9" s="38" t="s">
        <v>142</v>
      </c>
      <c r="H9" s="51">
        <f>IF(OR($F9="",$G9="N"),0,INDEX('Standard working hours - CT'!$A$1:$AV$180,MATCH($D9,'Standard working hours - CT'!$B$1:$B$180,0)+MATCH('Project information'!$E$7,'Standard working hours - CT'!$A$1:$A$18,0)-1,MATCH('D&amp;D cost quotation'!H$2,'Standard working hours - CT'!$A$1:$G$1,0)+MATCH('Project information'!$A$4,'Standard working hours - CT'!$A$1:$AV$1,0)-1)*$F9)</f>
        <v>0</v>
      </c>
      <c r="I9" s="51">
        <f>IF(OR($F9="",$G9="N"),0,INDEX('Standard working hours - CT'!$A$1:$AV$180,MATCH($D9,'Standard working hours - CT'!$B$1:$B$180,0)+MATCH('Project information'!$E$7,'Standard working hours - CT'!$A$1:$A$18,0)-1,MATCH('D&amp;D cost quotation'!I$2,'Standard working hours - CT'!$A$1:$G$1,0)+MATCH('Project information'!$A$4,'Standard working hours - CT'!$A$1:$AV$1,0)-1)*$F9)</f>
        <v>0</v>
      </c>
      <c r="J9" s="51">
        <f>IF(OR($F9="",$G9="N"),0,INDEX('Standard working hours - CT'!$A$1:$AV$180,MATCH($D9,'Standard working hours - CT'!$B$1:$B$180,0)+MATCH('Project information'!$E$7,'Standard working hours - CT'!$A$1:$A$18,0)-1,MATCH('D&amp;D cost quotation'!J$2,'Standard working hours - CT'!$A$1:$G$1,0)+MATCH('Project information'!$A$4,'Standard working hours - CT'!$A$1:$AV$1,0)-1)*$F9)</f>
        <v>0</v>
      </c>
      <c r="K9" s="51">
        <f>IF(OR($F9="",$G9="N"),0,INDEX('Standard working hours - CT'!$A$1:$AV$180,MATCH($D9,'Standard working hours - CT'!$B$1:$B$180,0)+MATCH('Project information'!$E$7,'Standard working hours - CT'!$A$1:$A$18,0)-1,MATCH('D&amp;D cost quotation'!K$2,'Standard working hours - CT'!$A$1:$G$1,0)+MATCH('Project information'!$A$4,'Standard working hours - CT'!$A$1:$AV$1,0)-1)*$F9)</f>
        <v>0</v>
      </c>
      <c r="L9" s="51">
        <f>IF(OR($F9="",$G9="N"),0,INDEX('Standard working hours - CT'!$A$1:$AV$180,MATCH($D9,'Standard working hours - CT'!$B$1:$B$180,0)+MATCH('Project information'!$E$7,'Standard working hours - CT'!$A$1:$A$18,0)-1,MATCH('D&amp;D cost quotation'!L$2,'Standard working hours - CT'!$A$1:$G$1,0)+MATCH('Project information'!$A$4,'Standard working hours - CT'!$A$1:$AV$1,0)-1)*$F9)</f>
        <v>0</v>
      </c>
      <c r="M9" s="33">
        <f t="shared" si="2"/>
        <v>0</v>
      </c>
      <c r="N9" s="157" t="str">
        <f>IF($E9="","",IF(ISERROR(INDEX('Standard hourly rate'!$A$1:$E$14,MATCH($D9,'Standard hourly rate'!$A$1:$A$14,0),MATCH($E9,'Standard hourly rate'!$A$1:$E$1,0))),"NA",IF(INDEX('Standard hourly rate'!$A$1:$E$14,MATCH($D9,'Standard hourly rate'!$A$1:$A$14,0),MATCH($E9,'Standard hourly rate'!$A$1:$E$1,0))=0,"NA",INDEX('Standard hourly rate'!$A$1:$E$14,MATCH($D9,'Standard hourly rate'!$A$1:$A$14,0),MATCH($E9,'Standard hourly rate'!$A$1:$E$1,0)))))</f>
        <v>NA</v>
      </c>
      <c r="O9" s="45">
        <f>IF(OR(ISERROR($N9),$N9="",$N9="NA"),0,H9*$N9)*(1+INDEX('For Finance Control'!$B$27:$E$29,3,MATCH('Project information'!$A$4,'For Finance Control'!$B$27:$E$27,0)))</f>
        <v>0</v>
      </c>
      <c r="P9" s="45">
        <f>IF(OR(ISERROR($N9),$N9="",$N9="NA"),0,I9*$N9)*(1+INDEX('For Finance Control'!$B$27:$E$29,3,MATCH('Project information'!$A$4,'For Finance Control'!$B$27:$E$27,0)))</f>
        <v>0</v>
      </c>
      <c r="Q9" s="45">
        <f>IF(OR(ISERROR($N9),$N9="",$N9="NA"),0,J9*$N9)*(1+INDEX('For Finance Control'!$B$27:$E$29,3,MATCH('Project information'!$A$4,'For Finance Control'!$B$27:$E$27,0)))</f>
        <v>0</v>
      </c>
      <c r="R9" s="45">
        <f>IF(OR(ISERROR($N9),$N9="",$N9="NA"),0,K9*$N9)*(1+INDEX('For Finance Control'!$B$27:$E$29,3,MATCH('Project information'!$A$4,'For Finance Control'!$B$27:$E$27,0)))</f>
        <v>0</v>
      </c>
      <c r="S9" s="45">
        <f>IF(OR(ISERROR($N9),$N9="",$N9="NA"),0,L9*$N9)*(1+INDEX('For Finance Control'!$B$27:$E$29,3,MATCH('Project information'!$A$4,'For Finance Control'!$B$27:$E$27,0)))</f>
        <v>0</v>
      </c>
      <c r="T9" s="33">
        <f t="shared" ref="T9" si="11">SUM(O9:S9)</f>
        <v>0</v>
      </c>
      <c r="U9" s="33" t="str" cm="1">
        <f t="array" ref="U9">IF($N9="NA","NA",$N9*INDEX('Exchange rate'!$A$1:$G$7,MATCH('Project information'!$A$13,'Exchange rate'!$A$1:$A$7,0),MATCH(LOOKUP(2,1/({"China";"Korea";"India";"Japan";"EUR";"NAO"}=$E9),{"CNY";"KRW";"INR";"JPY";"EUR";"USD"}),'Exchange rate'!$A$1:$G$1,0)))</f>
        <v>NA</v>
      </c>
      <c r="V9" s="33">
        <f t="shared" ref="V9" si="12">IF(OR(ISERROR($U9),$U9="",$U9="NA"),0,H9*$U9)</f>
        <v>0</v>
      </c>
      <c r="W9" s="33">
        <f t="shared" ref="W9" si="13">IF(OR(ISERROR($U9),$U9="",$U9="NA"),0,I9*$U9)</f>
        <v>0</v>
      </c>
      <c r="X9" s="33">
        <f t="shared" ref="X9" si="14">IF(OR(ISERROR($U9),$U9="",$U9="NA"),0,J9*$U9)</f>
        <v>0</v>
      </c>
      <c r="Y9" s="33">
        <f t="shared" ref="Y9" si="15">IF(OR(ISERROR($U9),$U9="",$U9="NA"),0,K9*$U9)</f>
        <v>0</v>
      </c>
      <c r="Z9" s="33">
        <f t="shared" ref="Z9" si="16">IF(OR(ISERROR($U9),$U9="",$U9="NA"),0,L9*$U9)</f>
        <v>0</v>
      </c>
      <c r="AA9" s="33">
        <f t="shared" ref="AA9" si="17">SUM(V9:Z9)</f>
        <v>0</v>
      </c>
      <c r="AB9" s="164"/>
      <c r="AC9" s="165"/>
      <c r="AZ9" s="33" t="str">
        <f t="shared" si="10"/>
        <v>1.5</v>
      </c>
      <c r="BA9" s="38" t="s">
        <v>143</v>
      </c>
    </row>
    <row r="10" spans="1:53" outlineLevel="1">
      <c r="A10" s="33" t="str">
        <f t="shared" si="1"/>
        <v>1.6</v>
      </c>
      <c r="B10" s="148" t="s">
        <v>144</v>
      </c>
      <c r="C10" s="149" t="s">
        <v>145</v>
      </c>
      <c r="D10" s="150" t="s">
        <v>151</v>
      </c>
      <c r="E10" s="51" t="str">
        <f>IF('Project information'!$A$4="","",'Project information'!$A$4)</f>
        <v>China</v>
      </c>
      <c r="F10" s="47"/>
      <c r="G10" s="47"/>
      <c r="H10" s="47"/>
      <c r="I10" s="47"/>
      <c r="J10" s="47"/>
      <c r="K10" s="47"/>
      <c r="L10" s="47"/>
      <c r="M10" s="47"/>
      <c r="N10" s="48"/>
      <c r="O10" s="99"/>
      <c r="P10" s="99"/>
      <c r="Q10" s="99"/>
      <c r="R10" s="99"/>
      <c r="S10" s="99"/>
      <c r="T10" s="33">
        <f t="shared" si="3"/>
        <v>0</v>
      </c>
      <c r="U10" s="33" cm="1">
        <f t="array" ref="U10">IF($N10="NA","NA",$N10*INDEX('Exchange rate'!$A$1:$G$7,MATCH('Project information'!$A$13,'Exchange rate'!$A$1:$A$7,0),MATCH(LOOKUP(2,1/({"China";"Korea";"India";"Japan";"EUR";"NAO"}=$E10),{"CNY";"KRW";"INR";"JPY";"EUR";"USD"}),'Exchange rate'!$A$1:$G$1,0)))</f>
        <v>0</v>
      </c>
      <c r="V10" s="33">
        <f>IF(OR(ISERROR(O10),O10="",O10="NA"),0,O10*INDEX('Exchange rate'!$A$1:$G$7,MATCH('Project information'!$A$13,'Exchange rate'!$A$1:$A$7,0),MATCH(LOOKUP(2,1/({"China";"Korea";"India";"Japan";"EUR";"NAO"}=$E10),{"CNY";"KRW";"INR";"JPY";"EUR";"USD"}),'Exchange rate'!$A$1:$G$1,0)))</f>
        <v>0</v>
      </c>
      <c r="W10" s="33">
        <f>IF(OR(ISERROR(P10),P10="",P10="NA"),0,P10*INDEX('Exchange rate'!$A$1:$G$7,MATCH('Project information'!$A$13,'Exchange rate'!$A$1:$A$7,0),MATCH(LOOKUP(2,1/({"China";"Korea";"India";"Japan";"EUR";"NAO"}=$E10),{"CNY";"KRW";"INR";"JPY";"EUR";"USD"}),'Exchange rate'!$A$1:$G$1,0)))</f>
        <v>0</v>
      </c>
      <c r="X10" s="33">
        <f>IF(OR(ISERROR(Q10),Q10="",Q10="NA"),0,Q10*INDEX('Exchange rate'!$A$1:$G$7,MATCH('Project information'!$A$13,'Exchange rate'!$A$1:$A$7,0),MATCH(LOOKUP(2,1/({"China";"Korea";"India";"Japan";"EUR";"NAO"}=$E10),{"CNY";"KRW";"INR";"JPY";"EUR";"USD"}),'Exchange rate'!$A$1:$G$1,0)))</f>
        <v>0</v>
      </c>
      <c r="Y10" s="33">
        <f>IF(OR(ISERROR(R10),R10="",R10="NA"),0,R10*INDEX('Exchange rate'!$A$1:$G$7,MATCH('Project information'!$A$13,'Exchange rate'!$A$1:$A$7,0),MATCH(LOOKUP(2,1/({"China";"Korea";"India";"Japan";"EUR";"NAO"}=$E10),{"CNY";"KRW";"INR";"JPY";"EUR";"USD"}),'Exchange rate'!$A$1:$G$1,0)))</f>
        <v>0</v>
      </c>
      <c r="Z10" s="33">
        <f>IF(OR(ISERROR(S10),S10="",S10="NA"),0,S10*INDEX('Exchange rate'!$A$1:$G$7,MATCH('Project information'!$A$13,'Exchange rate'!$A$1:$A$7,0),MATCH(LOOKUP(2,1/({"China";"Korea";"India";"Japan";"EUR";"NAO"}=$E10),{"CNY";"KRW";"INR";"JPY";"EUR";"USD"}),'Exchange rate'!$A$1:$G$1,0)))</f>
        <v>0</v>
      </c>
      <c r="AA10" s="33">
        <f t="shared" si="9"/>
        <v>0</v>
      </c>
      <c r="AB10" s="246"/>
      <c r="AC10" s="247"/>
      <c r="AZ10" s="33" t="str">
        <f t="shared" si="10"/>
        <v>1.6</v>
      </c>
      <c r="BA10" s="47"/>
    </row>
    <row r="11" spans="1:53">
      <c r="A11" s="25">
        <f>A4+1</f>
        <v>2</v>
      </c>
      <c r="B11" s="25"/>
      <c r="C11" s="26"/>
      <c r="D11" s="27" t="s">
        <v>152</v>
      </c>
      <c r="E11" s="27"/>
      <c r="F11" s="28"/>
      <c r="G11" s="27"/>
      <c r="H11" s="29"/>
      <c r="I11" s="29"/>
      <c r="J11" s="29"/>
      <c r="K11" s="29"/>
      <c r="L11" s="29"/>
      <c r="M11" s="29"/>
      <c r="N11" s="44"/>
      <c r="O11" s="26"/>
      <c r="P11" s="26"/>
      <c r="Q11" s="26"/>
      <c r="R11" s="26"/>
      <c r="S11" s="26"/>
      <c r="T11" s="26"/>
      <c r="U11" s="30"/>
      <c r="V11" s="161">
        <f>SUM(V12:V23)</f>
        <v>96171.7506309452</v>
      </c>
      <c r="W11" s="161">
        <f>SUM(W12:W23)</f>
        <v>279631.86365080276</v>
      </c>
      <c r="X11" s="161">
        <f>SUM(X12:X23)</f>
        <v>188645.09832239861</v>
      </c>
      <c r="Y11" s="161">
        <f>SUM(Y12:Y23)</f>
        <v>128460.2427732074</v>
      </c>
      <c r="Z11" s="161">
        <f>SUM(Z12:Z23)</f>
        <v>29936.014697458962</v>
      </c>
      <c r="AA11" s="161">
        <f>SUM(V11:Z11)</f>
        <v>722844.97007481288</v>
      </c>
      <c r="AB11" s="260"/>
      <c r="AC11" s="261"/>
      <c r="AZ11" s="25">
        <f>AZ4+1</f>
        <v>2</v>
      </c>
      <c r="BA11" s="27"/>
    </row>
    <row r="12" spans="1:53" outlineLevel="1">
      <c r="A12" s="148" t="str">
        <f>$A$11&amp;"."&amp;ROW(A12)-ROW($A$11)</f>
        <v>2.1</v>
      </c>
      <c r="B12" s="148" t="s">
        <v>144</v>
      </c>
      <c r="C12" s="149" t="s">
        <v>145</v>
      </c>
      <c r="D12" s="150" t="s">
        <v>153</v>
      </c>
      <c r="E12" s="51" t="str">
        <f>IF('Project information'!$A$4="","",'Project information'!$A$4)</f>
        <v>China</v>
      </c>
      <c r="F12" s="46">
        <f>IF('Project information'!$F$3="PDL",IF(OR('Project information'!$C$4="",'Project information'!$E$7=""),"",IF('Project information'!$C$4="New development",1,INDEX(Coeff!$A$1:$M$19,MATCH('Project information'!$E$7,Coeff!$A$1:$A$19,0),MATCH('D&amp;D cost quotation'!$D12,Coeff!$A$2:$M$2,0)))),0)</f>
        <v>1</v>
      </c>
      <c r="G12" s="134"/>
      <c r="H12" s="51">
        <f>IF($F12=0,0,INDEX('Standard working hours - CT'!$A$1:$AV$180,MATCH($D12,'Standard working hours - CT'!$B$1:$B$180,0)+MATCH('Project information'!$E$7,'Standard working hours - CT'!$A$1:$A$18,0)-1,MATCH('D&amp;D cost quotation'!H$2,'Standard working hours - CT'!$A$1:$G$1,0)+MATCH('Project information'!$A$4,'Standard working hours - CT'!$A$1:$AV$1,0)-1)*$F12)</f>
        <v>121</v>
      </c>
      <c r="I12" s="51">
        <f>IF($F12=0,0,INDEX('Standard working hours - CT'!$A$1:$AV$180,MATCH($D12,'Standard working hours - CT'!$B$1:$B$180,0)+MATCH('Project information'!$E$7,'Standard working hours - CT'!$A$1:$A$18,0)-1,MATCH('D&amp;D cost quotation'!I$2,'Standard working hours - CT'!$A$1:$G$1,0)+MATCH('Project information'!$A$4,'Standard working hours - CT'!$A$1:$AV$1,0)-1)*$F12)</f>
        <v>399</v>
      </c>
      <c r="J12" s="51">
        <f>IF($F12=0,0,INDEX('Standard working hours - CT'!$A$1:$AV$180,MATCH($D12,'Standard working hours - CT'!$B$1:$B$180,0)+MATCH('Project information'!$E$7,'Standard working hours - CT'!$A$1:$A$18,0)-1,MATCH('D&amp;D cost quotation'!J$2,'Standard working hours - CT'!$A$1:$G$1,0)+MATCH('Project information'!$A$4,'Standard working hours - CT'!$A$1:$AV$1,0)-1)*$F12)</f>
        <v>233</v>
      </c>
      <c r="K12" s="51">
        <f>IF($F12=0,0,INDEX('Standard working hours - CT'!$A$1:$AV$180,MATCH($D12,'Standard working hours - CT'!$B$1:$B$180,0)+MATCH('Project information'!$E$7,'Standard working hours - CT'!$A$1:$A$18,0)-1,MATCH('D&amp;D cost quotation'!K$2,'Standard working hours - CT'!$A$1:$G$1,0)+MATCH('Project information'!$A$4,'Standard working hours - CT'!$A$1:$AV$1,0)-1)*$F12)</f>
        <v>199</v>
      </c>
      <c r="L12" s="51">
        <f>IF($F12=0,0,INDEX('Standard working hours - CT'!$A$1:$AV$180,MATCH($D12,'Standard working hours - CT'!$B$1:$B$180,0)+MATCH('Project information'!$E$7,'Standard working hours - CT'!$A$1:$A$18,0)-1,MATCH('D&amp;D cost quotation'!L$2,'Standard working hours - CT'!$A$1:$G$1,0)+MATCH('Project information'!$A$4,'Standard working hours - CT'!$A$1:$AV$1,0)-1)*$F12)</f>
        <v>45</v>
      </c>
      <c r="M12" s="202">
        <f t="shared" ref="M12:M23" si="18">SUM(H12:L12)</f>
        <v>997</v>
      </c>
      <c r="N12" s="157">
        <f>IF($E12="","",IF(ISERROR(INDEX('Standard hourly rate'!$A$1:$E$14,MATCH($D12,'Standard hourly rate'!$A$1:$A$14,0),MATCH($E12,'Standard hourly rate'!$A$1:$E$1,0))),"NA",IF(INDEX('Standard hourly rate'!$A$1:$E$14,MATCH($D12,'Standard hourly rate'!$A$1:$A$14,0),MATCH($E12,'Standard hourly rate'!$A$1:$E$1,0))=0,"NA",INDEX('Standard hourly rate'!$A$1:$E$14,MATCH($D12,'Standard hourly rate'!$A$1:$A$14,0),MATCH($E12,'Standard hourly rate'!$A$1:$E$1,0)))))</f>
        <v>350</v>
      </c>
      <c r="O12" s="45">
        <f>IF(OR(ISERROR($N12),$N12="",$N12="NA"),0,H12*$N12)*(1+INDEX('For Finance Control'!$B$27:$E$29,3,MATCH('Project information'!$A$4,'For Finance Control'!$B$27:$E$27,0)))</f>
        <v>42350</v>
      </c>
      <c r="P12" s="45">
        <f>IF(OR(ISERROR($N12),$N12="",$N12="NA"),0,I12*$N12)*(1+INDEX('For Finance Control'!$B$27:$E$29,3,MATCH('Project information'!$A$4,'For Finance Control'!$B$27:$E$27,0)))</f>
        <v>139650</v>
      </c>
      <c r="Q12" s="45">
        <f>IF(OR(ISERROR($N12),$N12="",$N12="NA"),0,J12*$N12)*(1+INDEX('For Finance Control'!$B$27:$E$29,3,MATCH('Project information'!$A$4,'For Finance Control'!$B$27:$E$27,0)))</f>
        <v>81550</v>
      </c>
      <c r="R12" s="45">
        <f>IF(OR(ISERROR($N12),$N12="",$N12="NA"),0,K12*$N12)*(1+INDEX('For Finance Control'!$B$27:$E$29,3,MATCH('Project information'!$A$4,'For Finance Control'!$B$27:$E$27,0)))</f>
        <v>69650</v>
      </c>
      <c r="S12" s="45">
        <f>IF(OR(ISERROR($N12),$N12="",$N12="NA"),0,L12*$N12)*(1+INDEX('For Finance Control'!$B$27:$E$29,3,MATCH('Project information'!$A$4,'For Finance Control'!$B$27:$E$27,0)))</f>
        <v>15750</v>
      </c>
      <c r="T12" s="45">
        <f t="shared" ref="T12:T23" si="19">SUM(O12:S12)</f>
        <v>348950</v>
      </c>
      <c r="U12" s="33" cm="1">
        <f t="array" ref="U12">IF($N12="NA","NA",$N12*INDEX('Exchange rate'!$A$1:$G$7,MATCH('Project information'!$A$13,'Exchange rate'!$A$1:$A$7,0),MATCH(LOOKUP(2,1/({"China";"Korea";"India";"Japan";"EUR";"NAO"}=$E12),{"CNY";"KRW";"INR";"JPY";"EUR";"USD"}),'Exchange rate'!$A$1:$G$1,0)))</f>
        <v>350</v>
      </c>
      <c r="V12" s="33">
        <f t="shared" ref="V12:V23" si="20">IF(OR(ISERROR($U12),$U12="",$U12="NA"),0,H12*$U12)</f>
        <v>42350</v>
      </c>
      <c r="W12" s="33">
        <f t="shared" ref="W12:W23" si="21">IF(OR(ISERROR($U12),$U12="",$U12="NA"),0,I12*$U12)</f>
        <v>139650</v>
      </c>
      <c r="X12" s="33">
        <f t="shared" ref="X12:X23" si="22">IF(OR(ISERROR($U12),$U12="",$U12="NA"),0,J12*$U12)</f>
        <v>81550</v>
      </c>
      <c r="Y12" s="33">
        <f t="shared" ref="Y12:Y23" si="23">IF(OR(ISERROR($U12),$U12="",$U12="NA"),0,K12*$U12)</f>
        <v>69650</v>
      </c>
      <c r="Z12" s="33">
        <f t="shared" ref="Z12:Z23" si="24">IF(OR(ISERROR($U12),$U12="",$U12="NA"),0,L12*$U12)</f>
        <v>15750</v>
      </c>
      <c r="AA12" s="33">
        <f t="shared" si="9"/>
        <v>348950</v>
      </c>
      <c r="AB12" s="246"/>
      <c r="AC12" s="247"/>
      <c r="AZ12" s="148" t="str">
        <f>$A$11&amp;"."&amp;ROW(AZ12)-ROW($A$11)</f>
        <v>2.1</v>
      </c>
      <c r="BA12" s="134"/>
    </row>
    <row r="13" spans="1:53" outlineLevel="1">
      <c r="A13" s="148" t="str">
        <f>$A$11&amp;"."&amp;ROW(A13)-ROW($A$11)</f>
        <v>2.2</v>
      </c>
      <c r="B13" s="148" t="s">
        <v>144</v>
      </c>
      <c r="C13" s="149" t="s">
        <v>145</v>
      </c>
      <c r="D13" s="150" t="s">
        <v>154</v>
      </c>
      <c r="E13" s="51" t="str">
        <f>IF('Project information'!$A$4="","",'Project information'!$A$4)</f>
        <v>China</v>
      </c>
      <c r="F13" s="46">
        <f>IF('Project information'!$F$3="TPL",IF(OR('Project information'!$C$4="",'Project information'!$E$7=""),"",IF('Project information'!$C$4="New development",1,INDEX(Coeff!$A$1:$M$19,MATCH('Project information'!$E$7,Coeff!$A$1:$A$19,0),MATCH('D&amp;D cost quotation'!$D13,Coeff!$A$2:$M$2,0)))),0)</f>
        <v>0</v>
      </c>
      <c r="G13" s="134"/>
      <c r="H13" s="51">
        <f>IF($F13=0,0,INDEX('Standard working hours - CT'!$A$1:$AV$180,MATCH($D13,'Standard working hours - CT'!$B$1:$B$180,0)+MATCH('Project information'!$E$7,'Standard working hours - CT'!$A$1:$A$18,0)-1,MATCH('D&amp;D cost quotation'!H$2,'Standard working hours - CT'!$A$1:$G$1,0)+MATCH('Project information'!$A$4,'Standard working hours - CT'!$A$1:$AV$1,0)-1)*$F13)</f>
        <v>0</v>
      </c>
      <c r="I13" s="51">
        <f>IF($F13=0,0,INDEX('Standard working hours - CT'!$A$1:$AV$180,MATCH($D13,'Standard working hours - CT'!$B$1:$B$180,0)+MATCH('Project information'!$E$7,'Standard working hours - CT'!$A$1:$A$18,0)-1,MATCH('D&amp;D cost quotation'!I$2,'Standard working hours - CT'!$A$1:$G$1,0)+MATCH('Project information'!$A$4,'Standard working hours - CT'!$A$1:$AV$1,0)-1)*$F13)</f>
        <v>0</v>
      </c>
      <c r="J13" s="51">
        <f>IF($F13=0,0,INDEX('Standard working hours - CT'!$A$1:$AV$180,MATCH($D13,'Standard working hours - CT'!$B$1:$B$180,0)+MATCH('Project information'!$E$7,'Standard working hours - CT'!$A$1:$A$18,0)-1,MATCH('D&amp;D cost quotation'!J$2,'Standard working hours - CT'!$A$1:$G$1,0)+MATCH('Project information'!$A$4,'Standard working hours - CT'!$A$1:$AV$1,0)-1)*$F13)</f>
        <v>0</v>
      </c>
      <c r="K13" s="51">
        <f>IF($F13=0,0,INDEX('Standard working hours - CT'!$A$1:$AV$180,MATCH($D13,'Standard working hours - CT'!$B$1:$B$180,0)+MATCH('Project information'!$E$7,'Standard working hours - CT'!$A$1:$A$18,0)-1,MATCH('D&amp;D cost quotation'!K$2,'Standard working hours - CT'!$A$1:$G$1,0)+MATCH('Project information'!$A$4,'Standard working hours - CT'!$A$1:$AV$1,0)-1)*$F13)</f>
        <v>0</v>
      </c>
      <c r="L13" s="51">
        <f>IF($F13=0,0,INDEX('Standard working hours - CT'!$A$1:$AV$180,MATCH($D13,'Standard working hours - CT'!$B$1:$B$180,0)+MATCH('Project information'!$E$7,'Standard working hours - CT'!$A$1:$A$18,0)-1,MATCH('D&amp;D cost quotation'!L$2,'Standard working hours - CT'!$A$1:$G$1,0)+MATCH('Project information'!$A$4,'Standard working hours - CT'!$A$1:$AV$1,0)-1)*$F13)</f>
        <v>0</v>
      </c>
      <c r="M13" s="202">
        <f>SUM(H13:L13)</f>
        <v>0</v>
      </c>
      <c r="N13" s="157">
        <f>IF($E13="","",IF(ISERROR(INDEX('Standard hourly rate'!$A$1:$E$14,MATCH($D13,'Standard hourly rate'!$A$1:$A$14,0),MATCH($E13,'Standard hourly rate'!$A$1:$E$1,0))),"NA",IF(INDEX('Standard hourly rate'!$A$1:$E$14,MATCH($D13,'Standard hourly rate'!$A$1:$A$14,0),MATCH($E13,'Standard hourly rate'!$A$1:$E$1,0))=0,"NA",INDEX('Standard hourly rate'!$A$1:$E$14,MATCH($D13,'Standard hourly rate'!$A$1:$A$14,0),MATCH($E13,'Standard hourly rate'!$A$1:$E$1,0)))))</f>
        <v>435</v>
      </c>
      <c r="O13" s="45">
        <f>IF(OR(ISERROR($N13),$N13="",$N13="NA"),0,H13*$N13)*(1+INDEX('For Finance Control'!$B$27:$E$29,3,MATCH('Project information'!$A$4,'For Finance Control'!$B$27:$E$27,0)))</f>
        <v>0</v>
      </c>
      <c r="P13" s="45">
        <f>IF(OR(ISERROR($N13),$N13="",$N13="NA"),0,I13*$N13)*(1+INDEX('For Finance Control'!$B$27:$E$29,3,MATCH('Project information'!$A$4,'For Finance Control'!$B$27:$E$27,0)))</f>
        <v>0</v>
      </c>
      <c r="Q13" s="45">
        <f>IF(OR(ISERROR($N13),$N13="",$N13="NA"),0,J13*$N13)*(1+INDEX('For Finance Control'!$B$27:$E$29,3,MATCH('Project information'!$A$4,'For Finance Control'!$B$27:$E$27,0)))</f>
        <v>0</v>
      </c>
      <c r="R13" s="45">
        <f>IF(OR(ISERROR($N13),$N13="",$N13="NA"),0,K13*$N13)*(1+INDEX('For Finance Control'!$B$27:$E$29,3,MATCH('Project information'!$A$4,'For Finance Control'!$B$27:$E$27,0)))</f>
        <v>0</v>
      </c>
      <c r="S13" s="45">
        <f>IF(OR(ISERROR($N13),$N13="",$N13="NA"),0,L13*$N13)*(1+INDEX('For Finance Control'!$B$27:$E$29,3,MATCH('Project information'!$A$4,'For Finance Control'!$B$27:$E$27,0)))</f>
        <v>0</v>
      </c>
      <c r="T13" s="45">
        <f>SUM(O13:S13)</f>
        <v>0</v>
      </c>
      <c r="U13" s="33" cm="1">
        <f t="array" ref="U13">IF($N13="NA","NA",$N13*INDEX('Exchange rate'!$A$1:$G$7,MATCH('Project information'!$A$13,'Exchange rate'!$A$1:$A$7,0),MATCH(LOOKUP(2,1/({"China";"Korea";"India";"Japan";"EUR";"NAO"}=$E13),{"CNY";"KRW";"INR";"JPY";"EUR";"USD"}),'Exchange rate'!$A$1:$G$1,0)))</f>
        <v>435</v>
      </c>
      <c r="V13" s="33">
        <f>IF(OR(ISERROR($U13),$U13="",$U13="NA"),0,H13*$U13)</f>
        <v>0</v>
      </c>
      <c r="W13" s="33">
        <f>IF(OR(ISERROR($U13),$U13="",$U13="NA"),0,I13*$U13)</f>
        <v>0</v>
      </c>
      <c r="X13" s="33">
        <f>IF(OR(ISERROR($U13),$U13="",$U13="NA"),0,J13*$U13)</f>
        <v>0</v>
      </c>
      <c r="Y13" s="33">
        <f>IF(OR(ISERROR($U13),$U13="",$U13="NA"),0,K13*$U13)</f>
        <v>0</v>
      </c>
      <c r="Z13" s="33">
        <f>IF(OR(ISERROR($U13),$U13="",$U13="NA"),0,L13*$U13)</f>
        <v>0</v>
      </c>
      <c r="AA13" s="33">
        <f>SUM(V13:Z13)</f>
        <v>0</v>
      </c>
      <c r="AB13" s="246"/>
      <c r="AC13" s="247"/>
      <c r="AZ13" s="148" t="str">
        <f>$A$11&amp;"."&amp;ROW(AZ13)-ROW($A$11)</f>
        <v>2.2</v>
      </c>
      <c r="BA13" s="134"/>
    </row>
    <row r="14" spans="1:53" outlineLevel="1">
      <c r="A14" s="33" t="str">
        <f>$A$11&amp;"."&amp;ROW(A14)-ROW($A$11)</f>
        <v>2.3</v>
      </c>
      <c r="B14" s="33" t="s">
        <v>144</v>
      </c>
      <c r="C14" s="215" t="s">
        <v>145</v>
      </c>
      <c r="D14" s="219" t="s">
        <v>150</v>
      </c>
      <c r="E14" s="51" t="str">
        <f>IF('Project information'!$A$4="","",'Project information'!$A$4)</f>
        <v>China</v>
      </c>
      <c r="F14" s="232"/>
      <c r="G14" s="38" t="s">
        <v>142</v>
      </c>
      <c r="H14" s="51">
        <f>IF($F14=0,0,INDEX('Standard working hours - CT'!$A$1:$AV$180,MATCH($D14,'Standard working hours - CT'!$B$1:$B$180,0)+MATCH('Project information'!$E$7,'Standard working hours - CT'!$A$1:$A$18,0)-1,MATCH('D&amp;D cost quotation'!H$2,'Standard working hours - CT'!$A$1:$G$1,0)+MATCH('Project information'!$A$4,'Standard working hours - CT'!$A$1:$AV$1,0)-1)*$F14)</f>
        <v>0</v>
      </c>
      <c r="I14" s="51">
        <f>IF($F14=0,0,INDEX('Standard working hours - CT'!$A$1:$AV$180,MATCH($D14,'Standard working hours - CT'!$B$1:$B$180,0)+MATCH('Project information'!$E$7,'Standard working hours - CT'!$A$1:$A$18,0)-1,MATCH('D&amp;D cost quotation'!I$2,'Standard working hours - CT'!$A$1:$G$1,0)+MATCH('Project information'!$A$4,'Standard working hours - CT'!$A$1:$AV$1,0)-1)*$F14)</f>
        <v>0</v>
      </c>
      <c r="J14" s="51">
        <f>IF($F14=0,0,INDEX('Standard working hours - CT'!$A$1:$AV$180,MATCH($D14,'Standard working hours - CT'!$B$1:$B$180,0)+MATCH('Project information'!$E$7,'Standard working hours - CT'!$A$1:$A$18,0)-1,MATCH('D&amp;D cost quotation'!J$2,'Standard working hours - CT'!$A$1:$G$1,0)+MATCH('Project information'!$A$4,'Standard working hours - CT'!$A$1:$AV$1,0)-1)*$F14)</f>
        <v>0</v>
      </c>
      <c r="K14" s="51">
        <f>IF($F14=0,0,INDEX('Standard working hours - CT'!$A$1:$AV$180,MATCH($D14,'Standard working hours - CT'!$B$1:$B$180,0)+MATCH('Project information'!$E$7,'Standard working hours - CT'!$A$1:$A$18,0)-1,MATCH('D&amp;D cost quotation'!K$2,'Standard working hours - CT'!$A$1:$G$1,0)+MATCH('Project information'!$A$4,'Standard working hours - CT'!$A$1:$AV$1,0)-1)*$F14)</f>
        <v>0</v>
      </c>
      <c r="L14" s="51">
        <f>IF($F14=0,0,INDEX('Standard working hours - CT'!$A$1:$AV$180,MATCH($D14,'Standard working hours - CT'!$B$1:$B$180,0)+MATCH('Project information'!$E$7,'Standard working hours - CT'!$A$1:$A$18,0)-1,MATCH('D&amp;D cost quotation'!L$2,'Standard working hours - CT'!$A$1:$G$1,0)+MATCH('Project information'!$A$4,'Standard working hours - CT'!$A$1:$AV$1,0)-1)*$F14)</f>
        <v>0</v>
      </c>
      <c r="M14" s="202">
        <f>SUM(H14:L14)</f>
        <v>0</v>
      </c>
      <c r="N14" s="157" t="str">
        <f>IF($E14="","",IF(ISERROR(INDEX('Standard hourly rate'!$A$1:$E$14,MATCH($D14,'Standard hourly rate'!$A$1:$A$14,0),MATCH($E14,'Standard hourly rate'!$A$1:$E$1,0))),"NA",IF(INDEX('Standard hourly rate'!$A$1:$E$14,MATCH($D14,'Standard hourly rate'!$A$1:$A$14,0),MATCH($E14,'Standard hourly rate'!$A$1:$E$1,0))=0,"NA",INDEX('Standard hourly rate'!$A$1:$E$14,MATCH($D14,'Standard hourly rate'!$A$1:$A$14,0),MATCH($E14,'Standard hourly rate'!$A$1:$E$1,0)))))</f>
        <v>NA</v>
      </c>
      <c r="O14" s="45">
        <f>IF(OR(ISERROR($N14),$N14="",$N14="NA"),0,H14*$N14)*(1+INDEX('For Finance Control'!$B$27:$E$29,3,MATCH('Project information'!$A$4,'For Finance Control'!$B$27:$E$27,0)))</f>
        <v>0</v>
      </c>
      <c r="P14" s="45">
        <f>IF(OR(ISERROR($N14),$N14="",$N14="NA"),0,I14*$N14)*(1+INDEX('For Finance Control'!$B$27:$E$29,3,MATCH('Project information'!$A$4,'For Finance Control'!$B$27:$E$27,0)))</f>
        <v>0</v>
      </c>
      <c r="Q14" s="45">
        <f>IF(OR(ISERROR($N14),$N14="",$N14="NA"),0,J14*$N14)*(1+INDEX('For Finance Control'!$B$27:$E$29,3,MATCH('Project information'!$A$4,'For Finance Control'!$B$27:$E$27,0)))</f>
        <v>0</v>
      </c>
      <c r="R14" s="45">
        <f>IF(OR(ISERROR($N14),$N14="",$N14="NA"),0,K14*$N14)*(1+INDEX('For Finance Control'!$B$27:$E$29,3,MATCH('Project information'!$A$4,'For Finance Control'!$B$27:$E$27,0)))</f>
        <v>0</v>
      </c>
      <c r="S14" s="45">
        <f>IF(OR(ISERROR($N14),$N14="",$N14="NA"),0,L14*$N14)*(1+INDEX('For Finance Control'!$B$27:$E$29,3,MATCH('Project information'!$A$4,'For Finance Control'!$B$27:$E$27,0)))</f>
        <v>0</v>
      </c>
      <c r="T14" s="45">
        <f>SUM(O14:S14)</f>
        <v>0</v>
      </c>
      <c r="U14" s="33" t="str" cm="1">
        <f t="array" ref="U14">IF($N14="NA","NA",$N14*INDEX('Exchange rate'!$A$1:$G$7,MATCH('Project information'!$A$13,'Exchange rate'!$A$1:$A$7,0),MATCH(LOOKUP(2,1/({"China";"Korea";"India";"Japan";"EUR";"NAO"}=$E14),{"CNY";"KRW";"INR";"JPY";"EUR";"USD"}),'Exchange rate'!$A$1:$G$1,0)))</f>
        <v>NA</v>
      </c>
      <c r="V14" s="33">
        <f t="shared" ref="V14:Z14" si="25">IF(OR(ISERROR($U14),$U14="",$U14="NA"),0,H14*$U14)</f>
        <v>0</v>
      </c>
      <c r="W14" s="33">
        <f t="shared" si="25"/>
        <v>0</v>
      </c>
      <c r="X14" s="33">
        <f t="shared" si="25"/>
        <v>0</v>
      </c>
      <c r="Y14" s="33">
        <f t="shared" si="25"/>
        <v>0</v>
      </c>
      <c r="Z14" s="33">
        <f t="shared" si="25"/>
        <v>0</v>
      </c>
      <c r="AA14" s="33">
        <f>SUM(V14:Z14)</f>
        <v>0</v>
      </c>
      <c r="AB14" s="246"/>
      <c r="AC14" s="247"/>
      <c r="AZ14" s="33" t="str">
        <f>$A$11&amp;"."&amp;ROW(AZ14)-ROW($A$11)</f>
        <v>2.3</v>
      </c>
      <c r="BA14" s="38" t="s">
        <v>143</v>
      </c>
    </row>
    <row r="15" spans="1:53" outlineLevel="1">
      <c r="A15" s="148" t="str">
        <f t="shared" ref="A15:A23" si="26">$A$11&amp;"."&amp;ROW(A15)-ROW($A$11)</f>
        <v>2.4</v>
      </c>
      <c r="B15" s="148" t="s">
        <v>144</v>
      </c>
      <c r="C15" s="149" t="s">
        <v>147</v>
      </c>
      <c r="D15" s="150" t="s">
        <v>155</v>
      </c>
      <c r="E15" s="51" t="str">
        <f>IF('Project information'!$A$4="","",'Project information'!$A$4)</f>
        <v>China</v>
      </c>
      <c r="F15" s="46">
        <f>IF(OR('Project information'!$C$4="",'Project information'!$E$7=""),"",IF('Project information'!$C$4="New development",1,INDEX(Coeff!$A$1:$M$19,MATCH('Project information'!$E$7,Coeff!$A$1:$A$19,0),MATCH('D&amp;D cost quotation'!$D15,Coeff!$A$2:$M$2,0))))</f>
        <v>1</v>
      </c>
      <c r="G15" s="134"/>
      <c r="H15" s="51">
        <f>IF($F15=0,0,INDEX('Standard working hours - CT'!$A$1:$AV$180,MATCH($D15,'Standard working hours - CT'!$B$1:$B$180,0)+MATCH('Project information'!$E$7,'Standard working hours - CT'!$A$1:$A$18,0)-1,MATCH('D&amp;D cost quotation'!H$2,'Standard working hours - CT'!$A$1:$G$1,0)+MATCH('Project information'!$A$4,'Standard working hours - CT'!$A$1:$AV$1,0)-1)*$F15)</f>
        <v>25</v>
      </c>
      <c r="I15" s="51">
        <f>IF($F15=0,0,INDEX('Standard working hours - CT'!$A$1:$AV$180,MATCH($D15,'Standard working hours - CT'!$B$1:$B$180,0)+MATCH('Project information'!$E$7,'Standard working hours - CT'!$A$1:$A$18,0)-1,MATCH('D&amp;D cost quotation'!I$2,'Standard working hours - CT'!$A$1:$G$1,0)+MATCH('Project information'!$A$4,'Standard working hours - CT'!$A$1:$AV$1,0)-1)*$F15)</f>
        <v>65</v>
      </c>
      <c r="J15" s="51">
        <f>IF($F15=0,0,INDEX('Standard working hours - CT'!$A$1:$AV$180,MATCH($D15,'Standard working hours - CT'!$B$1:$B$180,0)+MATCH('Project information'!$E$7,'Standard working hours - CT'!$A$1:$A$18,0)-1,MATCH('D&amp;D cost quotation'!J$2,'Standard working hours - CT'!$A$1:$G$1,0)+MATCH('Project information'!$A$4,'Standard working hours - CT'!$A$1:$AV$1,0)-1)*$F15)</f>
        <v>45</v>
      </c>
      <c r="K15" s="51">
        <f>IF($F15=0,0,INDEX('Standard working hours - CT'!$A$1:$AV$180,MATCH($D15,'Standard working hours - CT'!$B$1:$B$180,0)+MATCH('Project information'!$E$7,'Standard working hours - CT'!$A$1:$A$18,0)-1,MATCH('D&amp;D cost quotation'!K$2,'Standard working hours - CT'!$A$1:$G$1,0)+MATCH('Project information'!$A$4,'Standard working hours - CT'!$A$1:$AV$1,0)-1)*$F15)</f>
        <v>36</v>
      </c>
      <c r="L15" s="51">
        <f>IF($F15=0,0,INDEX('Standard working hours - CT'!$A$1:$AV$180,MATCH($D15,'Standard working hours - CT'!$B$1:$B$180,0)+MATCH('Project information'!$E$7,'Standard working hours - CT'!$A$1:$A$18,0)-1,MATCH('D&amp;D cost quotation'!L$2,'Standard working hours - CT'!$A$1:$G$1,0)+MATCH('Project information'!$A$4,'Standard working hours - CT'!$A$1:$AV$1,0)-1)*$F15)</f>
        <v>9</v>
      </c>
      <c r="M15" s="202">
        <f t="shared" si="18"/>
        <v>180</v>
      </c>
      <c r="N15" s="157">
        <f>IF($E15="","",IF(ISERROR(INDEX('Standard hourly rate'!$A$1:$E$14,MATCH($D15,'Standard hourly rate'!$A$1:$A$14,0),MATCH($E15,'Standard hourly rate'!$A$1:$E$1,0))),"NA",IF(INDEX('Standard hourly rate'!$A$1:$E$14,MATCH($D15,'Standard hourly rate'!$A$1:$A$14,0),MATCH($E15,'Standard hourly rate'!$A$1:$E$1,0))=0,"NA",INDEX('Standard hourly rate'!$A$1:$E$14,MATCH($D15,'Standard hourly rate'!$A$1:$A$14,0),MATCH($E15,'Standard hourly rate'!$A$1:$E$1,0)))))</f>
        <v>502</v>
      </c>
      <c r="O15" s="45">
        <f>IF(OR(ISERROR($N15),$N15="",$N15="NA"),0,H15*$N15)*(1+INDEX('For Finance Control'!$B$27:$E$29,3,MATCH('Project information'!$A$4,'For Finance Control'!$B$27:$E$27,0)))</f>
        <v>12550</v>
      </c>
      <c r="P15" s="45">
        <f>IF(OR(ISERROR($N15),$N15="",$N15="NA"),0,I15*$N15)*(1+INDEX('For Finance Control'!$B$27:$E$29,3,MATCH('Project information'!$A$4,'For Finance Control'!$B$27:$E$27,0)))</f>
        <v>32630</v>
      </c>
      <c r="Q15" s="45">
        <f>IF(OR(ISERROR($N15),$N15="",$N15="NA"),0,J15*$N15)*(1+INDEX('For Finance Control'!$B$27:$E$29,3,MATCH('Project information'!$A$4,'For Finance Control'!$B$27:$E$27,0)))</f>
        <v>22590</v>
      </c>
      <c r="R15" s="45">
        <f>IF(OR(ISERROR($N15),$N15="",$N15="NA"),0,K15*$N15)*(1+INDEX('For Finance Control'!$B$27:$E$29,3,MATCH('Project information'!$A$4,'For Finance Control'!$B$27:$E$27,0)))</f>
        <v>18072</v>
      </c>
      <c r="S15" s="45">
        <f>IF(OR(ISERROR($N15),$N15="",$N15="NA"),0,L15*$N15)*(1+INDEX('For Finance Control'!$B$27:$E$29,3,MATCH('Project information'!$A$4,'For Finance Control'!$B$27:$E$27,0)))</f>
        <v>4518</v>
      </c>
      <c r="T15" s="45">
        <f t="shared" si="19"/>
        <v>90360</v>
      </c>
      <c r="U15" s="33" cm="1">
        <f t="array" ref="U15">IF($N15="NA","NA",$N15*INDEX('Exchange rate'!$A$1:$G$7,MATCH('Project information'!$A$13,'Exchange rate'!$A$1:$A$7,0),MATCH(LOOKUP(2,1/({"China";"Korea";"India";"Japan";"EUR";"NAO"}=$E15),{"CNY";"KRW";"INR";"JPY";"EUR";"USD"}),'Exchange rate'!$A$1:$G$1,0)))</f>
        <v>502</v>
      </c>
      <c r="V15" s="33">
        <f t="shared" si="20"/>
        <v>12550</v>
      </c>
      <c r="W15" s="33">
        <f t="shared" si="21"/>
        <v>32630</v>
      </c>
      <c r="X15" s="33">
        <f t="shared" si="22"/>
        <v>22590</v>
      </c>
      <c r="Y15" s="33">
        <f t="shared" si="23"/>
        <v>18072</v>
      </c>
      <c r="Z15" s="33">
        <f t="shared" si="24"/>
        <v>4518</v>
      </c>
      <c r="AA15" s="33">
        <f t="shared" si="9"/>
        <v>90360</v>
      </c>
      <c r="AB15" s="246"/>
      <c r="AC15" s="247"/>
      <c r="AZ15" s="148" t="str">
        <f t="shared" ref="AZ15:AZ23" si="27">$A$11&amp;"."&amp;ROW(AZ15)-ROW($A$11)</f>
        <v>2.4</v>
      </c>
      <c r="BA15" s="134"/>
    </row>
    <row r="16" spans="1:53" outlineLevel="1">
      <c r="A16" s="148" t="str">
        <f t="shared" si="26"/>
        <v>2.5</v>
      </c>
      <c r="B16" s="148" t="s">
        <v>144</v>
      </c>
      <c r="C16" s="149" t="s">
        <v>147</v>
      </c>
      <c r="D16" s="150" t="s">
        <v>156</v>
      </c>
      <c r="E16" s="51" t="str">
        <f>IF('Project information'!$A$4="","",'Project information'!$A$4)</f>
        <v>China</v>
      </c>
      <c r="F16" s="46">
        <f>IF(OR('Project information'!$C$4="",'Project information'!$E$7=""),"",IF('Project information'!$C$4="New development",1,INDEX(Coeff!$A$1:$M$19,MATCH('Project information'!$E$7,Coeff!$A$1:$A$19,0),MATCH('D&amp;D cost quotation'!$D16,Coeff!$A$2:$M$2,0))))</f>
        <v>1</v>
      </c>
      <c r="G16" s="134"/>
      <c r="H16" s="51">
        <f>IF($F16=0,0,INDEX('Standard working hours - CT'!$A$1:$AV$180,MATCH($D16,'Standard working hours - CT'!$B$1:$B$180,0)+MATCH('Project information'!$E$7,'Standard working hours - CT'!$A$1:$A$18,0)-1,MATCH('D&amp;D cost quotation'!H$2,'Standard working hours - CT'!$A$1:$G$1,0)+MATCH('Project information'!$A$4,'Standard working hours - CT'!$A$1:$AV$1,0)-1)*$F16)</f>
        <v>8</v>
      </c>
      <c r="I16" s="51">
        <f>IF($F16=0,0,INDEX('Standard working hours - CT'!$A$1:$AV$180,MATCH($D16,'Standard working hours - CT'!$B$1:$B$180,0)+MATCH('Project information'!$E$7,'Standard working hours - CT'!$A$1:$A$18,0)-1,MATCH('D&amp;D cost quotation'!I$2,'Standard working hours - CT'!$A$1:$G$1,0)+MATCH('Project information'!$A$4,'Standard working hours - CT'!$A$1:$AV$1,0)-1)*$F16)</f>
        <v>23</v>
      </c>
      <c r="J16" s="51">
        <f>IF($F16=0,0,INDEX('Standard working hours - CT'!$A$1:$AV$180,MATCH($D16,'Standard working hours - CT'!$B$1:$B$180,0)+MATCH('Project information'!$E$7,'Standard working hours - CT'!$A$1:$A$18,0)-1,MATCH('D&amp;D cost quotation'!J$2,'Standard working hours - CT'!$A$1:$G$1,0)+MATCH('Project information'!$A$4,'Standard working hours - CT'!$A$1:$AV$1,0)-1)*$F16)</f>
        <v>46</v>
      </c>
      <c r="K16" s="51">
        <f>IF($F16=0,0,INDEX('Standard working hours - CT'!$A$1:$AV$180,MATCH($D16,'Standard working hours - CT'!$B$1:$B$180,0)+MATCH('Project information'!$E$7,'Standard working hours - CT'!$A$1:$A$18,0)-1,MATCH('D&amp;D cost quotation'!K$2,'Standard working hours - CT'!$A$1:$G$1,0)+MATCH('Project information'!$A$4,'Standard working hours - CT'!$A$1:$AV$1,0)-1)*$F16)</f>
        <v>9</v>
      </c>
      <c r="L16" s="51">
        <f>IF($F16=0,0,INDEX('Standard working hours - CT'!$A$1:$AV$180,MATCH($D16,'Standard working hours - CT'!$B$1:$B$180,0)+MATCH('Project information'!$E$7,'Standard working hours - CT'!$A$1:$A$18,0)-1,MATCH('D&amp;D cost quotation'!L$2,'Standard working hours - CT'!$A$1:$G$1,0)+MATCH('Project information'!$A$4,'Standard working hours - CT'!$A$1:$AV$1,0)-1)*$F16)</f>
        <v>3</v>
      </c>
      <c r="M16" s="202">
        <f t="shared" si="18"/>
        <v>89</v>
      </c>
      <c r="N16" s="157">
        <f>IF($E16="","",IF(ISERROR(INDEX('Standard hourly rate'!$A$1:$E$14,MATCH($D16,'Standard hourly rate'!$A$1:$A$14,0),MATCH($E16,'Standard hourly rate'!$A$1:$E$1,0))),"NA",IF(INDEX('Standard hourly rate'!$A$1:$E$14,MATCH($D16,'Standard hourly rate'!$A$1:$A$14,0),MATCH($E16,'Standard hourly rate'!$A$1:$E$1,0))=0,"NA",INDEX('Standard hourly rate'!$A$1:$E$14,MATCH($D16,'Standard hourly rate'!$A$1:$A$14,0),MATCH($E16,'Standard hourly rate'!$A$1:$E$1,0)))))</f>
        <v>502</v>
      </c>
      <c r="O16" s="45">
        <f>IF(OR(ISERROR($N16),$N16="",$N16="NA"),0,H16*$N16)*(1+INDEX('For Finance Control'!$B$27:$E$29,3,MATCH('Project information'!$A$4,'For Finance Control'!$B$27:$E$27,0)))</f>
        <v>4016</v>
      </c>
      <c r="P16" s="45">
        <f>IF(OR(ISERROR($N16),$N16="",$N16="NA"),0,I16*$N16)*(1+INDEX('For Finance Control'!$B$27:$E$29,3,MATCH('Project information'!$A$4,'For Finance Control'!$B$27:$E$27,0)))</f>
        <v>11546</v>
      </c>
      <c r="Q16" s="45">
        <f>IF(OR(ISERROR($N16),$N16="",$N16="NA"),0,J16*$N16)*(1+INDEX('For Finance Control'!$B$27:$E$29,3,MATCH('Project information'!$A$4,'For Finance Control'!$B$27:$E$27,0)))</f>
        <v>23092</v>
      </c>
      <c r="R16" s="45">
        <f>IF(OR(ISERROR($N16),$N16="",$N16="NA"),0,K16*$N16)*(1+INDEX('For Finance Control'!$B$27:$E$29,3,MATCH('Project information'!$A$4,'For Finance Control'!$B$27:$E$27,0)))</f>
        <v>4518</v>
      </c>
      <c r="S16" s="45">
        <f>IF(OR(ISERROR($N16),$N16="",$N16="NA"),0,L16*$N16)*(1+INDEX('For Finance Control'!$B$27:$E$29,3,MATCH('Project information'!$A$4,'For Finance Control'!$B$27:$E$27,0)))</f>
        <v>1506</v>
      </c>
      <c r="T16" s="45">
        <f t="shared" si="19"/>
        <v>44678</v>
      </c>
      <c r="U16" s="33" cm="1">
        <f t="array" ref="U16">IF($N16="NA","NA",$N16*INDEX('Exchange rate'!$A$1:$G$7,MATCH('Project information'!$A$13,'Exchange rate'!$A$1:$A$7,0),MATCH(LOOKUP(2,1/({"China";"Korea";"India";"Japan";"EUR";"NAO"}=$E16),{"CNY";"KRW";"INR";"JPY";"EUR";"USD"}),'Exchange rate'!$A$1:$G$1,0)))</f>
        <v>502</v>
      </c>
      <c r="V16" s="33">
        <f t="shared" si="20"/>
        <v>4016</v>
      </c>
      <c r="W16" s="33">
        <f t="shared" si="21"/>
        <v>11546</v>
      </c>
      <c r="X16" s="33">
        <f t="shared" si="22"/>
        <v>23092</v>
      </c>
      <c r="Y16" s="33">
        <f t="shared" si="23"/>
        <v>4518</v>
      </c>
      <c r="Z16" s="33">
        <f t="shared" si="24"/>
        <v>1506</v>
      </c>
      <c r="AA16" s="33">
        <f t="shared" si="9"/>
        <v>44678</v>
      </c>
      <c r="AB16" s="246"/>
      <c r="AC16" s="247"/>
      <c r="AZ16" s="148" t="str">
        <f t="shared" si="27"/>
        <v>2.5</v>
      </c>
      <c r="BA16" s="134"/>
    </row>
    <row r="17" spans="1:53" outlineLevel="1">
      <c r="A17" s="148" t="str">
        <f t="shared" si="26"/>
        <v>2.6</v>
      </c>
      <c r="B17" s="148" t="s">
        <v>144</v>
      </c>
      <c r="C17" s="149" t="s">
        <v>147</v>
      </c>
      <c r="D17" s="150" t="s">
        <v>157</v>
      </c>
      <c r="E17" s="51" t="str">
        <f>IF('Project information'!$A$4="","",'Project information'!$A$4)</f>
        <v>China</v>
      </c>
      <c r="F17" s="46">
        <f>IF(OR('Project information'!$C$4="",'Project information'!$E$7=""),"",IF('Project information'!$C$4="New development",1,INDEX(Coeff!$A$1:$M$19,MATCH('Project information'!$E$7,Coeff!$A$1:$A$19,0),MATCH('D&amp;D cost quotation'!$D17,Coeff!$A$2:$M$2,0))))</f>
        <v>1</v>
      </c>
      <c r="G17" s="218" t="s">
        <v>158</v>
      </c>
      <c r="H17" s="51">
        <f>IF($F17=0,0,INDEX('Standard working hours - CT'!$A$1:$AV$180,MATCH($D17,'Standard working hours - CT'!$B$1:$B$180,0)+MATCH('Project information'!$E$7,'Standard working hours - CT'!$A$1:$A$18,0)-1,MATCH('D&amp;D cost quotation'!H$2,'Standard working hours - CT'!$A$1:$G$1,0)+MATCH('Project information'!$A$4,'Standard working hours - CT'!$A$1:$AV$1,0)-1)*$F17)</f>
        <v>0</v>
      </c>
      <c r="I17" s="51">
        <f>IF($F17=0,0,INDEX('Standard working hours - CT'!$A$1:$AV$180,MATCH($D17,'Standard working hours - CT'!$B$1:$B$180,0)+MATCH('Project information'!$E$7,'Standard working hours - CT'!$A$1:$A$18,0)-1,MATCH('D&amp;D cost quotation'!I$2,'Standard working hours - CT'!$A$1:$G$1,0)+MATCH('Project information'!$A$4,'Standard working hours - CT'!$A$1:$AV$1,0)-1)*$F17)</f>
        <v>0</v>
      </c>
      <c r="J17" s="51">
        <f>IF($F17=0,0,INDEX('Standard working hours - CT'!$A$1:$AV$180,MATCH($D17,'Standard working hours - CT'!$B$1:$B$180,0)+MATCH('Project information'!$E$7,'Standard working hours - CT'!$A$1:$A$18,0)-1,MATCH('D&amp;D cost quotation'!J$2,'Standard working hours - CT'!$A$1:$G$1,0)+MATCH('Project information'!$A$4,'Standard working hours - CT'!$A$1:$AV$1,0)-1)*$F17)</f>
        <v>0</v>
      </c>
      <c r="K17" s="51">
        <f>IF($F17=0,0,INDEX('Standard working hours - CT'!$A$1:$AV$180,MATCH($D17,'Standard working hours - CT'!$B$1:$B$180,0)+MATCH('Project information'!$E$7,'Standard working hours - CT'!$A$1:$A$18,0)-1,MATCH('D&amp;D cost quotation'!K$2,'Standard working hours - CT'!$A$1:$G$1,0)+MATCH('Project information'!$A$4,'Standard working hours - CT'!$A$1:$AV$1,0)-1)*$F17)</f>
        <v>0</v>
      </c>
      <c r="L17" s="51">
        <f>IF($F17=0,0,INDEX('Standard working hours - CT'!$A$1:$AV$180,MATCH($D17,'Standard working hours - CT'!$B$1:$B$180,0)+MATCH('Project information'!$E$7,'Standard working hours - CT'!$A$1:$A$18,0)-1,MATCH('D&amp;D cost quotation'!L$2,'Standard working hours - CT'!$A$1:$G$1,0)+MATCH('Project information'!$A$4,'Standard working hours - CT'!$A$1:$AV$1,0)-1)*$F17)</f>
        <v>0</v>
      </c>
      <c r="M17" s="202">
        <f t="shared" si="18"/>
        <v>0</v>
      </c>
      <c r="N17" s="157" t="str">
        <f>IF($E17="","",IF(ISERROR(INDEX('Standard hourly rate'!$A$1:$E$14,MATCH($D17,'Standard hourly rate'!$A$1:$A$14,0),MATCH($E17,'Standard hourly rate'!$A$1:$E$1,0))),"NA",IF(INDEX('Standard hourly rate'!$A$1:$E$14,MATCH($D17,'Standard hourly rate'!$A$1:$A$14,0),MATCH($E17,'Standard hourly rate'!$A$1:$E$1,0))=0,"NA",INDEX('Standard hourly rate'!$A$1:$E$14,MATCH($D17,'Standard hourly rate'!$A$1:$A$14,0),MATCH($E17,'Standard hourly rate'!$A$1:$E$1,0)))))</f>
        <v>NA</v>
      </c>
      <c r="O17" s="45">
        <f>IF(OR(ISERROR($N17),$N17="",$N17="NA"),0,H17*$N17)*(1+INDEX('For Finance Control'!$B$27:$E$29,3,MATCH('Project information'!$A$4,'For Finance Control'!$B$27:$E$27,0)))</f>
        <v>0</v>
      </c>
      <c r="P17" s="45">
        <f>IF(OR(ISERROR($N17),$N17="",$N17="NA"),0,I17*$N17)*(1+INDEX('For Finance Control'!$B$27:$E$29,3,MATCH('Project information'!$A$4,'For Finance Control'!$B$27:$E$27,0)))</f>
        <v>0</v>
      </c>
      <c r="Q17" s="45">
        <f>IF(OR(ISERROR($N17),$N17="",$N17="NA"),0,J17*$N17)*(1+INDEX('For Finance Control'!$B$27:$E$29,3,MATCH('Project information'!$A$4,'For Finance Control'!$B$27:$E$27,0)))</f>
        <v>0</v>
      </c>
      <c r="R17" s="45">
        <f>IF(OR(ISERROR($N17),$N17="",$N17="NA"),0,K17*$N17)*(1+INDEX('For Finance Control'!$B$27:$E$29,3,MATCH('Project information'!$A$4,'For Finance Control'!$B$27:$E$27,0)))</f>
        <v>0</v>
      </c>
      <c r="S17" s="45">
        <f>IF(OR(ISERROR($N17),$N17="",$N17="NA"),0,L17*$N17)*(1+INDEX('For Finance Control'!$B$27:$E$29,3,MATCH('Project information'!$A$4,'For Finance Control'!$B$27:$E$27,0)))</f>
        <v>0</v>
      </c>
      <c r="T17" s="45">
        <f t="shared" si="19"/>
        <v>0</v>
      </c>
      <c r="U17" s="33" t="str" cm="1">
        <f t="array" ref="U17">IF($N17="NA","NA",$N17*INDEX('Exchange rate'!$A$1:$G$7,MATCH('Project information'!$A$13,'Exchange rate'!$A$1:$A$7,0),MATCH(LOOKUP(2,1/({"China";"Korea";"India";"Japan";"EUR";"NAO"}=$E17),{"CNY";"KRW";"INR";"JPY";"EUR";"USD"}),'Exchange rate'!$A$1:$G$1,0)))</f>
        <v>NA</v>
      </c>
      <c r="V17" s="33">
        <f t="shared" si="20"/>
        <v>0</v>
      </c>
      <c r="W17" s="33">
        <f t="shared" si="21"/>
        <v>0</v>
      </c>
      <c r="X17" s="33">
        <f t="shared" si="22"/>
        <v>0</v>
      </c>
      <c r="Y17" s="33">
        <f t="shared" si="23"/>
        <v>0</v>
      </c>
      <c r="Z17" s="33">
        <f t="shared" si="24"/>
        <v>0</v>
      </c>
      <c r="AA17" s="33">
        <f t="shared" si="9"/>
        <v>0</v>
      </c>
      <c r="AB17" s="246"/>
      <c r="AC17" s="247"/>
      <c r="AZ17" s="148" t="str">
        <f t="shared" si="27"/>
        <v>2.6</v>
      </c>
      <c r="BA17" s="38" t="s">
        <v>158</v>
      </c>
    </row>
    <row r="18" spans="1:53" outlineLevel="1">
      <c r="A18" s="148" t="str">
        <f t="shared" si="26"/>
        <v>2.7</v>
      </c>
      <c r="B18" s="148" t="s">
        <v>144</v>
      </c>
      <c r="C18" s="149" t="s">
        <v>147</v>
      </c>
      <c r="D18" s="150" t="s">
        <v>159</v>
      </c>
      <c r="E18" s="51" t="str">
        <f>IF('Project information'!$A$4="","",'Project information'!$A$4)</f>
        <v>China</v>
      </c>
      <c r="F18" s="47"/>
      <c r="G18" s="134"/>
      <c r="H18" s="51">
        <f>IF($F18=0,0,INDEX('Standard working hours - CT'!$A$1:$AV$180,MATCH($D18,'Standard working hours - CT'!$B$1:$B$180,0)+MATCH('Project information'!$E$7,'Standard working hours - CT'!$A$1:$A$18,0)-1,MATCH('D&amp;D cost quotation'!H$2,'Standard working hours - CT'!$A$1:$G$1,0)+MATCH('Project information'!$A$4,'Standard working hours - CT'!$A$1:$AV$1,0)-1)*$F18)</f>
        <v>0</v>
      </c>
      <c r="I18" s="51">
        <f>IF($F18=0,0,INDEX('Standard working hours - CT'!$A$1:$AV$180,MATCH($D18,'Standard working hours - CT'!$B$1:$B$180,0)+MATCH('Project information'!$E$7,'Standard working hours - CT'!$A$1:$A$18,0)-1,MATCH('D&amp;D cost quotation'!I$2,'Standard working hours - CT'!$A$1:$G$1,0)+MATCH('Project information'!$A$4,'Standard working hours - CT'!$A$1:$AV$1,0)-1)*$F18)</f>
        <v>0</v>
      </c>
      <c r="J18" s="51">
        <f>IF($F18=0,0,INDEX('Standard working hours - CT'!$A$1:$AV$180,MATCH($D18,'Standard working hours - CT'!$B$1:$B$180,0)+MATCH('Project information'!$E$7,'Standard working hours - CT'!$A$1:$A$18,0)-1,MATCH('D&amp;D cost quotation'!J$2,'Standard working hours - CT'!$A$1:$G$1,0)+MATCH('Project information'!$A$4,'Standard working hours - CT'!$A$1:$AV$1,0)-1)*$F18)</f>
        <v>0</v>
      </c>
      <c r="K18" s="51">
        <f>IF($F18=0,0,INDEX('Standard working hours - CT'!$A$1:$AV$180,MATCH($D18,'Standard working hours - CT'!$B$1:$B$180,0)+MATCH('Project information'!$E$7,'Standard working hours - CT'!$A$1:$A$18,0)-1,MATCH('D&amp;D cost quotation'!K$2,'Standard working hours - CT'!$A$1:$G$1,0)+MATCH('Project information'!$A$4,'Standard working hours - CT'!$A$1:$AV$1,0)-1)*$F18)</f>
        <v>0</v>
      </c>
      <c r="L18" s="51">
        <f>IF($F18=0,0,INDEX('Standard working hours - CT'!$A$1:$AV$180,MATCH($D18,'Standard working hours - CT'!$B$1:$B$180,0)+MATCH('Project information'!$E$7,'Standard working hours - CT'!$A$1:$A$18,0)-1,MATCH('D&amp;D cost quotation'!L$2,'Standard working hours - CT'!$A$1:$G$1,0)+MATCH('Project information'!$A$4,'Standard working hours - CT'!$A$1:$AV$1,0)-1)*$F18)</f>
        <v>0</v>
      </c>
      <c r="M18" s="202">
        <f t="shared" ref="M18" si="28">SUM(H18:L18)</f>
        <v>0</v>
      </c>
      <c r="N18" s="157">
        <f>IF($E18="","",IF(ISERROR(INDEX('Standard hourly rate'!$A$1:$E$14,MATCH("Asia expert",'Standard hourly rate'!$A$1:$A$14,0),MATCH($E18,'Standard hourly rate'!$A$1:$E$1,0))),"NA",IF(INDEX('Standard hourly rate'!$A$1:$E$14,MATCH("Asia expert",'Standard hourly rate'!$A$1:$A$14,0),MATCH($E18,'Standard hourly rate'!$A$1:$E$1,0))=0,"NA",INDEX('Standard hourly rate'!$A$1:$E$14,MATCH("Asia expert",'Standard hourly rate'!$A$1:$A$14,0),MATCH($E18,'Standard hourly rate'!$A$1:$E$1,0)))))</f>
        <v>502</v>
      </c>
      <c r="O18" s="45">
        <f>IF(OR(ISERROR($N18),$N18="",$N18="NA"),0,H18*$N18)*(1+INDEX('For Finance Control'!$B$27:$E$29,3,MATCH('Project information'!$A$4,'For Finance Control'!$B$27:$E$27,0)))</f>
        <v>0</v>
      </c>
      <c r="P18" s="45">
        <f>IF(OR(ISERROR($N18),$N18="",$N18="NA"),0,I18*$N18)*(1+INDEX('For Finance Control'!$B$27:$E$29,3,MATCH('Project information'!$A$4,'For Finance Control'!$B$27:$E$27,0)))</f>
        <v>0</v>
      </c>
      <c r="Q18" s="45">
        <f>IF(OR(ISERROR($N18),$N18="",$N18="NA"),0,J18*$N18)*(1+INDEX('For Finance Control'!$B$27:$E$29,3,MATCH('Project information'!$A$4,'For Finance Control'!$B$27:$E$27,0)))</f>
        <v>0</v>
      </c>
      <c r="R18" s="45">
        <f>IF(OR(ISERROR($N18),$N18="",$N18="NA"),0,K18*$N18)*(1+INDEX('For Finance Control'!$B$27:$E$29,3,MATCH('Project information'!$A$4,'For Finance Control'!$B$27:$E$27,0)))</f>
        <v>0</v>
      </c>
      <c r="S18" s="45">
        <f>IF(OR(ISERROR($N18),$N18="",$N18="NA"),0,L18*$N18)*(1+INDEX('For Finance Control'!$B$27:$E$29,3,MATCH('Project information'!$A$4,'For Finance Control'!$B$27:$E$27,0)))</f>
        <v>0</v>
      </c>
      <c r="T18" s="45">
        <f t="shared" ref="T18" si="29">SUM(O18:S18)</f>
        <v>0</v>
      </c>
      <c r="U18" s="33" cm="1">
        <f t="array" ref="U18">IF($N18="NA","NA",$N18*INDEX('Exchange rate'!$A$1:$G$7,MATCH('Project information'!$A$13,'Exchange rate'!$A$1:$A$7,0),MATCH(LOOKUP(2,1/({"China";"Korea";"India";"Japan";"EUR";"NAO"}=$E18),{"CNY";"KRW";"INR";"JPY";"EUR";"USD"}),'Exchange rate'!$A$1:$G$1,0)))</f>
        <v>502</v>
      </c>
      <c r="V18" s="33">
        <f t="shared" ref="V18" si="30">IF(OR(ISERROR($U18),$U18="",$U18="NA"),0,H18*$U18)</f>
        <v>0</v>
      </c>
      <c r="W18" s="33">
        <f t="shared" ref="W18" si="31">IF(OR(ISERROR($U18),$U18="",$U18="NA"),0,I18*$U18)</f>
        <v>0</v>
      </c>
      <c r="X18" s="33">
        <f t="shared" ref="X18" si="32">IF(OR(ISERROR($U18),$U18="",$U18="NA"),0,J18*$U18)</f>
        <v>0</v>
      </c>
      <c r="Y18" s="33">
        <f t="shared" ref="Y18" si="33">IF(OR(ISERROR($U18),$U18="",$U18="NA"),0,K18*$U18)</f>
        <v>0</v>
      </c>
      <c r="Z18" s="33">
        <f t="shared" ref="Z18" si="34">IF(OR(ISERROR($U18),$U18="",$U18="NA"),0,L18*$U18)</f>
        <v>0</v>
      </c>
      <c r="AA18" s="33">
        <f t="shared" ref="AA18" si="35">SUM(V18:Z18)</f>
        <v>0</v>
      </c>
      <c r="AB18" s="246"/>
      <c r="AC18" s="247"/>
      <c r="AZ18" s="148" t="str">
        <f t="shared" si="27"/>
        <v>2.7</v>
      </c>
      <c r="BA18" s="134"/>
    </row>
    <row r="19" spans="1:53" outlineLevel="1">
      <c r="A19" s="148" t="str">
        <f t="shared" si="26"/>
        <v>2.8</v>
      </c>
      <c r="B19" s="148" t="s">
        <v>144</v>
      </c>
      <c r="C19" s="149" t="s">
        <v>145</v>
      </c>
      <c r="D19" s="150" t="s">
        <v>160</v>
      </c>
      <c r="E19" s="51" t="str">
        <f>IF('Project information'!$A$4="","",'Project information'!$A$4)</f>
        <v>China</v>
      </c>
      <c r="F19" s="46">
        <f>IF(OR('Project information'!$C$4="",'Project information'!$E$7=""),"",IF('Project information'!$C$4="New development",1,INDEX(Coeff!$A$1:$M$19,MATCH('Project information'!$E$7,Coeff!$A$1:$A$19,0),MATCH('D&amp;D cost quotation'!$D19,Coeff!$A$2:$M$2,0))))</f>
        <v>1</v>
      </c>
      <c r="G19" s="134"/>
      <c r="H19" s="47"/>
      <c r="I19" s="47"/>
      <c r="J19" s="47"/>
      <c r="K19" s="47"/>
      <c r="L19" s="47"/>
      <c r="M19" s="203"/>
      <c r="N19" s="48"/>
      <c r="O19" s="99">
        <f>IF('Project information'!$F$3="PDL",O$12/$T$12,O$13/$T$13)*INDEX('Standard working hours - CT'!$BE$1:$BE$18,MATCH('Project information'!$E$7,'Standard working hours - CT'!$A$1:$A$18,0))*$F19</f>
        <v>6700.7506309452056</v>
      </c>
      <c r="P19" s="99">
        <f>IF('Project information'!$F$3="PDL",P$12/$T$12,P$13/$T$13)*INDEX('Standard working hours - CT'!$BE$1:$BE$18,MATCH('Project information'!$E$7,'Standard working hours - CT'!$A$1:$A$18,0))*$F19</f>
        <v>22095.863650802785</v>
      </c>
      <c r="Q19" s="99">
        <f>IF('Project information'!$F$3="PDL",Q$12/$T$12,Q$13/$T$13)*INDEX('Standard working hours - CT'!$BE$1:$BE$18,MATCH('Project information'!$E$7,'Standard working hours - CT'!$A$1:$A$18,0))*$F19</f>
        <v>12903.09832239862</v>
      </c>
      <c r="R19" s="99">
        <f>IF('Project information'!$F$3="PDL",R$12/$T$12,R$13/$T$13)*INDEX('Standard working hours - CT'!$BE$1:$BE$18,MATCH('Project information'!$E$7,'Standard working hours - CT'!$A$1:$A$18,0))*$F19</f>
        <v>11020.242773207405</v>
      </c>
      <c r="S19" s="99">
        <f>IF('Project information'!$F$3="PDL",S$12/$T$12,S$13/$T$13)*INDEX('Standard working hours - CT'!$BE$1:$BE$18,MATCH('Project information'!$E$7,'Standard working hours - CT'!$A$1:$A$18,0))*$F19</f>
        <v>2492.0146974589611</v>
      </c>
      <c r="T19" s="45">
        <f t="shared" si="19"/>
        <v>55211.970074812976</v>
      </c>
      <c r="U19" s="33" cm="1">
        <f t="array" ref="U19">IF($N19="NA","NA",$N19*INDEX('Exchange rate'!$A$1:$G$7,MATCH('Project information'!$A$13,'Exchange rate'!$A$1:$A$7,0),MATCH(LOOKUP(2,1/({"China";"Korea";"India";"Japan";"EUR";"NAO"}=$E19),{"CNY";"KRW";"INR";"JPY";"EUR";"USD"}),'Exchange rate'!$A$1:$G$1,0)))</f>
        <v>0</v>
      </c>
      <c r="V19" s="33">
        <f>IF(OR(ISERROR(O19),O19="",O19="NA"),0,O19*INDEX('Exchange rate'!$A$1:$G$7,MATCH('Project information'!$A$13,'Exchange rate'!$A$1:$A$7,0),MATCH(LOOKUP(2,1/({"China";"Korea";"India";"Japan";"EUR";"NAO"}=$E19),{"CNY";"KRW";"INR";"JPY";"EUR";"USD"}),'Exchange rate'!$A$1:$G$1,0)))</f>
        <v>6700.7506309452056</v>
      </c>
      <c r="W19" s="33">
        <f>IF(OR(ISERROR(P19),P19="",P19="NA"),0,P19*INDEX('Exchange rate'!$A$1:$G$7,MATCH('Project information'!$A$13,'Exchange rate'!$A$1:$A$7,0),MATCH(LOOKUP(2,1/({"China";"Korea";"India";"Japan";"EUR";"NAO"}=$E19),{"CNY";"KRW";"INR";"JPY";"EUR";"USD"}),'Exchange rate'!$A$1:$G$1,0)))</f>
        <v>22095.863650802785</v>
      </c>
      <c r="X19" s="33">
        <f>IF(OR(ISERROR(Q19),Q19="",Q19="NA"),0,Q19*INDEX('Exchange rate'!$A$1:$G$7,MATCH('Project information'!$A$13,'Exchange rate'!$A$1:$A$7,0),MATCH(LOOKUP(2,1/({"China";"Korea";"India";"Japan";"EUR";"NAO"}=$E19),{"CNY";"KRW";"INR";"JPY";"EUR";"USD"}),'Exchange rate'!$A$1:$G$1,0)))</f>
        <v>12903.09832239862</v>
      </c>
      <c r="Y19" s="33">
        <f>IF(OR(ISERROR(R19),R19="",R19="NA"),0,R19*INDEX('Exchange rate'!$A$1:$G$7,MATCH('Project information'!$A$13,'Exchange rate'!$A$1:$A$7,0),MATCH(LOOKUP(2,1/({"China";"Korea";"India";"Japan";"EUR";"NAO"}=$E19),{"CNY";"KRW";"INR";"JPY";"EUR";"USD"}),'Exchange rate'!$A$1:$G$1,0)))</f>
        <v>11020.242773207405</v>
      </c>
      <c r="Z19" s="33">
        <f>IF(OR(ISERROR(S19),S19="",S19="NA"),0,S19*INDEX('Exchange rate'!$A$1:$G$7,MATCH('Project information'!$A$13,'Exchange rate'!$A$1:$A$7,0),MATCH(LOOKUP(2,1/({"China";"Korea";"India";"Japan";"EUR";"NAO"}=$E19),{"CNY";"KRW";"INR";"JPY";"EUR";"USD"}),'Exchange rate'!$A$1:$G$1,0)))</f>
        <v>2492.0146974589611</v>
      </c>
      <c r="AA19" s="33">
        <f t="shared" si="9"/>
        <v>55211.970074812976</v>
      </c>
      <c r="AB19" s="246"/>
      <c r="AC19" s="247"/>
      <c r="AZ19" s="148" t="str">
        <f t="shared" si="27"/>
        <v>2.8</v>
      </c>
      <c r="BA19" s="134"/>
    </row>
    <row r="20" spans="1:53" ht="25" outlineLevel="1">
      <c r="A20" s="148" t="str">
        <f t="shared" si="26"/>
        <v>2.9</v>
      </c>
      <c r="B20" s="148" t="s">
        <v>144</v>
      </c>
      <c r="C20" s="149" t="s">
        <v>147</v>
      </c>
      <c r="D20" s="150" t="s">
        <v>161</v>
      </c>
      <c r="E20" s="51" t="str">
        <f>IF('Project information'!$A$4="","",'Project information'!$A$4)</f>
        <v>China</v>
      </c>
      <c r="F20" s="47"/>
      <c r="G20" s="134"/>
      <c r="H20" s="47"/>
      <c r="I20" s="47"/>
      <c r="J20" s="47"/>
      <c r="K20" s="47"/>
      <c r="L20" s="47"/>
      <c r="M20" s="203"/>
      <c r="N20" s="48"/>
      <c r="O20" s="99"/>
      <c r="P20" s="99"/>
      <c r="Q20" s="99"/>
      <c r="R20" s="99"/>
      <c r="S20" s="99"/>
      <c r="T20" s="45">
        <f t="shared" si="19"/>
        <v>0</v>
      </c>
      <c r="U20" s="33" cm="1">
        <f t="array" ref="U20">IF($N20="NA","NA",$N20*INDEX('Exchange rate'!$A$1:$G$7,MATCH('Project information'!$A$13,'Exchange rate'!$A$1:$A$7,0),MATCH(LOOKUP(2,1/({"China";"Korea";"India";"Japan";"EUR";"NAO"}=$E20),{"CNY";"KRW";"INR";"JPY";"EUR";"USD"}),'Exchange rate'!$A$1:$G$1,0)))</f>
        <v>0</v>
      </c>
      <c r="V20" s="33">
        <f t="shared" si="20"/>
        <v>0</v>
      </c>
      <c r="W20" s="33">
        <f t="shared" si="21"/>
        <v>0</v>
      </c>
      <c r="X20" s="33">
        <f t="shared" si="22"/>
        <v>0</v>
      </c>
      <c r="Y20" s="33">
        <f t="shared" si="23"/>
        <v>0</v>
      </c>
      <c r="Z20" s="33">
        <f t="shared" si="24"/>
        <v>0</v>
      </c>
      <c r="AA20" s="33">
        <f t="shared" si="9"/>
        <v>0</v>
      </c>
      <c r="AB20" s="246"/>
      <c r="AC20" s="247"/>
      <c r="AZ20" s="148" t="str">
        <f t="shared" si="27"/>
        <v>2.9</v>
      </c>
      <c r="BA20" s="134"/>
    </row>
    <row r="21" spans="1:53" outlineLevel="1">
      <c r="A21" s="148" t="str">
        <f t="shared" si="26"/>
        <v>2.10</v>
      </c>
      <c r="B21" s="148" t="s">
        <v>144</v>
      </c>
      <c r="C21" s="149" t="s">
        <v>147</v>
      </c>
      <c r="D21" s="150" t="s">
        <v>162</v>
      </c>
      <c r="E21" s="51" t="str">
        <f>IF('Project information'!$A$4="","",'Project information'!$A$4)</f>
        <v>China</v>
      </c>
      <c r="F21" s="46">
        <f>IF(OR('Project information'!$C$4="",'Project information'!$E$7=""),"",IF('Project information'!$C$4="New development",1,INDEX(Coeff!$A$1:$M$19,MATCH('Project information'!$E$7,Coeff!$A$1:$A$19,0),MATCH('D&amp;D cost quotation'!$D21,Coeff!$A$2:$M$2,0))))</f>
        <v>1</v>
      </c>
      <c r="G21" s="134"/>
      <c r="H21" s="51">
        <f>IF($F21=0,0,INDEX('Standard working hours - CT'!$A$1:$AV$180,MATCH($D21,'Standard working hours - CT'!$B$1:$B$180,0)+MATCH('Project information'!$E$7,'Standard working hours - CT'!$A$1:$A$18,0)-1,MATCH('D&amp;D cost quotation'!H$2,'Standard working hours - CT'!$A$1:$G$1,0)+MATCH('Project information'!$A$4,'Standard working hours - CT'!$A$1:$AV$1,0)-1)*$F21)</f>
        <v>97</v>
      </c>
      <c r="I21" s="51">
        <f>IF($F21=0,0,INDEX('Standard working hours - CT'!$A$1:$AV$180,MATCH($D21,'Standard working hours - CT'!$B$1:$B$180,0)+MATCH('Project information'!$E$7,'Standard working hours - CT'!$A$1:$A$18,0)-1,MATCH('D&amp;D cost quotation'!I$2,'Standard working hours - CT'!$A$1:$G$1,0)+MATCH('Project information'!$A$4,'Standard working hours - CT'!$A$1:$AV$1,0)-1)*$F21)</f>
        <v>234</v>
      </c>
      <c r="J21" s="51">
        <f>IF($F21=0,0,INDEX('Standard working hours - CT'!$A$1:$AV$180,MATCH($D21,'Standard working hours - CT'!$B$1:$B$180,0)+MATCH('Project information'!$E$7,'Standard working hours - CT'!$A$1:$A$18,0)-1,MATCH('D&amp;D cost quotation'!J$2,'Standard working hours - CT'!$A$1:$G$1,0)+MATCH('Project information'!$A$4,'Standard working hours - CT'!$A$1:$AV$1,0)-1)*$F21)</f>
        <v>154</v>
      </c>
      <c r="K21" s="51">
        <f>IF($F21=0,0,INDEX('Standard working hours - CT'!$A$1:$AV$180,MATCH($D21,'Standard working hours - CT'!$B$1:$B$180,0)+MATCH('Project information'!$E$7,'Standard working hours - CT'!$A$1:$A$18,0)-1,MATCH('D&amp;D cost quotation'!K$2,'Standard working hours - CT'!$A$1:$G$1,0)+MATCH('Project information'!$A$4,'Standard working hours - CT'!$A$1:$AV$1,0)-1)*$F21)</f>
        <v>80</v>
      </c>
      <c r="L21" s="51">
        <f>IF($F21=0,0,INDEX('Standard working hours - CT'!$A$1:$AV$180,MATCH($D21,'Standard working hours - CT'!$B$1:$B$180,0)+MATCH('Project information'!$E$7,'Standard working hours - CT'!$A$1:$A$18,0)-1,MATCH('D&amp;D cost quotation'!L$2,'Standard working hours - CT'!$A$1:$G$1,0)+MATCH('Project information'!$A$4,'Standard working hours - CT'!$A$1:$AV$1,0)-1)*$F21)</f>
        <v>18</v>
      </c>
      <c r="M21" s="202">
        <f t="shared" ref="M21:M22" si="36">SUM(H21:L21)</f>
        <v>583</v>
      </c>
      <c r="N21" s="157">
        <f>IF($E21="","",IF(ISERROR(INDEX('Standard hourly rate'!$A$1:$E$14,MATCH($D21,'Standard hourly rate'!$A$1:$A$14,0),MATCH($E21,'Standard hourly rate'!$A$1:$E$1,0))),"NA",IF(INDEX('Standard hourly rate'!$A$1:$E$14,MATCH($D21,'Standard hourly rate'!$A$1:$A$14,0),MATCH($E21,'Standard hourly rate'!$A$1:$E$1,0))=0,"NA",INDEX('Standard hourly rate'!$A$1:$E$14,MATCH($D21,'Standard hourly rate'!$A$1:$A$14,0),MATCH($E21,'Standard hourly rate'!$A$1:$E$1,0)))))</f>
        <v>315</v>
      </c>
      <c r="O21" s="45">
        <f>IF(OR(ISERROR($N21),$N21="",$N21="NA"),0,H21*$N21)*(1+INDEX('For Finance Control'!$B$27:$E$29,3,MATCH('Project information'!$A$4,'For Finance Control'!$B$27:$E$27,0)))</f>
        <v>30555</v>
      </c>
      <c r="P21" s="45">
        <f>IF(OR(ISERROR($N21),$N21="",$N21="NA"),0,I21*$N21)*(1+INDEX('For Finance Control'!$B$27:$E$29,3,MATCH('Project information'!$A$4,'For Finance Control'!$B$27:$E$27,0)))</f>
        <v>73710</v>
      </c>
      <c r="Q21" s="45">
        <f>IF(OR(ISERROR($N21),$N21="",$N21="NA"),0,J21*$N21)*(1+INDEX('For Finance Control'!$B$27:$E$29,3,MATCH('Project information'!$A$4,'For Finance Control'!$B$27:$E$27,0)))</f>
        <v>48510</v>
      </c>
      <c r="R21" s="45">
        <f>IF(OR(ISERROR($N21),$N21="",$N21="NA"),0,K21*$N21)*(1+INDEX('For Finance Control'!$B$27:$E$29,3,MATCH('Project information'!$A$4,'For Finance Control'!$B$27:$E$27,0)))</f>
        <v>25200</v>
      </c>
      <c r="S21" s="45">
        <f>IF(OR(ISERROR($N21),$N21="",$N21="NA"),0,L21*$N21)*(1+INDEX('For Finance Control'!$B$27:$E$29,3,MATCH('Project information'!$A$4,'For Finance Control'!$B$27:$E$27,0)))</f>
        <v>5670</v>
      </c>
      <c r="T21" s="45">
        <f t="shared" ref="T21" si="37">SUM(O21:S21)</f>
        <v>183645</v>
      </c>
      <c r="U21" s="33" cm="1">
        <f t="array" ref="U21">IF($N21="NA","NA",$N21*INDEX('Exchange rate'!$A$1:$G$7,MATCH('Project information'!$A$13,'Exchange rate'!$A$1:$A$7,0),MATCH(LOOKUP(2,1/({"China";"Korea";"India";"Japan";"EUR";"NAO"}=$E21),{"CNY";"KRW";"INR";"JPY";"EUR";"USD"}),'Exchange rate'!$A$1:$G$1,0)))</f>
        <v>315</v>
      </c>
      <c r="V21" s="33">
        <f t="shared" ref="V21" si="38">IF(OR(ISERROR($U21),$U21="",$U21="NA"),0,H21*$U21)</f>
        <v>30555</v>
      </c>
      <c r="W21" s="33">
        <f t="shared" ref="W21" si="39">IF(OR(ISERROR($U21),$U21="",$U21="NA"),0,I21*$U21)</f>
        <v>73710</v>
      </c>
      <c r="X21" s="33">
        <f t="shared" ref="X21" si="40">IF(OR(ISERROR($U21),$U21="",$U21="NA"),0,J21*$U21)</f>
        <v>48510</v>
      </c>
      <c r="Y21" s="33">
        <f t="shared" ref="Y21" si="41">IF(OR(ISERROR($U21),$U21="",$U21="NA"),0,K21*$U21)</f>
        <v>25200</v>
      </c>
      <c r="Z21" s="33">
        <f t="shared" ref="Z21" si="42">IF(OR(ISERROR($U21),$U21="",$U21="NA"),0,L21*$U21)</f>
        <v>5670</v>
      </c>
      <c r="AA21" s="33">
        <f t="shared" ref="AA21" si="43">SUM(V21:Z21)</f>
        <v>183645</v>
      </c>
      <c r="AB21" s="246"/>
      <c r="AC21" s="247"/>
      <c r="AZ21" s="148" t="str">
        <f t="shared" si="27"/>
        <v>2.10</v>
      </c>
      <c r="BA21" s="134"/>
    </row>
    <row r="22" spans="1:53" outlineLevel="1">
      <c r="A22" s="148" t="str">
        <f t="shared" si="26"/>
        <v>2.11</v>
      </c>
      <c r="B22" s="148" t="s">
        <v>144</v>
      </c>
      <c r="C22" s="149" t="s">
        <v>147</v>
      </c>
      <c r="D22" s="150" t="s">
        <v>163</v>
      </c>
      <c r="E22" s="51" t="str">
        <f>IF('Project information'!$A$4="","",'Project information'!$A$4)</f>
        <v>China</v>
      </c>
      <c r="F22" s="47"/>
      <c r="G22" s="134"/>
      <c r="H22" s="51">
        <f>IF($F22=0,0,INDEX('Standard working hours - CT'!$A$1:$AV$180,MATCH($D22,'Standard working hours - CT'!$B$1:$B$180,0)+MATCH('Project information'!$E$7,'Standard working hours - CT'!$A$1:$A$18,0)-1,MATCH('D&amp;D cost quotation'!H$2,'Standard working hours - CT'!$A$1:$G$1,0)+MATCH('Project information'!$A$4,'Standard working hours - CT'!$A$1:$AV$1,0)-1)*$F22)</f>
        <v>0</v>
      </c>
      <c r="I22" s="51">
        <f>IF($F22=0,0,INDEX('Standard working hours - CT'!$A$1:$AV$180,MATCH($D22,'Standard working hours - CT'!$B$1:$B$180,0)+MATCH('Project information'!$E$7,'Standard working hours - CT'!$A$1:$A$18,0)-1,MATCH('D&amp;D cost quotation'!I$2,'Standard working hours - CT'!$A$1:$G$1,0)+MATCH('Project information'!$A$4,'Standard working hours - CT'!$A$1:$AV$1,0)-1)*$F22)</f>
        <v>0</v>
      </c>
      <c r="J22" s="51">
        <f>IF($F22=0,0,INDEX('Standard working hours - CT'!$A$1:$AV$180,MATCH($D22,'Standard working hours - CT'!$B$1:$B$180,0)+MATCH('Project information'!$E$7,'Standard working hours - CT'!$A$1:$A$18,0)-1,MATCH('D&amp;D cost quotation'!J$2,'Standard working hours - CT'!$A$1:$G$1,0)+MATCH('Project information'!$A$4,'Standard working hours - CT'!$A$1:$AV$1,0)-1)*$F22)</f>
        <v>0</v>
      </c>
      <c r="K22" s="51">
        <f>IF($F22=0,0,INDEX('Standard working hours - CT'!$A$1:$AV$180,MATCH($D22,'Standard working hours - CT'!$B$1:$B$180,0)+MATCH('Project information'!$E$7,'Standard working hours - CT'!$A$1:$A$18,0)-1,MATCH('D&amp;D cost quotation'!K$2,'Standard working hours - CT'!$A$1:$G$1,0)+MATCH('Project information'!$A$4,'Standard working hours - CT'!$A$1:$AV$1,0)-1)*$F22)</f>
        <v>0</v>
      </c>
      <c r="L22" s="51">
        <f>IF($F22=0,0,INDEX('Standard working hours - CT'!$A$1:$AV$180,MATCH($D22,'Standard working hours - CT'!$B$1:$B$180,0)+MATCH('Project information'!$E$7,'Standard working hours - CT'!$A$1:$A$18,0)-1,MATCH('D&amp;D cost quotation'!L$2,'Standard working hours - CT'!$A$1:$G$1,0)+MATCH('Project information'!$A$4,'Standard working hours - CT'!$A$1:$AV$1,0)-1)*$F22)</f>
        <v>0</v>
      </c>
      <c r="M22" s="33">
        <f t="shared" si="36"/>
        <v>0</v>
      </c>
      <c r="N22" s="157">
        <f>IF($E22="","",IF(ISERROR(INDEX('Standard hourly rate'!$A$1:$E$14,MATCH($D12,'Standard hourly rate'!$A$1:$A$14,0),MATCH($E22,'Standard hourly rate'!$A$1:$E$1,0))),"NA",IF(INDEX('Standard hourly rate'!$A$1:$E$14,MATCH($D12,'Standard hourly rate'!$A$1:$A$14,0),MATCH($E22,'Standard hourly rate'!$A$1:$E$1,0))=0,"NA",INDEX('Standard hourly rate'!$A$1:$E$14,MATCH($D12,'Standard hourly rate'!$A$1:$A$14,0),MATCH($E22,'Standard hourly rate'!$A$1:$E$1,0)))))</f>
        <v>350</v>
      </c>
      <c r="O22" s="45">
        <f>IF(OR(ISERROR($N22),$N22="",$N22="NA"),0,H22*$N22)*(1+INDEX('For Finance Control'!$B$27:$E$29,3,MATCH('Project information'!$A$4,'For Finance Control'!$B$27:$E$27,0)))</f>
        <v>0</v>
      </c>
      <c r="P22" s="45">
        <f>IF(OR(ISERROR($N22),$N22="",$N22="NA"),0,I22*$N22)*(1+INDEX('For Finance Control'!$B$27:$E$29,3,MATCH('Project information'!$A$4,'For Finance Control'!$B$27:$E$27,0)))</f>
        <v>0</v>
      </c>
      <c r="Q22" s="45">
        <f>IF(OR(ISERROR($N22),$N22="",$N22="NA"),0,J22*$N22)*(1+INDEX('For Finance Control'!$B$27:$E$29,3,MATCH('Project information'!$A$4,'For Finance Control'!$B$27:$E$27,0)))</f>
        <v>0</v>
      </c>
      <c r="R22" s="45">
        <f>IF(OR(ISERROR($N22),$N22="",$N22="NA"),0,K22*$N22)*(1+INDEX('For Finance Control'!$B$27:$E$29,3,MATCH('Project information'!$A$4,'For Finance Control'!$B$27:$E$27,0)))</f>
        <v>0</v>
      </c>
      <c r="S22" s="45">
        <f>IF(OR(ISERROR($N22),$N22="",$N22="NA"),0,L22*$N22)*(1+INDEX('For Finance Control'!$B$27:$E$29,3,MATCH('Project information'!$A$4,'For Finance Control'!$B$27:$E$27,0)))</f>
        <v>0</v>
      </c>
      <c r="T22" s="45">
        <f t="shared" ref="T22" si="44">SUM(O22:S22)</f>
        <v>0</v>
      </c>
      <c r="U22" s="33" cm="1">
        <f t="array" ref="U22">IF($N22="NA","NA",$N22*INDEX('Exchange rate'!$A$1:$G$7,MATCH('Project information'!$A$13,'Exchange rate'!$A$1:$A$7,0),MATCH(LOOKUP(2,1/({"China";"Korea";"India";"Japan";"EUR";"NAO"}=$E22),{"CNY";"KRW";"INR";"JPY";"EUR";"USD"}),'Exchange rate'!$A$1:$G$1,0)))</f>
        <v>350</v>
      </c>
      <c r="V22" s="33">
        <f t="shared" ref="V22" si="45">IF(OR(ISERROR($U22),$U22="",$U22="NA"),0,H22*$U22)</f>
        <v>0</v>
      </c>
      <c r="W22" s="33">
        <f t="shared" ref="W22" si="46">IF(OR(ISERROR($U22),$U22="",$U22="NA"),0,I22*$U22)</f>
        <v>0</v>
      </c>
      <c r="X22" s="33">
        <f t="shared" ref="X22" si="47">IF(OR(ISERROR($U22),$U22="",$U22="NA"),0,J22*$U22)</f>
        <v>0</v>
      </c>
      <c r="Y22" s="33">
        <f t="shared" ref="Y22" si="48">IF(OR(ISERROR($U22),$U22="",$U22="NA"),0,K22*$U22)</f>
        <v>0</v>
      </c>
      <c r="Z22" s="33">
        <f t="shared" ref="Z22" si="49">IF(OR(ISERROR($U22),$U22="",$U22="NA"),0,L22*$U22)</f>
        <v>0</v>
      </c>
      <c r="AA22" s="33">
        <f t="shared" ref="AA22" si="50">SUM(V22:Z22)</f>
        <v>0</v>
      </c>
      <c r="AB22" s="246"/>
      <c r="AC22" s="247"/>
      <c r="AZ22" s="148" t="str">
        <f t="shared" si="27"/>
        <v>2.11</v>
      </c>
      <c r="BA22" s="134"/>
    </row>
    <row r="23" spans="1:53" outlineLevel="1">
      <c r="A23" s="148" t="str">
        <f t="shared" si="26"/>
        <v>2.12</v>
      </c>
      <c r="B23" s="148" t="s">
        <v>144</v>
      </c>
      <c r="C23" s="149" t="s">
        <v>147</v>
      </c>
      <c r="D23" s="150" t="s">
        <v>164</v>
      </c>
      <c r="E23" s="51" t="str">
        <f>IF('Project information'!$A$4="","",'Project information'!$A$4)</f>
        <v>China</v>
      </c>
      <c r="F23" s="47"/>
      <c r="G23" s="134"/>
      <c r="H23" s="51">
        <f>IF($F23=0,0,INDEX('Standard working hours - CT'!$A$1:$AV$180,MATCH($D23,'Standard working hours - CT'!$B$1:$B$180,0)+MATCH('Project information'!$E$7,'Standard working hours - CT'!$A$1:$A$18,0)-1,MATCH('D&amp;D cost quotation'!H$2,'Standard working hours - CT'!$A$1:$G$1,0)+MATCH('Project information'!$A$4,'Standard working hours - CT'!$A$1:$AV$1,0)-1)*$F23)</f>
        <v>0</v>
      </c>
      <c r="I23" s="51">
        <f>IF($F23=0,0,INDEX('Standard working hours - CT'!$A$1:$AV$180,MATCH($D23,'Standard working hours - CT'!$B$1:$B$180,0)+MATCH('Project information'!$E$7,'Standard working hours - CT'!$A$1:$A$18,0)-1,MATCH('D&amp;D cost quotation'!I$2,'Standard working hours - CT'!$A$1:$G$1,0)+MATCH('Project information'!$A$4,'Standard working hours - CT'!$A$1:$AV$1,0)-1)*$F23)</f>
        <v>0</v>
      </c>
      <c r="J23" s="51">
        <f>IF($F23=0,0,INDEX('Standard working hours - CT'!$A$1:$AV$180,MATCH($D23,'Standard working hours - CT'!$B$1:$B$180,0)+MATCH('Project information'!$E$7,'Standard working hours - CT'!$A$1:$A$18,0)-1,MATCH('D&amp;D cost quotation'!J$2,'Standard working hours - CT'!$A$1:$G$1,0)+MATCH('Project information'!$A$4,'Standard working hours - CT'!$A$1:$AV$1,0)-1)*$F23)</f>
        <v>0</v>
      </c>
      <c r="K23" s="51">
        <f>IF($F23=0,0,INDEX('Standard working hours - CT'!$A$1:$AV$180,MATCH($D23,'Standard working hours - CT'!$B$1:$B$180,0)+MATCH('Project information'!$E$7,'Standard working hours - CT'!$A$1:$A$18,0)-1,MATCH('D&amp;D cost quotation'!K$2,'Standard working hours - CT'!$A$1:$G$1,0)+MATCH('Project information'!$A$4,'Standard working hours - CT'!$A$1:$AV$1,0)-1)*$F23)</f>
        <v>0</v>
      </c>
      <c r="L23" s="51">
        <f>IF($F23=0,0,INDEX('Standard working hours - CT'!$A$1:$AV$180,MATCH($D23,'Standard working hours - CT'!$B$1:$B$180,0)+MATCH('Project information'!$E$7,'Standard working hours - CT'!$A$1:$A$18,0)-1,MATCH('D&amp;D cost quotation'!L$2,'Standard working hours - CT'!$A$1:$G$1,0)+MATCH('Project information'!$A$4,'Standard working hours - CT'!$A$1:$AV$1,0)-1)*$F23)</f>
        <v>0</v>
      </c>
      <c r="M23" s="33">
        <f t="shared" si="18"/>
        <v>0</v>
      </c>
      <c r="N23" s="157" t="str">
        <f>IF($E23="","",IF(ISERROR(INDEX('Standard hourly rate'!$A$1:$E$14,MATCH($D17,'Standard hourly rate'!$A$1:$A$14,0),MATCH($E23,'Standard hourly rate'!$A$1:$E$1,0))),"NA",IF(INDEX('Standard hourly rate'!$A$1:$E$14,MATCH($D17,'Standard hourly rate'!$A$1:$A$14,0),MATCH($E23,'Standard hourly rate'!$A$1:$E$1,0))=0,"NA",INDEX('Standard hourly rate'!$A$1:$E$14,MATCH($D17,'Standard hourly rate'!$A$1:$A$14,0),MATCH($E23,'Standard hourly rate'!$A$1:$E$1,0)))))</f>
        <v>NA</v>
      </c>
      <c r="O23" s="45">
        <f>IF(OR(ISERROR($N23),$N23="",$N23="NA"),0,H23*$N23)*(1+INDEX('For Finance Control'!$B$27:$E$29,3,MATCH('Project information'!$A$4,'For Finance Control'!$B$27:$E$27,0)))</f>
        <v>0</v>
      </c>
      <c r="P23" s="45">
        <f>IF(OR(ISERROR($N23),$N23="",$N23="NA"),0,I23*$N23)*(1+INDEX('For Finance Control'!$B$27:$E$29,3,MATCH('Project information'!$A$4,'For Finance Control'!$B$27:$E$27,0)))</f>
        <v>0</v>
      </c>
      <c r="Q23" s="45">
        <f>IF(OR(ISERROR($N23),$N23="",$N23="NA"),0,J23*$N23)*(1+INDEX('For Finance Control'!$B$27:$E$29,3,MATCH('Project information'!$A$4,'For Finance Control'!$B$27:$E$27,0)))</f>
        <v>0</v>
      </c>
      <c r="R23" s="45">
        <f>IF(OR(ISERROR($N23),$N23="",$N23="NA"),0,K23*$N23)*(1+INDEX('For Finance Control'!$B$27:$E$29,3,MATCH('Project information'!$A$4,'For Finance Control'!$B$27:$E$27,0)))</f>
        <v>0</v>
      </c>
      <c r="S23" s="45">
        <f>IF(OR(ISERROR($N23),$N23="",$N23="NA"),0,L23*$N23)*(1+INDEX('For Finance Control'!$B$27:$E$29,3,MATCH('Project information'!$A$4,'For Finance Control'!$B$27:$E$27,0)))</f>
        <v>0</v>
      </c>
      <c r="T23" s="45">
        <f t="shared" si="19"/>
        <v>0</v>
      </c>
      <c r="U23" s="33" t="str" cm="1">
        <f t="array" ref="U23">IF($N23="NA","NA",$N23*INDEX('Exchange rate'!$A$1:$G$7,MATCH('Project information'!$A$13,'Exchange rate'!$A$1:$A$7,0),MATCH(LOOKUP(2,1/({"China";"Korea";"India";"Japan";"EUR";"NAO"}=$E23),{"CNY";"KRW";"INR";"JPY";"EUR";"USD"}),'Exchange rate'!$A$1:$G$1,0)))</f>
        <v>NA</v>
      </c>
      <c r="V23" s="33">
        <f t="shared" si="20"/>
        <v>0</v>
      </c>
      <c r="W23" s="33">
        <f t="shared" si="21"/>
        <v>0</v>
      </c>
      <c r="X23" s="33">
        <f t="shared" si="22"/>
        <v>0</v>
      </c>
      <c r="Y23" s="33">
        <f t="shared" si="23"/>
        <v>0</v>
      </c>
      <c r="Z23" s="33">
        <f t="shared" si="24"/>
        <v>0</v>
      </c>
      <c r="AA23" s="33">
        <f t="shared" si="9"/>
        <v>0</v>
      </c>
      <c r="AB23" s="246"/>
      <c r="AC23" s="247"/>
      <c r="AZ23" s="148" t="str">
        <f t="shared" si="27"/>
        <v>2.12</v>
      </c>
      <c r="BA23" s="134"/>
    </row>
    <row r="24" spans="1:53" ht="25">
      <c r="A24" s="151" t="s">
        <v>128</v>
      </c>
      <c r="B24" s="23" t="s">
        <v>129</v>
      </c>
      <c r="C24" s="23" t="s">
        <v>130</v>
      </c>
      <c r="D24" s="151" t="s">
        <v>131</v>
      </c>
      <c r="E24" s="23" t="s">
        <v>132</v>
      </c>
      <c r="F24" s="23" t="s">
        <v>165</v>
      </c>
      <c r="G24" s="151" t="s">
        <v>166</v>
      </c>
      <c r="H24" s="151" t="s">
        <v>167</v>
      </c>
      <c r="I24" s="151" t="s">
        <v>167</v>
      </c>
      <c r="J24" s="151" t="s">
        <v>167</v>
      </c>
      <c r="K24" s="151" t="s">
        <v>167</v>
      </c>
      <c r="L24" s="151" t="s">
        <v>167</v>
      </c>
      <c r="M24" s="151" t="s">
        <v>167</v>
      </c>
      <c r="N24" s="152" t="s">
        <v>168</v>
      </c>
      <c r="O24" s="36" t="s">
        <v>120</v>
      </c>
      <c r="P24" s="36" t="s">
        <v>121</v>
      </c>
      <c r="Q24" s="36" t="s">
        <v>122</v>
      </c>
      <c r="R24" s="36" t="s">
        <v>123</v>
      </c>
      <c r="S24" s="36" t="s">
        <v>124</v>
      </c>
      <c r="T24" s="37" t="s">
        <v>125</v>
      </c>
      <c r="U24" s="142" t="s">
        <v>168</v>
      </c>
      <c r="V24" s="36" t="s">
        <v>120</v>
      </c>
      <c r="W24" s="36" t="s">
        <v>121</v>
      </c>
      <c r="X24" s="36" t="s">
        <v>122</v>
      </c>
      <c r="Y24" s="36" t="s">
        <v>123</v>
      </c>
      <c r="Z24" s="36" t="s">
        <v>124</v>
      </c>
      <c r="AA24" s="37" t="s">
        <v>125</v>
      </c>
      <c r="AB24" s="262" t="s">
        <v>137</v>
      </c>
      <c r="AC24" s="263"/>
      <c r="AZ24" s="151" t="s">
        <v>128</v>
      </c>
      <c r="BA24" s="151" t="s">
        <v>169</v>
      </c>
    </row>
    <row r="25" spans="1:53">
      <c r="A25" s="25">
        <f>A11+1</f>
        <v>3</v>
      </c>
      <c r="B25" s="25"/>
      <c r="C25" s="26"/>
      <c r="D25" s="27" t="s">
        <v>170</v>
      </c>
      <c r="E25" s="27"/>
      <c r="F25" s="27"/>
      <c r="G25" s="27"/>
      <c r="H25" s="29"/>
      <c r="I25" s="29"/>
      <c r="J25" s="29"/>
      <c r="K25" s="29"/>
      <c r="L25" s="29"/>
      <c r="M25" s="29"/>
      <c r="N25" s="30"/>
      <c r="O25" s="29"/>
      <c r="P25" s="26"/>
      <c r="Q25" s="26"/>
      <c r="R25" s="26"/>
      <c r="S25" s="26"/>
      <c r="T25" s="26"/>
      <c r="U25" s="31"/>
      <c r="V25" s="160">
        <f>SUM(V26:V103)</f>
        <v>0</v>
      </c>
      <c r="W25" s="160">
        <f>SUM(W26:W103)</f>
        <v>0</v>
      </c>
      <c r="X25" s="160">
        <f>SUM(X26:X103)</f>
        <v>0</v>
      </c>
      <c r="Y25" s="160">
        <f>SUM(Y26:Y103)</f>
        <v>0</v>
      </c>
      <c r="Z25" s="160">
        <f>SUM(Z26:Z103)</f>
        <v>0</v>
      </c>
      <c r="AA25" s="160">
        <f>SUM(V25:Z25)</f>
        <v>0</v>
      </c>
      <c r="AB25" s="260"/>
      <c r="AC25" s="261"/>
      <c r="AZ25" s="25">
        <f>AZ11+1</f>
        <v>3</v>
      </c>
      <c r="BA25" s="27"/>
    </row>
    <row r="26" spans="1:53" ht="37.5" outlineLevel="1">
      <c r="A26" s="148" t="str">
        <f>$A$25&amp;"."&amp;ROW(A26)-ROW($A$25)</f>
        <v>3.1</v>
      </c>
      <c r="B26" s="148" t="str">
        <f>INDEX('Standard working hours - CAE'!$A$1:$I$105,MATCH($C26,'Standard working hours - CAE'!$A$1:$A$105,0),MATCH(B$24,'Standard working hours - CAE'!$A$1:$I$1,0))</f>
        <v>LE</v>
      </c>
      <c r="C26" s="149" t="s">
        <v>171</v>
      </c>
      <c r="D26" s="153" t="str">
        <f>INDEX('Standard working hours - CAE'!$A$1:$I$105,MATCH($C26,'Standard working hours - CAE'!$A$1:$A$105,0),MATCH(D$24,'Standard working hours - CAE'!$A$1:$I$1,0))</f>
        <v>Cold end - Pressure drop / Tail pipe noise / Order noise (Atmospheric Engine)</v>
      </c>
      <c r="E26" s="51" t="str">
        <f>IF('Project information'!$A$4="","",'Project information'!$A$4)</f>
        <v>China</v>
      </c>
      <c r="F26" s="149" t="str">
        <f>INDEX('Standard working hours - CAE'!$A$1:$I$105,MATCH($C26,'Standard working hours - CAE'!$A$1:$A$105,0),MATCH(F$24,'Standard working hours - CAE'!$A$1:$I$1,0))</f>
        <v>Faurecia</v>
      </c>
      <c r="G26" s="149" t="str">
        <f>INDEX('Standard working hours - CAE'!$A$1:$I$105,MATCH($C26,'Standard working hours - CAE'!$A$1:$A$105,0),MATCH(G$24,'Standard working hours - CAE'!$A$1:$I$1,0))</f>
        <v>CHD-I-DSE-3001</v>
      </c>
      <c r="H26" s="46"/>
      <c r="I26" s="46"/>
      <c r="J26" s="46"/>
      <c r="K26" s="46"/>
      <c r="L26" s="46"/>
      <c r="M26" s="33">
        <f t="shared" ref="M26:M103" si="51">SUM(H26:L26)</f>
        <v>0</v>
      </c>
      <c r="N26" s="157">
        <f>IF(E26="","",IF(ISERROR(INDEX('Standard working hours - CAE'!$A$1:$I$105,MATCH($C26,'Standard working hours - CAE'!$A$1:$A$105,0),MATCH($E26,'Standard working hours - CAE'!$A$1:$I$1,0))*INDEX('Standard hourly rate'!$A$1:$E$14,MATCH("Acoustic specialist",'Standard hourly rate'!$A$1:$A$14,0),MATCH($E26,'Standard hourly rate'!$A$1:$E$1,0))),"NA",INDEX('Standard working hours - CAE'!$A$1:$I$105,MATCH($C26,'Standard working hours - CAE'!$A$1:$A$105,0),MATCH($E26,'Standard working hours - CAE'!$A$1:$I$1,0))*INDEX('Standard hourly rate'!$A$1:$E$14,MATCH("Acoustic specialist",'Standard hourly rate'!$A$1:$A$14,0),MATCH($E26,'Standard hourly rate'!$A$1:$E$1,0))))</f>
        <v>22088</v>
      </c>
      <c r="O26" s="45">
        <f>IF(OR(ISERROR($N26),$N26="",$N26="NA"),0,H26*$N26)*(1+INDEX('For Finance Control'!$B$27:$E$29,3,MATCH('Project information'!$A$4,'For Finance Control'!$B$27:$E$27,0)))</f>
        <v>0</v>
      </c>
      <c r="P26" s="45">
        <f>IF(OR(ISERROR($N26),$N26="",$N26="NA"),0,I26*$N26)*(1+INDEX('For Finance Control'!$B$27:$E$29,3,MATCH('Project information'!$A$4,'For Finance Control'!$B$27:$E$27,0)))</f>
        <v>0</v>
      </c>
      <c r="Q26" s="45">
        <f>IF(OR(ISERROR($N26),$N26="",$N26="NA"),0,J26*$N26)*(1+INDEX('For Finance Control'!$B$27:$E$29,3,MATCH('Project information'!$A$4,'For Finance Control'!$B$27:$E$27,0)))</f>
        <v>0</v>
      </c>
      <c r="R26" s="45">
        <f>IF(OR(ISERROR($N26),$N26="",$N26="NA"),0,K26*$N26)*(1+INDEX('For Finance Control'!$B$27:$E$29,3,MATCH('Project information'!$A$4,'For Finance Control'!$B$27:$E$27,0)))</f>
        <v>0</v>
      </c>
      <c r="S26" s="45">
        <f>IF(OR(ISERROR($N26),$N26="",$N26="NA"),0,L26*$N26)*(1+INDEX('For Finance Control'!$B$27:$E$29,3,MATCH('Project information'!$A$4,'For Finance Control'!$B$27:$E$27,0)))</f>
        <v>0</v>
      </c>
      <c r="T26" s="45">
        <f t="shared" ref="T26:T103" si="52">SUM(O26:S26)</f>
        <v>0</v>
      </c>
      <c r="U26" s="33" cm="1">
        <f t="array" ref="U26">IF($N26="NA","NA",$N26*INDEX('Exchange rate'!$A$1:$G$7,MATCH('Project information'!$A$13,'Exchange rate'!$A$1:$A$7,0),MATCH(LOOKUP(2,1/({"China";"Korea";"India";"Japan";"EUR";"NAO"}=$E26),{"CNY";"KRW";"INR";"JPY";"EUR";"USD"}),'Exchange rate'!$A$1:$G$1,0)))</f>
        <v>22088</v>
      </c>
      <c r="V26" s="33">
        <f t="shared" ref="V26:V103" si="53">IF(OR(ISERROR($U26),$U26="",$U26="NA"),0,H26*$U26)</f>
        <v>0</v>
      </c>
      <c r="W26" s="33">
        <f t="shared" ref="W26:W103" si="54">IF(OR(ISERROR($U26),$U26="",$U26="NA"),0,I26*$U26)</f>
        <v>0</v>
      </c>
      <c r="X26" s="33">
        <f t="shared" ref="X26:X103" si="55">IF(OR(ISERROR($U26),$U26="",$U26="NA"),0,J26*$U26)</f>
        <v>0</v>
      </c>
      <c r="Y26" s="33">
        <f t="shared" ref="Y26:Y103" si="56">IF(OR(ISERROR($U26),$U26="",$U26="NA"),0,K26*$U26)</f>
        <v>0</v>
      </c>
      <c r="Z26" s="33">
        <f t="shared" ref="Z26:Z103" si="57">IF(OR(ISERROR($U26),$U26="",$U26="NA"),0,L26*$U26)</f>
        <v>0</v>
      </c>
      <c r="AA26" s="33">
        <f t="shared" ref="AA26:AA103" si="58">SUM(V26:Z26)</f>
        <v>0</v>
      </c>
      <c r="AB26" s="246"/>
      <c r="AC26" s="247"/>
      <c r="AZ26" s="148" t="str">
        <f>$A$25&amp;"."&amp;ROW(AZ26)-ROW($A$25)</f>
        <v>3.1</v>
      </c>
      <c r="BA26" s="149" t="s">
        <v>172</v>
      </c>
    </row>
    <row r="27" spans="1:53" ht="25" outlineLevel="1">
      <c r="A27" s="148" t="str">
        <f t="shared" ref="A27:A103" si="59">$A$25&amp;"."&amp;ROW(A27)-ROW($A$25)</f>
        <v>3.2</v>
      </c>
      <c r="B27" s="148" t="str">
        <f>INDEX('Standard working hours - CAE'!$A$1:$I$105,MATCH($C27,'Standard working hours - CAE'!$A$1:$A$105,0),MATCH(B$24,'Standard working hours - CAE'!$A$1:$I$1,0))</f>
        <v>LE</v>
      </c>
      <c r="C27" s="149" t="s">
        <v>173</v>
      </c>
      <c r="D27" s="153" t="str">
        <f>INDEX('Standard working hours - CAE'!$A$1:$I$105,MATCH($C27,'Standard working hours - CAE'!$A$1:$A$105,0),MATCH(D$24,'Standard working hours - CAE'!$A$1:$I$1,0))</f>
        <v>Cold end simple - Pressure drop / Tail pipe noise / Order noise (Turbo Engine)</v>
      </c>
      <c r="E27" s="51" t="str">
        <f>IF('Project information'!$A$4="","",'Project information'!$A$4)</f>
        <v>China</v>
      </c>
      <c r="F27" s="149" t="str">
        <f>INDEX('Standard working hours - CAE'!$A$1:$I$105,MATCH($C27,'Standard working hours - CAE'!$A$1:$A$105,0),MATCH(F$24,'Standard working hours - CAE'!$A$1:$I$1,0))</f>
        <v>Faurecia</v>
      </c>
      <c r="G27" s="149" t="str">
        <f>INDEX('Standard working hours - CAE'!$A$1:$I$105,MATCH($C27,'Standard working hours - CAE'!$A$1:$A$105,0),MATCH(G$24,'Standard working hours - CAE'!$A$1:$I$1,0))</f>
        <v>CHD-I-DSE-3001</v>
      </c>
      <c r="H27" s="46"/>
      <c r="I27" s="46"/>
      <c r="J27" s="46"/>
      <c r="K27" s="46"/>
      <c r="L27" s="46"/>
      <c r="M27" s="33">
        <f t="shared" si="51"/>
        <v>0</v>
      </c>
      <c r="N27" s="157">
        <f>IF(E27="","",IF(ISERROR(INDEX('Standard working hours - CAE'!$A$1:$I$105,MATCH($C27,'Standard working hours - CAE'!$A$1:$A$105,0),MATCH($E27,'Standard working hours - CAE'!$A$1:$I$1,0))*INDEX('Standard hourly rate'!$A$1:$E$14,MATCH("Acoustic specialist",'Standard hourly rate'!$A$1:$A$14,0),MATCH($E27,'Standard hourly rate'!$A$1:$E$1,0))),"NA",INDEX('Standard working hours - CAE'!$A$1:$I$105,MATCH($C27,'Standard working hours - CAE'!$A$1:$A$105,0),MATCH($E27,'Standard working hours - CAE'!$A$1:$I$1,0))*INDEX('Standard hourly rate'!$A$1:$E$14,MATCH("Acoustic specialist",'Standard hourly rate'!$A$1:$A$14,0),MATCH($E27,'Standard hourly rate'!$A$1:$E$1,0))))</f>
        <v>45180</v>
      </c>
      <c r="O27" s="45">
        <f>IF(OR(ISERROR($N27),$N27="",$N27="NA"),0,H27*$N27)*(1+INDEX('For Finance Control'!$B$27:$E$29,3,MATCH('Project information'!$A$4,'For Finance Control'!$B$27:$E$27,0)))</f>
        <v>0</v>
      </c>
      <c r="P27" s="45">
        <f>IF(OR(ISERROR($N27),$N27="",$N27="NA"),0,I27*$N27)*(1+INDEX('For Finance Control'!$B$27:$E$29,3,MATCH('Project information'!$A$4,'For Finance Control'!$B$27:$E$27,0)))</f>
        <v>0</v>
      </c>
      <c r="Q27" s="45">
        <f>IF(OR(ISERROR($N27),$N27="",$N27="NA"),0,J27*$N27)*(1+INDEX('For Finance Control'!$B$27:$E$29,3,MATCH('Project information'!$A$4,'For Finance Control'!$B$27:$E$27,0)))</f>
        <v>0</v>
      </c>
      <c r="R27" s="45">
        <f>IF(OR(ISERROR($N27),$N27="",$N27="NA"),0,K27*$N27)*(1+INDEX('For Finance Control'!$B$27:$E$29,3,MATCH('Project information'!$A$4,'For Finance Control'!$B$27:$E$27,0)))</f>
        <v>0</v>
      </c>
      <c r="S27" s="45">
        <f>IF(OR(ISERROR($N27),$N27="",$N27="NA"),0,L27*$N27)*(1+INDEX('For Finance Control'!$B$27:$E$29,3,MATCH('Project information'!$A$4,'For Finance Control'!$B$27:$E$27,0)))</f>
        <v>0</v>
      </c>
      <c r="T27" s="45">
        <f t="shared" si="52"/>
        <v>0</v>
      </c>
      <c r="U27" s="33" cm="1">
        <f t="array" ref="U27">IF($N27="NA","NA",$N27*INDEX('Exchange rate'!$A$1:$G$7,MATCH('Project information'!$A$13,'Exchange rate'!$A$1:$A$7,0),MATCH(LOOKUP(2,1/({"China";"Korea";"India";"Japan";"EUR";"NAO"}=$E27),{"CNY";"KRW";"INR";"JPY";"EUR";"USD"}),'Exchange rate'!$A$1:$G$1,0)))</f>
        <v>45180</v>
      </c>
      <c r="V27" s="33">
        <f t="shared" si="53"/>
        <v>0</v>
      </c>
      <c r="W27" s="33">
        <f t="shared" si="54"/>
        <v>0</v>
      </c>
      <c r="X27" s="33">
        <f t="shared" si="55"/>
        <v>0</v>
      </c>
      <c r="Y27" s="33">
        <f t="shared" si="56"/>
        <v>0</v>
      </c>
      <c r="Z27" s="33">
        <f t="shared" si="57"/>
        <v>0</v>
      </c>
      <c r="AA27" s="33">
        <f t="shared" si="58"/>
        <v>0</v>
      </c>
      <c r="AB27" s="246"/>
      <c r="AC27" s="247"/>
      <c r="AZ27" s="148" t="str">
        <f t="shared" ref="AZ27:AZ103" si="60">$A$25&amp;"."&amp;ROW(AZ27)-ROW($A$25)</f>
        <v>3.2</v>
      </c>
      <c r="BA27" s="149" t="s">
        <v>172</v>
      </c>
    </row>
    <row r="28" spans="1:53" ht="37.5" outlineLevel="1">
      <c r="A28" s="148" t="str">
        <f t="shared" si="59"/>
        <v>3.3</v>
      </c>
      <c r="B28" s="148" t="str">
        <f>INDEX('Standard working hours - CAE'!$A$1:$I$105,MATCH($C28,'Standard working hours - CAE'!$A$1:$A$105,0),MATCH(B$24,'Standard working hours - CAE'!$A$1:$I$1,0))</f>
        <v>LE</v>
      </c>
      <c r="C28" s="149" t="s">
        <v>174</v>
      </c>
      <c r="D28" s="153" t="str">
        <f>INDEX('Standard working hours - CAE'!$A$1:$I$105,MATCH($C28,'Standard working hours - CAE'!$A$1:$A$105,0),MATCH(D$24,'Standard working hours - CAE'!$A$1:$I$1,0))</f>
        <v>Cold end complex - Pressure drop / Tail pipe noise / Order noise (Turbo Engine)</v>
      </c>
      <c r="E28" s="51" t="str">
        <f>IF('Project information'!$A$4="","",'Project information'!$A$4)</f>
        <v>China</v>
      </c>
      <c r="F28" s="149" t="str">
        <f>INDEX('Standard working hours - CAE'!$A$1:$I$105,MATCH($C28,'Standard working hours - CAE'!$A$1:$A$105,0),MATCH(F$24,'Standard working hours - CAE'!$A$1:$I$1,0))</f>
        <v>Faurecia</v>
      </c>
      <c r="G28" s="149" t="str">
        <f>INDEX('Standard working hours - CAE'!$A$1:$I$105,MATCH($C28,'Standard working hours - CAE'!$A$1:$A$105,0),MATCH(G$24,'Standard working hours - CAE'!$A$1:$I$1,0))</f>
        <v>CHD-I-DSE-3001</v>
      </c>
      <c r="H28" s="46"/>
      <c r="I28" s="46"/>
      <c r="J28" s="46"/>
      <c r="K28" s="46"/>
      <c r="L28" s="46"/>
      <c r="M28" s="33">
        <f t="shared" si="51"/>
        <v>0</v>
      </c>
      <c r="N28" s="157">
        <f>IF(E28="","",IF(ISERROR(INDEX('Standard working hours - CAE'!$A$1:$I$105,MATCH($C28,'Standard working hours - CAE'!$A$1:$A$105,0),MATCH($E28,'Standard working hours - CAE'!$A$1:$I$1,0))*INDEX('Standard hourly rate'!$A$1:$E$14,MATCH("Acoustic specialist",'Standard hourly rate'!$A$1:$A$14,0),MATCH($E28,'Standard hourly rate'!$A$1:$E$1,0))),"NA",INDEX('Standard working hours - CAE'!$A$1:$I$105,MATCH($C28,'Standard working hours - CAE'!$A$1:$A$105,0),MATCH($E28,'Standard working hours - CAE'!$A$1:$I$1,0))*INDEX('Standard hourly rate'!$A$1:$E$14,MATCH("Acoustic specialist",'Standard hourly rate'!$A$1:$A$14,0),MATCH($E28,'Standard hourly rate'!$A$1:$E$1,0))))</f>
        <v>45180</v>
      </c>
      <c r="O28" s="45">
        <f>IF(OR(ISERROR($N28),$N28="",$N28="NA"),0,H28*$N28)*(1+INDEX('For Finance Control'!$B$27:$E$29,3,MATCH('Project information'!$A$4,'For Finance Control'!$B$27:$E$27,0)))</f>
        <v>0</v>
      </c>
      <c r="P28" s="45">
        <f>IF(OR(ISERROR($N28),$N28="",$N28="NA"),0,I28*$N28)*(1+INDEX('For Finance Control'!$B$27:$E$29,3,MATCH('Project information'!$A$4,'For Finance Control'!$B$27:$E$27,0)))</f>
        <v>0</v>
      </c>
      <c r="Q28" s="45">
        <f>IF(OR(ISERROR($N28),$N28="",$N28="NA"),0,J28*$N28)*(1+INDEX('For Finance Control'!$B$27:$E$29,3,MATCH('Project information'!$A$4,'For Finance Control'!$B$27:$E$27,0)))</f>
        <v>0</v>
      </c>
      <c r="R28" s="45">
        <f>IF(OR(ISERROR($N28),$N28="",$N28="NA"),0,K28*$N28)*(1+INDEX('For Finance Control'!$B$27:$E$29,3,MATCH('Project information'!$A$4,'For Finance Control'!$B$27:$E$27,0)))</f>
        <v>0</v>
      </c>
      <c r="S28" s="45">
        <f>IF(OR(ISERROR($N28),$N28="",$N28="NA"),0,L28*$N28)*(1+INDEX('For Finance Control'!$B$27:$E$29,3,MATCH('Project information'!$A$4,'For Finance Control'!$B$27:$E$27,0)))</f>
        <v>0</v>
      </c>
      <c r="T28" s="45">
        <f t="shared" si="52"/>
        <v>0</v>
      </c>
      <c r="U28" s="33" cm="1">
        <f t="array" ref="U28">IF($N28="NA","NA",$N28*INDEX('Exchange rate'!$A$1:$G$7,MATCH('Project information'!$A$13,'Exchange rate'!$A$1:$A$7,0),MATCH(LOOKUP(2,1/({"China";"Korea";"India";"Japan";"EUR";"NAO"}=$E28),{"CNY";"KRW";"INR";"JPY";"EUR";"USD"}),'Exchange rate'!$A$1:$G$1,0)))</f>
        <v>45180</v>
      </c>
      <c r="V28" s="33">
        <f t="shared" si="53"/>
        <v>0</v>
      </c>
      <c r="W28" s="33">
        <f t="shared" si="54"/>
        <v>0</v>
      </c>
      <c r="X28" s="33">
        <f t="shared" si="55"/>
        <v>0</v>
      </c>
      <c r="Y28" s="33">
        <f t="shared" si="56"/>
        <v>0</v>
      </c>
      <c r="Z28" s="33">
        <f t="shared" si="57"/>
        <v>0</v>
      </c>
      <c r="AA28" s="33">
        <f t="shared" si="58"/>
        <v>0</v>
      </c>
      <c r="AB28" s="246"/>
      <c r="AC28" s="247"/>
      <c r="AZ28" s="148" t="str">
        <f t="shared" si="60"/>
        <v>3.3</v>
      </c>
      <c r="BA28" s="149" t="s">
        <v>172</v>
      </c>
    </row>
    <row r="29" spans="1:53" ht="25" outlineLevel="1">
      <c r="A29" s="148" t="str">
        <f t="shared" si="59"/>
        <v>3.4</v>
      </c>
      <c r="B29" s="148" t="str">
        <f>INDEX('Standard working hours - CAE'!$A$1:$I$105,MATCH($C29,'Standard working hours - CAE'!$A$1:$A$105,0),MATCH(B$24,'Standard working hours - CAE'!$A$1:$I$1,0))</f>
        <v>CVI</v>
      </c>
      <c r="C29" s="149" t="s">
        <v>175</v>
      </c>
      <c r="D29" s="153" t="str">
        <f>INDEX('Standard working hours - CAE'!$A$1:$I$105,MATCH($C29,'Standard working hours - CAE'!$A$1:$A$105,0),MATCH(D$24,'Standard working hours - CAE'!$A$1:$I$1,0))</f>
        <v>Transmission loss or insertion loss calculation (1 part)</v>
      </c>
      <c r="E29" s="51" t="str">
        <f>IF('Project information'!$A$4="","",'Project information'!$A$4)</f>
        <v>China</v>
      </c>
      <c r="F29" s="149" t="str">
        <f>INDEX('Standard working hours - CAE'!$A$1:$I$105,MATCH($C29,'Standard working hours - CAE'!$A$1:$A$105,0),MATCH(F$24,'Standard working hours - CAE'!$A$1:$I$1,0))</f>
        <v>Faurecia</v>
      </c>
      <c r="G29" s="149">
        <f>INDEX('Standard working hours - CAE'!$A$1:$I$105,MATCH($C29,'Standard working hours - CAE'!$A$1:$A$105,0),MATCH(G$24,'Standard working hours - CAE'!$A$1:$I$1,0))</f>
        <v>0</v>
      </c>
      <c r="H29" s="46"/>
      <c r="I29" s="46"/>
      <c r="J29" s="46"/>
      <c r="K29" s="46"/>
      <c r="L29" s="46"/>
      <c r="M29" s="33">
        <f t="shared" si="51"/>
        <v>0</v>
      </c>
      <c r="N29" s="157">
        <f>IF(E29="","",IF(ISERROR(INDEX('Standard working hours - CAE'!$A$1:$I$105,MATCH($C29,'Standard working hours - CAE'!$A$1:$A$105,0),MATCH($E29,'Standard working hours - CAE'!$A$1:$I$1,0))*INDEX('Standard hourly rate'!$A$1:$E$14,MATCH("Acoustic specialist",'Standard hourly rate'!$A$1:$A$14,0),MATCH($E29,'Standard hourly rate'!$A$1:$E$1,0))),"NA",INDEX('Standard working hours - CAE'!$A$1:$I$105,MATCH($C29,'Standard working hours - CAE'!$A$1:$A$105,0),MATCH($E29,'Standard working hours - CAE'!$A$1:$I$1,0))*INDEX('Standard hourly rate'!$A$1:$E$14,MATCH("Acoustic specialist",'Standard hourly rate'!$A$1:$A$14,0),MATCH($E29,'Standard hourly rate'!$A$1:$E$1,0))))</f>
        <v>20080</v>
      </c>
      <c r="O29" s="45">
        <f>IF(OR(ISERROR($N29),$N29="",$N29="NA"),0,H29*$N29)*(1+INDEX('For Finance Control'!$B$27:$E$29,3,MATCH('Project information'!$A$4,'For Finance Control'!$B$27:$E$27,0)))</f>
        <v>0</v>
      </c>
      <c r="P29" s="45">
        <f>IF(OR(ISERROR($N29),$N29="",$N29="NA"),0,I29*$N29)*(1+INDEX('For Finance Control'!$B$27:$E$29,3,MATCH('Project information'!$A$4,'For Finance Control'!$B$27:$E$27,0)))</f>
        <v>0</v>
      </c>
      <c r="Q29" s="45">
        <f>IF(OR(ISERROR($N29),$N29="",$N29="NA"),0,J29*$N29)*(1+INDEX('For Finance Control'!$B$27:$E$29,3,MATCH('Project information'!$A$4,'For Finance Control'!$B$27:$E$27,0)))</f>
        <v>0</v>
      </c>
      <c r="R29" s="45">
        <f>IF(OR(ISERROR($N29),$N29="",$N29="NA"),0,K29*$N29)*(1+INDEX('For Finance Control'!$B$27:$E$29,3,MATCH('Project information'!$A$4,'For Finance Control'!$B$27:$E$27,0)))</f>
        <v>0</v>
      </c>
      <c r="S29" s="45">
        <f>IF(OR(ISERROR($N29),$N29="",$N29="NA"),0,L29*$N29)*(1+INDEX('For Finance Control'!$B$27:$E$29,3,MATCH('Project information'!$A$4,'For Finance Control'!$B$27:$E$27,0)))</f>
        <v>0</v>
      </c>
      <c r="T29" s="45">
        <f t="shared" si="52"/>
        <v>0</v>
      </c>
      <c r="U29" s="33" cm="1">
        <f t="array" ref="U29">IF($N29="NA","NA",$N29*INDEX('Exchange rate'!$A$1:$G$7,MATCH('Project information'!$A$13,'Exchange rate'!$A$1:$A$7,0),MATCH(LOOKUP(2,1/({"China";"Korea";"India";"Japan";"EUR";"NAO"}=$E29),{"CNY";"KRW";"INR";"JPY";"EUR";"USD"}),'Exchange rate'!$A$1:$G$1,0)))</f>
        <v>20080</v>
      </c>
      <c r="V29" s="33">
        <f t="shared" si="53"/>
        <v>0</v>
      </c>
      <c r="W29" s="33">
        <f t="shared" si="54"/>
        <v>0</v>
      </c>
      <c r="X29" s="33">
        <f t="shared" si="55"/>
        <v>0</v>
      </c>
      <c r="Y29" s="33">
        <f t="shared" si="56"/>
        <v>0</v>
      </c>
      <c r="Z29" s="33">
        <f t="shared" si="57"/>
        <v>0</v>
      </c>
      <c r="AA29" s="33">
        <f t="shared" si="58"/>
        <v>0</v>
      </c>
      <c r="AB29" s="246"/>
      <c r="AC29" s="247"/>
      <c r="AZ29" s="148" t="str">
        <f t="shared" si="60"/>
        <v>3.4</v>
      </c>
      <c r="BA29" s="149">
        <v>0</v>
      </c>
    </row>
    <row r="30" spans="1:53" ht="25" outlineLevel="1">
      <c r="A30" s="148" t="str">
        <f t="shared" si="59"/>
        <v>3.5</v>
      </c>
      <c r="B30" s="148" t="str">
        <f>INDEX('Standard working hours - CAE'!$A$1:$I$105,MATCH($C30,'Standard working hours - CAE'!$A$1:$A$105,0),MATCH(B$24,'Standard working hours - CAE'!$A$1:$I$1,0))</f>
        <v>LE</v>
      </c>
      <c r="C30" s="149" t="s">
        <v>176</v>
      </c>
      <c r="D30" s="153" t="str">
        <f>INDEX('Standard working hours - CAE'!$A$1:$I$105,MATCH($C30,'Standard working hours - CAE'!$A$1:$A$105,0),MATCH(D$24,'Standard working hours - CAE'!$A$1:$I$1,0))</f>
        <v>NVH EXA simulation by European supplier</v>
      </c>
      <c r="E30" s="51" t="str">
        <f>IF('Project information'!$A$4="","",'Project information'!$A$4)</f>
        <v>China</v>
      </c>
      <c r="F30" s="149" t="str">
        <f>INDEX('Standard working hours - CAE'!$A$1:$I$105,MATCH($C30,'Standard working hours - CAE'!$A$1:$A$105,0),MATCH(F$24,'Standard working hours - CAE'!$A$1:$I$1,0))</f>
        <v>Faurecia</v>
      </c>
      <c r="G30" s="149" t="str">
        <f>INDEX('Standard working hours - CAE'!$A$1:$I$105,MATCH($C30,'Standard working hours - CAE'!$A$1:$A$105,0),MATCH(G$24,'Standard working hours - CAE'!$A$1:$I$1,0))</f>
        <v>Non-standard</v>
      </c>
      <c r="H30" s="46"/>
      <c r="I30" s="46"/>
      <c r="J30" s="46"/>
      <c r="K30" s="46"/>
      <c r="L30" s="46"/>
      <c r="M30" s="33">
        <f t="shared" si="51"/>
        <v>0</v>
      </c>
      <c r="N30" s="157">
        <f>IF(E30="","",IF(ISERROR(INDEX('Standard working hours - CAE'!$A$1:$I$105,MATCH($C30,'Standard working hours - CAE'!$A$1:$A$105,0),MATCH($E30,'Standard working hours - CAE'!$A$1:$I$1,0))*INDEX('Standard hourly rate'!$A$1:$E$14,MATCH("Acoustic specialist",'Standard hourly rate'!$A$1:$A$14,0),MATCH($E30,'Standard hourly rate'!$A$1:$E$1,0))),"NA",INDEX('Standard working hours - CAE'!$A$1:$I$105,MATCH($C30,'Standard working hours - CAE'!$A$1:$A$105,0),MATCH($E30,'Standard working hours - CAE'!$A$1:$I$1,0))*INDEX('Standard hourly rate'!$A$1:$E$14,MATCH("Acoustic specialist",'Standard hourly rate'!$A$1:$A$14,0),MATCH($E30,'Standard hourly rate'!$A$1:$E$1,0))))</f>
        <v>65029.321663019684</v>
      </c>
      <c r="O30" s="45">
        <f>IF(OR(ISERROR($N30),$N30="",$N30="NA"),0,H30*$N30)*(1+INDEX('For Finance Control'!$B$27:$E$29,3,MATCH('Project information'!$A$4,'For Finance Control'!$B$27:$E$27,0)))</f>
        <v>0</v>
      </c>
      <c r="P30" s="45">
        <f>IF(OR(ISERROR($N30),$N30="",$N30="NA"),0,I30*$N30)*(1+INDEX('For Finance Control'!$B$27:$E$29,3,MATCH('Project information'!$A$4,'For Finance Control'!$B$27:$E$27,0)))</f>
        <v>0</v>
      </c>
      <c r="Q30" s="45">
        <f>IF(OR(ISERROR($N30),$N30="",$N30="NA"),0,J30*$N30)*(1+INDEX('For Finance Control'!$B$27:$E$29,3,MATCH('Project information'!$A$4,'For Finance Control'!$B$27:$E$27,0)))</f>
        <v>0</v>
      </c>
      <c r="R30" s="45">
        <f>IF(OR(ISERROR($N30),$N30="",$N30="NA"),0,K30*$N30)*(1+INDEX('For Finance Control'!$B$27:$E$29,3,MATCH('Project information'!$A$4,'For Finance Control'!$B$27:$E$27,0)))</f>
        <v>0</v>
      </c>
      <c r="S30" s="45">
        <f>IF(OR(ISERROR($N30),$N30="",$N30="NA"),0,L30*$N30)*(1+INDEX('For Finance Control'!$B$27:$E$29,3,MATCH('Project information'!$A$4,'For Finance Control'!$B$27:$E$27,0)))</f>
        <v>0</v>
      </c>
      <c r="T30" s="45">
        <f t="shared" ref="T30" si="61">SUM(O30:S30)</f>
        <v>0</v>
      </c>
      <c r="U30" s="33" cm="1">
        <f t="array" ref="U30">IF($N30="NA","NA",$N30*INDEX('Exchange rate'!$A$1:$G$7,MATCH('Project information'!$A$13,'Exchange rate'!$A$1:$A$7,0),MATCH(LOOKUP(2,1/({"China";"Korea";"India";"Japan";"EUR";"NAO"}=$E30),{"CNY";"KRW";"INR";"JPY";"EUR";"USD"}),'Exchange rate'!$A$1:$G$1,0)))</f>
        <v>65029.321663019684</v>
      </c>
      <c r="V30" s="33">
        <f t="shared" ref="V30" si="62">IF(OR(ISERROR($U30),$U30="",$U30="NA"),0,H30*$U30)</f>
        <v>0</v>
      </c>
      <c r="W30" s="33">
        <f t="shared" ref="W30" si="63">IF(OR(ISERROR($U30),$U30="",$U30="NA"),0,I30*$U30)</f>
        <v>0</v>
      </c>
      <c r="X30" s="33">
        <f t="shared" ref="X30" si="64">IF(OR(ISERROR($U30),$U30="",$U30="NA"),0,J30*$U30)</f>
        <v>0</v>
      </c>
      <c r="Y30" s="33">
        <f t="shared" ref="Y30" si="65">IF(OR(ISERROR($U30),$U30="",$U30="NA"),0,K30*$U30)</f>
        <v>0</v>
      </c>
      <c r="Z30" s="33">
        <f t="shared" ref="Z30" si="66">IF(OR(ISERROR($U30),$U30="",$U30="NA"),0,L30*$U30)</f>
        <v>0</v>
      </c>
      <c r="AA30" s="33">
        <f t="shared" ref="AA30" si="67">SUM(V30:Z30)</f>
        <v>0</v>
      </c>
      <c r="AB30" s="246"/>
      <c r="AC30" s="247"/>
      <c r="AZ30" s="148" t="str">
        <f t="shared" si="60"/>
        <v>3.5</v>
      </c>
      <c r="BA30" s="149" t="s">
        <v>177</v>
      </c>
    </row>
    <row r="31" spans="1:53" outlineLevel="1">
      <c r="A31" s="148" t="str">
        <f t="shared" si="59"/>
        <v>3.6</v>
      </c>
      <c r="B31" s="148" t="str">
        <f>INDEX('Standard working hours - CAE'!$A$1:$I$105,MATCH($C31,'Standard working hours - CAE'!$A$1:$A$105,0),MATCH(B$24,'Standard working hours - CAE'!$A$1:$I$1,0))</f>
        <v>LE</v>
      </c>
      <c r="C31" s="149" t="s">
        <v>178</v>
      </c>
      <c r="D31" s="153" t="str">
        <f>INDEX('Standard working hours - CAE'!$A$1:$I$105,MATCH($C31,'Standard working hours - CAE'!$A$1:$A$105,0),MATCH(D$24,'Standard working hours - CAE'!$A$1:$I$1,0))</f>
        <v>Hot end - Canning simulation</v>
      </c>
      <c r="E31" s="51" t="str">
        <f>IF('Project information'!$A$4="","",'Project information'!$A$4)</f>
        <v>China</v>
      </c>
      <c r="F31" s="149" t="str">
        <f>INDEX('Standard working hours - CAE'!$A$1:$I$105,MATCH($C31,'Standard working hours - CAE'!$A$1:$A$105,0),MATCH(F$24,'Standard working hours - CAE'!$A$1:$I$1,0))</f>
        <v>Faurecia</v>
      </c>
      <c r="G31" s="149">
        <f>INDEX('Standard working hours - CAE'!$A$1:$I$105,MATCH($C31,'Standard working hours - CAE'!$A$1:$A$105,0),MATCH(G$24,'Standard working hours - CAE'!$A$1:$I$1,0))</f>
        <v>0</v>
      </c>
      <c r="H31" s="46"/>
      <c r="I31" s="46"/>
      <c r="J31" s="46"/>
      <c r="K31" s="46"/>
      <c r="L31" s="46"/>
      <c r="M31" s="33">
        <f t="shared" si="51"/>
        <v>0</v>
      </c>
      <c r="N31" s="157">
        <f>IF(E31="","",IF(ISERROR(INDEX('Standard working hours - CAE'!$A$1:$I$105,MATCH($C31,'Standard working hours - CAE'!$A$1:$A$105,0),MATCH($E31,'Standard working hours - CAE'!$A$1:$I$1,0))*INDEX('Standard hourly rate'!$A$1:$E$14,MATCH("Durability specialist",'Standard hourly rate'!$A$1:$A$14,0),MATCH($E31,'Standard hourly rate'!$A$1:$E$1,0))),"NA",INDEX('Standard working hours - CAE'!$A$1:$I$105,MATCH($C31,'Standard working hours - CAE'!$A$1:$A$105,0),MATCH($E31,'Standard working hours - CAE'!$A$1:$I$1,0))*INDEX('Standard hourly rate'!$A$1:$E$14,MATCH("Durability specialist",'Standard hourly rate'!$A$1:$A$14,0),MATCH($E31,'Standard hourly rate'!$A$1:$E$1,0))))</f>
        <v>8032</v>
      </c>
      <c r="O31" s="45">
        <f>IF(OR(ISERROR($N31),$N31="",$N31="NA"),0,H31*$N31)*(1+INDEX('For Finance Control'!$B$27:$E$29,3,MATCH('Project information'!$A$4,'For Finance Control'!$B$27:$E$27,0)))</f>
        <v>0</v>
      </c>
      <c r="P31" s="45">
        <f>IF(OR(ISERROR($N31),$N31="",$N31="NA"),0,I31*$N31)*(1+INDEX('For Finance Control'!$B$27:$E$29,3,MATCH('Project information'!$A$4,'For Finance Control'!$B$27:$E$27,0)))</f>
        <v>0</v>
      </c>
      <c r="Q31" s="45">
        <f>IF(OR(ISERROR($N31),$N31="",$N31="NA"),0,J31*$N31)*(1+INDEX('For Finance Control'!$B$27:$E$29,3,MATCH('Project information'!$A$4,'For Finance Control'!$B$27:$E$27,0)))</f>
        <v>0</v>
      </c>
      <c r="R31" s="45">
        <f>IF(OR(ISERROR($N31),$N31="",$N31="NA"),0,K31*$N31)*(1+INDEX('For Finance Control'!$B$27:$E$29,3,MATCH('Project information'!$A$4,'For Finance Control'!$B$27:$E$27,0)))</f>
        <v>0</v>
      </c>
      <c r="S31" s="45">
        <f>IF(OR(ISERROR($N31),$N31="",$N31="NA"),0,L31*$N31)*(1+INDEX('For Finance Control'!$B$27:$E$29,3,MATCH('Project information'!$A$4,'For Finance Control'!$B$27:$E$27,0)))</f>
        <v>0</v>
      </c>
      <c r="T31" s="45">
        <f t="shared" si="52"/>
        <v>0</v>
      </c>
      <c r="U31" s="33" cm="1">
        <f t="array" ref="U31">IF($N31="NA","NA",$N31*INDEX('Exchange rate'!$A$1:$G$7,MATCH('Project information'!$A$13,'Exchange rate'!$A$1:$A$7,0),MATCH(LOOKUP(2,1/({"China";"Korea";"India";"Japan";"EUR";"NAO"}=$E31),{"CNY";"KRW";"INR";"JPY";"EUR";"USD"}),'Exchange rate'!$A$1:$G$1,0)))</f>
        <v>8032</v>
      </c>
      <c r="V31" s="33">
        <f t="shared" si="53"/>
        <v>0</v>
      </c>
      <c r="W31" s="33">
        <f t="shared" si="54"/>
        <v>0</v>
      </c>
      <c r="X31" s="33">
        <f t="shared" si="55"/>
        <v>0</v>
      </c>
      <c r="Y31" s="33">
        <f t="shared" si="56"/>
        <v>0</v>
      </c>
      <c r="Z31" s="33">
        <f t="shared" si="57"/>
        <v>0</v>
      </c>
      <c r="AA31" s="33">
        <f t="shared" si="58"/>
        <v>0</v>
      </c>
      <c r="AB31" s="246"/>
      <c r="AC31" s="247"/>
      <c r="AZ31" s="148" t="str">
        <f t="shared" si="60"/>
        <v>3.6</v>
      </c>
      <c r="BA31" s="149">
        <v>0</v>
      </c>
    </row>
    <row r="32" spans="1:53" ht="37.5" outlineLevel="1">
      <c r="A32" s="148" t="str">
        <f t="shared" si="59"/>
        <v>3.7</v>
      </c>
      <c r="B32" s="148" t="str">
        <f>INDEX('Standard working hours - CAE'!$A$1:$I$105,MATCH($C32,'Standard working hours - CAE'!$A$1:$A$105,0),MATCH(B$24,'Standard working hours - CAE'!$A$1:$I$1,0))</f>
        <v>LE</v>
      </c>
      <c r="C32" s="149" t="s">
        <v>179</v>
      </c>
      <c r="D32" s="153" t="str">
        <f>INDEX('Standard working hours - CAE'!$A$1:$I$105,MATCH($C32,'Standard working hours - CAE'!$A$1:$A$105,0),MATCH(D$24,'Standard working hours - CAE'!$A$1:$I$1,0))</f>
        <v>Manifold / Maniverter / Diesel EU6 - Uniformity / Velocity / Hego index / Pressure drop / Temperature</v>
      </c>
      <c r="E32" s="51" t="str">
        <f>IF('Project information'!$A$4="","",'Project information'!$A$4)</f>
        <v>China</v>
      </c>
      <c r="F32" s="149" t="str">
        <f>INDEX('Standard working hours - CAE'!$A$1:$I$105,MATCH($C32,'Standard working hours - CAE'!$A$1:$A$105,0),MATCH(F$24,'Standard working hours - CAE'!$A$1:$I$1,0))</f>
        <v>Faurecia</v>
      </c>
      <c r="G32" s="149" t="str">
        <f>INDEX('Standard working hours - CAE'!$A$1:$I$105,MATCH($C32,'Standard working hours - CAE'!$A$1:$A$105,0),MATCH(G$24,'Standard working hours - CAE'!$A$1:$I$1,0))</f>
        <v>CHD-I-DSE-2820</v>
      </c>
      <c r="H32" s="46"/>
      <c r="I32" s="46"/>
      <c r="J32" s="46"/>
      <c r="K32" s="46"/>
      <c r="L32" s="46"/>
      <c r="M32" s="33">
        <f t="shared" si="51"/>
        <v>0</v>
      </c>
      <c r="N32" s="157">
        <f>IF(E32="","",IF(ISERROR(INDEX('Standard working hours - CAE'!$A$1:$I$105,MATCH($C32,'Standard working hours - CAE'!$A$1:$A$105,0),MATCH($E32,'Standard working hours - CAE'!$A$1:$I$1,0))*INDEX('Standard hourly rate'!$A$1:$E$14,MATCH("CAE",'Standard hourly rate'!$A$1:$A$14,0),MATCH($E32,'Standard hourly rate'!$A$1:$E$1,0))),"NA",INDEX('Standard working hours - CAE'!$A$1:$I$105,MATCH($C32,'Standard working hours - CAE'!$A$1:$A$105,0),MATCH($E32,'Standard working hours - CAE'!$A$1:$I$1,0))*INDEX('Standard hourly rate'!$A$1:$E$14,MATCH("CAE",'Standard hourly rate'!$A$1:$A$14,0),MATCH($E32,'Standard hourly rate'!$A$1:$E$1,0))))</f>
        <v>8892</v>
      </c>
      <c r="O32" s="45">
        <f>IF(OR(ISERROR($N32),$N32="",$N32="NA"),0,H32*$N32)*(1+INDEX('For Finance Control'!$B$27:$E$29,3,MATCH('Project information'!$A$4,'For Finance Control'!$B$27:$E$27,0)))</f>
        <v>0</v>
      </c>
      <c r="P32" s="45">
        <f>IF(OR(ISERROR($N32),$N32="",$N32="NA"),0,I32*$N32)*(1+INDEX('For Finance Control'!$B$27:$E$29,3,MATCH('Project information'!$A$4,'For Finance Control'!$B$27:$E$27,0)))</f>
        <v>0</v>
      </c>
      <c r="Q32" s="45">
        <f>IF(OR(ISERROR($N32),$N32="",$N32="NA"),0,J32*$N32)*(1+INDEX('For Finance Control'!$B$27:$E$29,3,MATCH('Project information'!$A$4,'For Finance Control'!$B$27:$E$27,0)))</f>
        <v>0</v>
      </c>
      <c r="R32" s="45">
        <f>IF(OR(ISERROR($N32),$N32="",$N32="NA"),0,K32*$N32)*(1+INDEX('For Finance Control'!$B$27:$E$29,3,MATCH('Project information'!$A$4,'For Finance Control'!$B$27:$E$27,0)))</f>
        <v>0</v>
      </c>
      <c r="S32" s="45">
        <f>IF(OR(ISERROR($N32),$N32="",$N32="NA"),0,L32*$N32)*(1+INDEX('For Finance Control'!$B$27:$E$29,3,MATCH('Project information'!$A$4,'For Finance Control'!$B$27:$E$27,0)))</f>
        <v>0</v>
      </c>
      <c r="T32" s="45">
        <f t="shared" si="52"/>
        <v>0</v>
      </c>
      <c r="U32" s="33" cm="1">
        <f t="array" ref="U32">IF($N32="NA","NA",$N32*INDEX('Exchange rate'!$A$1:$G$7,MATCH('Project information'!$A$13,'Exchange rate'!$A$1:$A$7,0),MATCH(LOOKUP(2,1/({"China";"Korea";"India";"Japan";"EUR";"NAO"}=$E32),{"CNY";"KRW";"INR";"JPY";"EUR";"USD"}),'Exchange rate'!$A$1:$G$1,0)))</f>
        <v>8892</v>
      </c>
      <c r="V32" s="33">
        <f t="shared" si="53"/>
        <v>0</v>
      </c>
      <c r="W32" s="33">
        <f t="shared" si="54"/>
        <v>0</v>
      </c>
      <c r="X32" s="33">
        <f t="shared" si="55"/>
        <v>0</v>
      </c>
      <c r="Y32" s="33">
        <f t="shared" si="56"/>
        <v>0</v>
      </c>
      <c r="Z32" s="33">
        <f t="shared" si="57"/>
        <v>0</v>
      </c>
      <c r="AA32" s="33">
        <f t="shared" si="58"/>
        <v>0</v>
      </c>
      <c r="AB32" s="246"/>
      <c r="AC32" s="247"/>
      <c r="AZ32" s="148" t="str">
        <f t="shared" si="60"/>
        <v>3.7</v>
      </c>
      <c r="BA32" s="149" t="s">
        <v>180</v>
      </c>
    </row>
    <row r="33" spans="1:53" ht="37.5" outlineLevel="1">
      <c r="A33" s="148" t="str">
        <f t="shared" si="59"/>
        <v>3.8</v>
      </c>
      <c r="B33" s="148" t="str">
        <f>INDEX('Standard working hours - CAE'!$A$1:$I$105,MATCH($C33,'Standard working hours - CAE'!$A$1:$A$105,0),MATCH(B$24,'Standard working hours - CAE'!$A$1:$I$1,0))</f>
        <v>LE</v>
      </c>
      <c r="C33" s="149" t="s">
        <v>181</v>
      </c>
      <c r="D33" s="153" t="str">
        <f>INDEX('Standard working hours - CAE'!$A$1:$I$105,MATCH($C33,'Standard working hours - CAE'!$A$1:$A$105,0),MATCH(D$24,'Standard working hours - CAE'!$A$1:$I$1,0))</f>
        <v>Diesel EU6 - Uniformity / Velocity / Hego index / Pressure drop / Temperature</v>
      </c>
      <c r="E33" s="51" t="str">
        <f>IF('Project information'!$A$4="","",'Project information'!$A$4)</f>
        <v>China</v>
      </c>
      <c r="F33" s="149" t="str">
        <f>INDEX('Standard working hours - CAE'!$A$1:$I$105,MATCH($C33,'Standard working hours - CAE'!$A$1:$A$105,0),MATCH(F$24,'Standard working hours - CAE'!$A$1:$I$1,0))</f>
        <v>Faurecia</v>
      </c>
      <c r="G33" s="149" t="str">
        <f>INDEX('Standard working hours - CAE'!$A$1:$I$105,MATCH($C33,'Standard working hours - CAE'!$A$1:$A$105,0),MATCH(G$24,'Standard working hours - CAE'!$A$1:$I$1,0))</f>
        <v>CHD-I-DSE-2820</v>
      </c>
      <c r="H33" s="46"/>
      <c r="I33" s="46"/>
      <c r="J33" s="46"/>
      <c r="K33" s="46"/>
      <c r="L33" s="46"/>
      <c r="M33" s="33">
        <f t="shared" si="51"/>
        <v>0</v>
      </c>
      <c r="N33" s="157">
        <f>IF(E33="","",IF(ISERROR(INDEX('Standard working hours - CAE'!$A$1:$I$105,MATCH($C33,'Standard working hours - CAE'!$A$1:$A$105,0),MATCH($E33,'Standard working hours - CAE'!$A$1:$I$1,0))*INDEX('Standard hourly rate'!$A$1:$E$14,MATCH("CAE",'Standard hourly rate'!$A$1:$A$14,0),MATCH($E33,'Standard hourly rate'!$A$1:$E$1,0))),"NA",INDEX('Standard working hours - CAE'!$A$1:$I$105,MATCH($C33,'Standard working hours - CAE'!$A$1:$A$105,0),MATCH($E33,'Standard working hours - CAE'!$A$1:$I$1,0))*INDEX('Standard hourly rate'!$A$1:$E$14,MATCH("CAE",'Standard hourly rate'!$A$1:$A$14,0),MATCH($E33,'Standard hourly rate'!$A$1:$E$1,0))))</f>
        <v>11856</v>
      </c>
      <c r="O33" s="45">
        <f>IF(OR(ISERROR($N33),$N33="",$N33="NA"),0,H33*$N33)*(1+INDEX('For Finance Control'!$B$27:$E$29,3,MATCH('Project information'!$A$4,'For Finance Control'!$B$27:$E$27,0)))</f>
        <v>0</v>
      </c>
      <c r="P33" s="45">
        <f>IF(OR(ISERROR($N33),$N33="",$N33="NA"),0,I33*$N33)*(1+INDEX('For Finance Control'!$B$27:$E$29,3,MATCH('Project information'!$A$4,'For Finance Control'!$B$27:$E$27,0)))</f>
        <v>0</v>
      </c>
      <c r="Q33" s="45">
        <f>IF(OR(ISERROR($N33),$N33="",$N33="NA"),0,J33*$N33)*(1+INDEX('For Finance Control'!$B$27:$E$29,3,MATCH('Project information'!$A$4,'For Finance Control'!$B$27:$E$27,0)))</f>
        <v>0</v>
      </c>
      <c r="R33" s="45">
        <f>IF(OR(ISERROR($N33),$N33="",$N33="NA"),0,K33*$N33)*(1+INDEX('For Finance Control'!$B$27:$E$29,3,MATCH('Project information'!$A$4,'For Finance Control'!$B$27:$E$27,0)))</f>
        <v>0</v>
      </c>
      <c r="S33" s="45">
        <f>IF(OR(ISERROR($N33),$N33="",$N33="NA"),0,L33*$N33)*(1+INDEX('For Finance Control'!$B$27:$E$29,3,MATCH('Project information'!$A$4,'For Finance Control'!$B$27:$E$27,0)))</f>
        <v>0</v>
      </c>
      <c r="T33" s="45">
        <f t="shared" si="52"/>
        <v>0</v>
      </c>
      <c r="U33" s="33" cm="1">
        <f t="array" ref="U33">IF($N33="NA","NA",$N33*INDEX('Exchange rate'!$A$1:$G$7,MATCH('Project information'!$A$13,'Exchange rate'!$A$1:$A$7,0),MATCH(LOOKUP(2,1/({"China";"Korea";"India";"Japan";"EUR";"NAO"}=$E33),{"CNY";"KRW";"INR";"JPY";"EUR";"USD"}),'Exchange rate'!$A$1:$G$1,0)))</f>
        <v>11856</v>
      </c>
      <c r="V33" s="33">
        <f t="shared" si="53"/>
        <v>0</v>
      </c>
      <c r="W33" s="33">
        <f t="shared" si="54"/>
        <v>0</v>
      </c>
      <c r="X33" s="33">
        <f t="shared" si="55"/>
        <v>0</v>
      </c>
      <c r="Y33" s="33">
        <f t="shared" si="56"/>
        <v>0</v>
      </c>
      <c r="Z33" s="33">
        <f t="shared" si="57"/>
        <v>0</v>
      </c>
      <c r="AA33" s="33">
        <f t="shared" si="58"/>
        <v>0</v>
      </c>
      <c r="AB33" s="246"/>
      <c r="AC33" s="247"/>
      <c r="AZ33" s="148" t="str">
        <f t="shared" si="60"/>
        <v>3.8</v>
      </c>
      <c r="BA33" s="149" t="s">
        <v>180</v>
      </c>
    </row>
    <row r="34" spans="1:53" ht="37.5" outlineLevel="1">
      <c r="A34" s="148" t="str">
        <f t="shared" si="59"/>
        <v>3.9</v>
      </c>
      <c r="B34" s="148" t="str">
        <f>INDEX('Standard working hours - CAE'!$A$1:$I$105,MATCH($C34,'Standard working hours - CAE'!$A$1:$A$105,0),MATCH(B$24,'Standard working hours - CAE'!$A$1:$I$1,0))</f>
        <v>LE</v>
      </c>
      <c r="C34" s="149" t="s">
        <v>182</v>
      </c>
      <c r="D34" s="153" t="str">
        <f>INDEX('Standard working hours - CAE'!$A$1:$I$105,MATCH($C34,'Standard working hours - CAE'!$A$1:$A$105,0),MATCH(D$24,'Standard working hours - CAE'!$A$1:$I$1,0))</f>
        <v>Turbo HE / UCC - Uniformity / Velocity / Hego index / Pressure drop / Temperature</v>
      </c>
      <c r="E34" s="51" t="str">
        <f>IF('Project information'!$A$4="","",'Project information'!$A$4)</f>
        <v>China</v>
      </c>
      <c r="F34" s="149" t="str">
        <f>INDEX('Standard working hours - CAE'!$A$1:$I$105,MATCH($C34,'Standard working hours - CAE'!$A$1:$A$105,0),MATCH(F$24,'Standard working hours - CAE'!$A$1:$I$1,0))</f>
        <v>Faurecia</v>
      </c>
      <c r="G34" s="149" t="str">
        <f>INDEX('Standard working hours - CAE'!$A$1:$I$105,MATCH($C34,'Standard working hours - CAE'!$A$1:$A$105,0),MATCH(G$24,'Standard working hours - CAE'!$A$1:$I$1,0))</f>
        <v>CHD-I-DSE-2820</v>
      </c>
      <c r="H34" s="46"/>
      <c r="I34" s="46"/>
      <c r="J34" s="46"/>
      <c r="K34" s="46"/>
      <c r="L34" s="46"/>
      <c r="M34" s="33">
        <f t="shared" si="51"/>
        <v>0</v>
      </c>
      <c r="N34" s="157">
        <f>IF(E34="","",IF(ISERROR(INDEX('Standard working hours - CAE'!$A$1:$I$105,MATCH($C34,'Standard working hours - CAE'!$A$1:$A$105,0),MATCH($E34,'Standard working hours - CAE'!$A$1:$I$1,0))*INDEX('Standard hourly rate'!$A$1:$E$14,MATCH("CAE",'Standard hourly rate'!$A$1:$A$14,0),MATCH($E34,'Standard hourly rate'!$A$1:$E$1,0))),"NA",INDEX('Standard working hours - CAE'!$A$1:$I$105,MATCH($C34,'Standard working hours - CAE'!$A$1:$A$105,0),MATCH($E34,'Standard working hours - CAE'!$A$1:$I$1,0))*INDEX('Standard hourly rate'!$A$1:$E$14,MATCH("CAE",'Standard hourly rate'!$A$1:$A$14,0),MATCH($E34,'Standard hourly rate'!$A$1:$E$1,0))))</f>
        <v>9880</v>
      </c>
      <c r="O34" s="45">
        <f>IF(OR(ISERROR($N34),$N34="",$N34="NA"),0,H34*$N34)*(1+INDEX('For Finance Control'!$B$27:$E$29,3,MATCH('Project information'!$A$4,'For Finance Control'!$B$27:$E$27,0)))</f>
        <v>0</v>
      </c>
      <c r="P34" s="45">
        <f>IF(OR(ISERROR($N34),$N34="",$N34="NA"),0,I34*$N34)*(1+INDEX('For Finance Control'!$B$27:$E$29,3,MATCH('Project information'!$A$4,'For Finance Control'!$B$27:$E$27,0)))</f>
        <v>0</v>
      </c>
      <c r="Q34" s="45">
        <f>IF(OR(ISERROR($N34),$N34="",$N34="NA"),0,J34*$N34)*(1+INDEX('For Finance Control'!$B$27:$E$29,3,MATCH('Project information'!$A$4,'For Finance Control'!$B$27:$E$27,0)))</f>
        <v>0</v>
      </c>
      <c r="R34" s="45">
        <f>IF(OR(ISERROR($N34),$N34="",$N34="NA"),0,K34*$N34)*(1+INDEX('For Finance Control'!$B$27:$E$29,3,MATCH('Project information'!$A$4,'For Finance Control'!$B$27:$E$27,0)))</f>
        <v>0</v>
      </c>
      <c r="S34" s="45">
        <f>IF(OR(ISERROR($N34),$N34="",$N34="NA"),0,L34*$N34)*(1+INDEX('For Finance Control'!$B$27:$E$29,3,MATCH('Project information'!$A$4,'For Finance Control'!$B$27:$E$27,0)))</f>
        <v>0</v>
      </c>
      <c r="T34" s="45">
        <f t="shared" si="52"/>
        <v>0</v>
      </c>
      <c r="U34" s="33" cm="1">
        <f t="array" ref="U34">IF($N34="NA","NA",$N34*INDEX('Exchange rate'!$A$1:$G$7,MATCH('Project information'!$A$13,'Exchange rate'!$A$1:$A$7,0),MATCH(LOOKUP(2,1/({"China";"Korea";"India";"Japan";"EUR";"NAO"}=$E34),{"CNY";"KRW";"INR";"JPY";"EUR";"USD"}),'Exchange rate'!$A$1:$G$1,0)))</f>
        <v>9880</v>
      </c>
      <c r="V34" s="33">
        <f t="shared" si="53"/>
        <v>0</v>
      </c>
      <c r="W34" s="33">
        <f t="shared" si="54"/>
        <v>0</v>
      </c>
      <c r="X34" s="33">
        <f t="shared" si="55"/>
        <v>0</v>
      </c>
      <c r="Y34" s="33">
        <f t="shared" si="56"/>
        <v>0</v>
      </c>
      <c r="Z34" s="33">
        <f t="shared" si="57"/>
        <v>0</v>
      </c>
      <c r="AA34" s="33">
        <f t="shared" si="58"/>
        <v>0</v>
      </c>
      <c r="AB34" s="246"/>
      <c r="AC34" s="247"/>
      <c r="AZ34" s="148" t="str">
        <f t="shared" si="60"/>
        <v>3.9</v>
      </c>
      <c r="BA34" s="149" t="s">
        <v>180</v>
      </c>
    </row>
    <row r="35" spans="1:53" ht="25" outlineLevel="1">
      <c r="A35" s="148" t="str">
        <f t="shared" si="59"/>
        <v>3.10</v>
      </c>
      <c r="B35" s="148" t="str">
        <f>INDEX('Standard working hours - CAE'!$A$1:$I$105,MATCH($C35,'Standard working hours - CAE'!$A$1:$A$105,0),MATCH(B$24,'Standard working hours - CAE'!$A$1:$I$1,0))</f>
        <v>LE</v>
      </c>
      <c r="C35" s="149" t="s">
        <v>183</v>
      </c>
      <c r="D35" s="153" t="str">
        <f>INDEX('Standard working hours - CAE'!$A$1:$I$105,MATCH($C35,'Standard working hours - CAE'!$A$1:$A$105,0),MATCH(D$24,'Standard working hours - CAE'!$A$1:$I$1,0))</f>
        <v>Hot end - Mat surface velocity calculation based on 3.7 or 3.8 or 3.9</v>
      </c>
      <c r="E35" s="51" t="str">
        <f>IF('Project information'!$A$4="","",'Project information'!$A$4)</f>
        <v>China</v>
      </c>
      <c r="F35" s="149" t="str">
        <f>INDEX('Standard working hours - CAE'!$A$1:$I$105,MATCH($C35,'Standard working hours - CAE'!$A$1:$A$105,0),MATCH(F$24,'Standard working hours - CAE'!$A$1:$I$1,0))</f>
        <v>Faurecia</v>
      </c>
      <c r="G35" s="149" t="str">
        <f>INDEX('Standard working hours - CAE'!$A$1:$I$105,MATCH($C35,'Standard working hours - CAE'!$A$1:$A$105,0),MATCH(G$24,'Standard working hours - CAE'!$A$1:$I$1,0))</f>
        <v>CHD-I-DSE-2820</v>
      </c>
      <c r="H35" s="46"/>
      <c r="I35" s="46"/>
      <c r="J35" s="46"/>
      <c r="K35" s="46"/>
      <c r="L35" s="46"/>
      <c r="M35" s="33">
        <f t="shared" si="51"/>
        <v>0</v>
      </c>
      <c r="N35" s="157">
        <f>IF(E35="","",IF(ISERROR(INDEX('Standard working hours - CAE'!$A$1:$I$105,MATCH($C35,'Standard working hours - CAE'!$A$1:$A$105,0),MATCH($E35,'Standard working hours - CAE'!$A$1:$I$1,0))*INDEX('Standard hourly rate'!$A$1:$E$14,MATCH("CAE",'Standard hourly rate'!$A$1:$A$14,0),MATCH($E35,'Standard hourly rate'!$A$1:$E$1,0))),"NA",INDEX('Standard working hours - CAE'!$A$1:$I$105,MATCH($C35,'Standard working hours - CAE'!$A$1:$A$105,0),MATCH($E35,'Standard working hours - CAE'!$A$1:$I$1,0))*INDEX('Standard hourly rate'!$A$1:$E$14,MATCH("CAE",'Standard hourly rate'!$A$1:$A$14,0),MATCH($E35,'Standard hourly rate'!$A$1:$E$1,0))))</f>
        <v>1976</v>
      </c>
      <c r="O35" s="45">
        <f>IF(OR(ISERROR($N35),$N35="",$N35="NA"),0,H35*$N35)*(1+INDEX('For Finance Control'!$B$27:$E$29,3,MATCH('Project information'!$A$4,'For Finance Control'!$B$27:$E$27,0)))</f>
        <v>0</v>
      </c>
      <c r="P35" s="45">
        <f>IF(OR(ISERROR($N35),$N35="",$N35="NA"),0,I35*$N35)*(1+INDEX('For Finance Control'!$B$27:$E$29,3,MATCH('Project information'!$A$4,'For Finance Control'!$B$27:$E$27,0)))</f>
        <v>0</v>
      </c>
      <c r="Q35" s="45">
        <f>IF(OR(ISERROR($N35),$N35="",$N35="NA"),0,J35*$N35)*(1+INDEX('For Finance Control'!$B$27:$E$29,3,MATCH('Project information'!$A$4,'For Finance Control'!$B$27:$E$27,0)))</f>
        <v>0</v>
      </c>
      <c r="R35" s="45">
        <f>IF(OR(ISERROR($N35),$N35="",$N35="NA"),0,K35*$N35)*(1+INDEX('For Finance Control'!$B$27:$E$29,3,MATCH('Project information'!$A$4,'For Finance Control'!$B$27:$E$27,0)))</f>
        <v>0</v>
      </c>
      <c r="S35" s="45">
        <f>IF(OR(ISERROR($N35),$N35="",$N35="NA"),0,L35*$N35)*(1+INDEX('For Finance Control'!$B$27:$E$29,3,MATCH('Project information'!$A$4,'For Finance Control'!$B$27:$E$27,0)))</f>
        <v>0</v>
      </c>
      <c r="T35" s="45">
        <f t="shared" si="52"/>
        <v>0</v>
      </c>
      <c r="U35" s="33" cm="1">
        <f t="array" ref="U35">IF($N35="NA","NA",$N35*INDEX('Exchange rate'!$A$1:$G$7,MATCH('Project information'!$A$13,'Exchange rate'!$A$1:$A$7,0),MATCH(LOOKUP(2,1/({"China";"Korea";"India";"Japan";"EUR";"NAO"}=$E35),{"CNY";"KRW";"INR";"JPY";"EUR";"USD"}),'Exchange rate'!$A$1:$G$1,0)))</f>
        <v>1976</v>
      </c>
      <c r="V35" s="33">
        <f t="shared" si="53"/>
        <v>0</v>
      </c>
      <c r="W35" s="33">
        <f t="shared" si="54"/>
        <v>0</v>
      </c>
      <c r="X35" s="33">
        <f t="shared" si="55"/>
        <v>0</v>
      </c>
      <c r="Y35" s="33">
        <f t="shared" si="56"/>
        <v>0</v>
      </c>
      <c r="Z35" s="33">
        <f t="shared" si="57"/>
        <v>0</v>
      </c>
      <c r="AA35" s="33">
        <f t="shared" si="58"/>
        <v>0</v>
      </c>
      <c r="AB35" s="246"/>
      <c r="AC35" s="247"/>
      <c r="AZ35" s="148" t="str">
        <f t="shared" si="60"/>
        <v>3.10</v>
      </c>
      <c r="BA35" s="149" t="s">
        <v>180</v>
      </c>
    </row>
    <row r="36" spans="1:53" ht="25" outlineLevel="1">
      <c r="A36" s="148" t="str">
        <f t="shared" si="59"/>
        <v>3.11</v>
      </c>
      <c r="B36" s="148" t="str">
        <f>INDEX('Standard working hours - CAE'!$A$1:$I$105,MATCH($C36,'Standard working hours - CAE'!$A$1:$A$105,0),MATCH(B$24,'Standard working hours - CAE'!$A$1:$I$1,0))</f>
        <v>LE</v>
      </c>
      <c r="C36" s="149" t="s">
        <v>184</v>
      </c>
      <c r="D36" s="153" t="str">
        <f>INDEX('Standard working hours - CAE'!$A$1:$I$105,MATCH($C36,'Standard working hours - CAE'!$A$1:$A$105,0),MATCH(D$24,'Standard working hours - CAE'!$A$1:$I$1,0))</f>
        <v>Hot end - Gamma / Velocity / Pressure drop</v>
      </c>
      <c r="E36" s="51" t="str">
        <f>IF('Project information'!$A$4="","",'Project information'!$A$4)</f>
        <v>China</v>
      </c>
      <c r="F36" s="149" t="str">
        <f>INDEX('Standard working hours - CAE'!$A$1:$I$105,MATCH($C36,'Standard working hours - CAE'!$A$1:$A$105,0),MATCH(F$24,'Standard working hours - CAE'!$A$1:$I$1,0))</f>
        <v>Ford</v>
      </c>
      <c r="G36" s="149" t="str">
        <f>INDEX('Standard working hours - CAE'!$A$1:$I$105,MATCH($C36,'Standard working hours - CAE'!$A$1:$A$105,0),MATCH(G$24,'Standard working hours - CAE'!$A$1:$I$1,0))</f>
        <v>CETP 03.01-C-410 
CETP 03.01-C-415</v>
      </c>
      <c r="H36" s="46"/>
      <c r="I36" s="46"/>
      <c r="J36" s="46"/>
      <c r="K36" s="46"/>
      <c r="L36" s="46"/>
      <c r="M36" s="33">
        <f t="shared" si="51"/>
        <v>0</v>
      </c>
      <c r="N36" s="157">
        <f>IF(E36="","",IF(ISERROR(INDEX('Standard working hours - CAE'!$A$1:$I$105,MATCH($C36,'Standard working hours - CAE'!$A$1:$A$105,0),MATCH($E36,'Standard working hours - CAE'!$A$1:$I$1,0))*INDEX('Standard hourly rate'!$A$1:$E$14,MATCH("CAE",'Standard hourly rate'!$A$1:$A$14,0),MATCH($E36,'Standard hourly rate'!$A$1:$E$1,0))),"NA",INDEX('Standard working hours - CAE'!$A$1:$I$105,MATCH($C36,'Standard working hours - CAE'!$A$1:$A$105,0),MATCH($E36,'Standard working hours - CAE'!$A$1:$I$1,0))*INDEX('Standard hourly rate'!$A$1:$E$14,MATCH("CAE",'Standard hourly rate'!$A$1:$A$14,0),MATCH($E36,'Standard hourly rate'!$A$1:$E$1,0))))</f>
        <v>11856</v>
      </c>
      <c r="O36" s="45">
        <f>IF(OR(ISERROR($N36),$N36="",$N36="NA"),0,H36*$N36)*(1+INDEX('For Finance Control'!$B$27:$E$29,3,MATCH('Project information'!$A$4,'For Finance Control'!$B$27:$E$27,0)))</f>
        <v>0</v>
      </c>
      <c r="P36" s="45">
        <f>IF(OR(ISERROR($N36),$N36="",$N36="NA"),0,I36*$N36)*(1+INDEX('For Finance Control'!$B$27:$E$29,3,MATCH('Project information'!$A$4,'For Finance Control'!$B$27:$E$27,0)))</f>
        <v>0</v>
      </c>
      <c r="Q36" s="45">
        <f>IF(OR(ISERROR($N36),$N36="",$N36="NA"),0,J36*$N36)*(1+INDEX('For Finance Control'!$B$27:$E$29,3,MATCH('Project information'!$A$4,'For Finance Control'!$B$27:$E$27,0)))</f>
        <v>0</v>
      </c>
      <c r="R36" s="45">
        <f>IF(OR(ISERROR($N36),$N36="",$N36="NA"),0,K36*$N36)*(1+INDEX('For Finance Control'!$B$27:$E$29,3,MATCH('Project information'!$A$4,'For Finance Control'!$B$27:$E$27,0)))</f>
        <v>0</v>
      </c>
      <c r="S36" s="45">
        <f>IF(OR(ISERROR($N36),$N36="",$N36="NA"),0,L36*$N36)*(1+INDEX('For Finance Control'!$B$27:$E$29,3,MATCH('Project information'!$A$4,'For Finance Control'!$B$27:$E$27,0)))</f>
        <v>0</v>
      </c>
      <c r="T36" s="45">
        <f t="shared" si="52"/>
        <v>0</v>
      </c>
      <c r="U36" s="33" cm="1">
        <f t="array" ref="U36">IF($N36="NA","NA",$N36*INDEX('Exchange rate'!$A$1:$G$7,MATCH('Project information'!$A$13,'Exchange rate'!$A$1:$A$7,0),MATCH(LOOKUP(2,1/({"China";"Korea";"India";"Japan";"EUR";"NAO"}=$E36),{"CNY";"KRW";"INR";"JPY";"EUR";"USD"}),'Exchange rate'!$A$1:$G$1,0)))</f>
        <v>11856</v>
      </c>
      <c r="V36" s="33">
        <f t="shared" si="53"/>
        <v>0</v>
      </c>
      <c r="W36" s="33">
        <f t="shared" si="54"/>
        <v>0</v>
      </c>
      <c r="X36" s="33">
        <f t="shared" si="55"/>
        <v>0</v>
      </c>
      <c r="Y36" s="33">
        <f t="shared" si="56"/>
        <v>0</v>
      </c>
      <c r="Z36" s="33">
        <f t="shared" si="57"/>
        <v>0</v>
      </c>
      <c r="AA36" s="33">
        <f t="shared" si="58"/>
        <v>0</v>
      </c>
      <c r="AB36" s="246"/>
      <c r="AC36" s="247"/>
      <c r="AZ36" s="148" t="str">
        <f t="shared" si="60"/>
        <v>3.11</v>
      </c>
      <c r="BA36" s="149" t="s">
        <v>185</v>
      </c>
    </row>
    <row r="37" spans="1:53" ht="37.5" outlineLevel="1">
      <c r="A37" s="148" t="str">
        <f t="shared" si="59"/>
        <v>3.12</v>
      </c>
      <c r="B37" s="148" t="str">
        <f>INDEX('Standard working hours - CAE'!$A$1:$I$105,MATCH($C37,'Standard working hours - CAE'!$A$1:$A$105,0),MATCH(B$24,'Standard working hours - CAE'!$A$1:$I$1,0))</f>
        <v>CVI</v>
      </c>
      <c r="C37" s="149" t="s">
        <v>186</v>
      </c>
      <c r="D37" s="153" t="str">
        <f>INDEX('Standard working hours - CAE'!$A$1:$I$105,MATCH($C37,'Standard working hours - CAE'!$A$1:$A$105,0),MATCH(D$24,'Standard working hours - CAE'!$A$1:$I$1,0))</f>
        <v>CFD - Uniformity / Velocity / Pressure drop / Temperature - without compact mixer</v>
      </c>
      <c r="E37" s="51" t="str">
        <f>IF('Project information'!$A$4="","",'Project information'!$A$4)</f>
        <v>China</v>
      </c>
      <c r="F37" s="149" t="str">
        <f>INDEX('Standard working hours - CAE'!$A$1:$I$105,MATCH($C37,'Standard working hours - CAE'!$A$1:$A$105,0),MATCH(F$24,'Standard working hours - CAE'!$A$1:$I$1,0))</f>
        <v>Faurecia</v>
      </c>
      <c r="G37" s="149" t="str">
        <f>INDEX('Standard working hours - CAE'!$A$1:$I$105,MATCH($C37,'Standard working hours - CAE'!$A$1:$A$105,0),MATCH(G$24,'Standard working hours - CAE'!$A$1:$I$1,0))</f>
        <v>FSE-I-DSE-L036
FSE-I-DSE-L040</v>
      </c>
      <c r="H37" s="46"/>
      <c r="I37" s="46"/>
      <c r="J37" s="46"/>
      <c r="K37" s="46"/>
      <c r="L37" s="46"/>
      <c r="M37" s="33">
        <f t="shared" si="51"/>
        <v>0</v>
      </c>
      <c r="N37" s="157">
        <f>IF(E37="","",IF(ISERROR(INDEX('Standard working hours - CAE'!$A$1:$I$105,MATCH($C37,'Standard working hours - CAE'!$A$1:$A$105,0),MATCH($E37,'Standard working hours - CAE'!$A$1:$I$1,0))*INDEX('Standard hourly rate'!$A$1:$E$14,MATCH("CAE",'Standard hourly rate'!$A$1:$A$14,0),MATCH($E37,'Standard hourly rate'!$A$1:$E$1,0))),"NA",INDEX('Standard working hours - CAE'!$A$1:$I$105,MATCH($C37,'Standard working hours - CAE'!$A$1:$A$105,0),MATCH($E37,'Standard working hours - CAE'!$A$1:$I$1,0))*INDEX('Standard hourly rate'!$A$1:$E$14,MATCH("CAE",'Standard hourly rate'!$A$1:$A$14,0),MATCH($E37,'Standard hourly rate'!$A$1:$E$1,0))))</f>
        <v>11856</v>
      </c>
      <c r="O37" s="45">
        <f>IF(OR(ISERROR($N37),$N37="",$N37="NA"),0,H37*$N37)*(1+INDEX('For Finance Control'!$B$27:$E$29,3,MATCH('Project information'!$A$4,'For Finance Control'!$B$27:$E$27,0)))</f>
        <v>0</v>
      </c>
      <c r="P37" s="45">
        <f>IF(OR(ISERROR($N37),$N37="",$N37="NA"),0,I37*$N37)*(1+INDEX('For Finance Control'!$B$27:$E$29,3,MATCH('Project information'!$A$4,'For Finance Control'!$B$27:$E$27,0)))</f>
        <v>0</v>
      </c>
      <c r="Q37" s="45">
        <f>IF(OR(ISERROR($N37),$N37="",$N37="NA"),0,J37*$N37)*(1+INDEX('For Finance Control'!$B$27:$E$29,3,MATCH('Project information'!$A$4,'For Finance Control'!$B$27:$E$27,0)))</f>
        <v>0</v>
      </c>
      <c r="R37" s="45">
        <f>IF(OR(ISERROR($N37),$N37="",$N37="NA"),0,K37*$N37)*(1+INDEX('For Finance Control'!$B$27:$E$29,3,MATCH('Project information'!$A$4,'For Finance Control'!$B$27:$E$27,0)))</f>
        <v>0</v>
      </c>
      <c r="S37" s="45">
        <f>IF(OR(ISERROR($N37),$N37="",$N37="NA"),0,L37*$N37)*(1+INDEX('For Finance Control'!$B$27:$E$29,3,MATCH('Project information'!$A$4,'For Finance Control'!$B$27:$E$27,0)))</f>
        <v>0</v>
      </c>
      <c r="T37" s="45">
        <f t="shared" si="52"/>
        <v>0</v>
      </c>
      <c r="U37" s="33" cm="1">
        <f t="array" ref="U37">IF($N37="NA","NA",$N37*INDEX('Exchange rate'!$A$1:$G$7,MATCH('Project information'!$A$13,'Exchange rate'!$A$1:$A$7,0),MATCH(LOOKUP(2,1/({"China";"Korea";"India";"Japan";"EUR";"NAO"}=$E37),{"CNY";"KRW";"INR";"JPY";"EUR";"USD"}),'Exchange rate'!$A$1:$G$1,0)))</f>
        <v>11856</v>
      </c>
      <c r="V37" s="33">
        <f t="shared" si="53"/>
        <v>0</v>
      </c>
      <c r="W37" s="33">
        <f t="shared" si="54"/>
        <v>0</v>
      </c>
      <c r="X37" s="33">
        <f t="shared" si="55"/>
        <v>0</v>
      </c>
      <c r="Y37" s="33">
        <f t="shared" si="56"/>
        <v>0</v>
      </c>
      <c r="Z37" s="33">
        <f t="shared" si="57"/>
        <v>0</v>
      </c>
      <c r="AA37" s="33">
        <f t="shared" si="58"/>
        <v>0</v>
      </c>
      <c r="AB37" s="246"/>
      <c r="AC37" s="247"/>
      <c r="AZ37" s="148" t="str">
        <f t="shared" si="60"/>
        <v>3.12</v>
      </c>
      <c r="BA37" s="149" t="s">
        <v>187</v>
      </c>
    </row>
    <row r="38" spans="1:53" ht="37.5" outlineLevel="1">
      <c r="A38" s="148" t="str">
        <f t="shared" si="59"/>
        <v>3.13</v>
      </c>
      <c r="B38" s="148" t="str">
        <f>INDEX('Standard working hours - CAE'!$A$1:$I$105,MATCH($C38,'Standard working hours - CAE'!$A$1:$A$105,0),MATCH(B$24,'Standard working hours - CAE'!$A$1:$I$1,0))</f>
        <v>Common</v>
      </c>
      <c r="C38" s="149" t="s">
        <v>188</v>
      </c>
      <c r="D38" s="153" t="str">
        <f>INDEX('Standard working hours - CAE'!$A$1:$I$105,MATCH($C38,'Standard working hours - CAE'!$A$1:$A$105,0),MATCH(D$24,'Standard working hours - CAE'!$A$1:$I$1,0))</f>
        <v>NH3 injection simulation based on 3.12 prerequisite - without compact mixer (3 EOP)</v>
      </c>
      <c r="E38" s="51" t="str">
        <f>IF('Project information'!$A$4="","",'Project information'!$A$4)</f>
        <v>China</v>
      </c>
      <c r="F38" s="149" t="str">
        <f>INDEX('Standard working hours - CAE'!$A$1:$I$105,MATCH($C38,'Standard working hours - CAE'!$A$1:$A$105,0),MATCH(F$24,'Standard working hours - CAE'!$A$1:$I$1,0))</f>
        <v>Faurecia</v>
      </c>
      <c r="G38" s="149" t="str">
        <f>INDEX('Standard working hours - CAE'!$A$1:$I$105,MATCH($C38,'Standard working hours - CAE'!$A$1:$A$105,0),MATCH(G$24,'Standard working hours - CAE'!$A$1:$I$1,0))</f>
        <v>FSE-I-DSE-L036
FSE-I-DSE-L039</v>
      </c>
      <c r="H38" s="46"/>
      <c r="I38" s="46"/>
      <c r="J38" s="46"/>
      <c r="K38" s="46"/>
      <c r="L38" s="46"/>
      <c r="M38" s="33">
        <f t="shared" si="51"/>
        <v>0</v>
      </c>
      <c r="N38" s="157">
        <f>IF(E38="","",IF(ISERROR(INDEX('Standard working hours - CAE'!$A$1:$I$105,MATCH($C38,'Standard working hours - CAE'!$A$1:$A$105,0),MATCH($E38,'Standard working hours - CAE'!$A$1:$I$1,0))*INDEX('Standard hourly rate'!$A$1:$E$14,MATCH("CAE",'Standard hourly rate'!$A$1:$A$14,0),MATCH($E38,'Standard hourly rate'!$A$1:$E$1,0))),"NA",INDEX('Standard working hours - CAE'!$A$1:$I$105,MATCH($C38,'Standard working hours - CAE'!$A$1:$A$105,0),MATCH($E38,'Standard working hours - CAE'!$A$1:$I$1,0))*INDEX('Standard hourly rate'!$A$1:$E$14,MATCH("CAE",'Standard hourly rate'!$A$1:$A$14,0),MATCH($E38,'Standard hourly rate'!$A$1:$E$1,0))))</f>
        <v>19760</v>
      </c>
      <c r="O38" s="45">
        <f>IF(OR(ISERROR($N38),$N38="",$N38="NA"),0,H38*$N38)*(1+INDEX('For Finance Control'!$B$27:$E$29,3,MATCH('Project information'!$A$4,'For Finance Control'!$B$27:$E$27,0)))</f>
        <v>0</v>
      </c>
      <c r="P38" s="45">
        <f>IF(OR(ISERROR($N38),$N38="",$N38="NA"),0,I38*$N38)*(1+INDEX('For Finance Control'!$B$27:$E$29,3,MATCH('Project information'!$A$4,'For Finance Control'!$B$27:$E$27,0)))</f>
        <v>0</v>
      </c>
      <c r="Q38" s="45">
        <f>IF(OR(ISERROR($N38),$N38="",$N38="NA"),0,J38*$N38)*(1+INDEX('For Finance Control'!$B$27:$E$29,3,MATCH('Project information'!$A$4,'For Finance Control'!$B$27:$E$27,0)))</f>
        <v>0</v>
      </c>
      <c r="R38" s="45">
        <f>IF(OR(ISERROR($N38),$N38="",$N38="NA"),0,K38*$N38)*(1+INDEX('For Finance Control'!$B$27:$E$29,3,MATCH('Project information'!$A$4,'For Finance Control'!$B$27:$E$27,0)))</f>
        <v>0</v>
      </c>
      <c r="S38" s="45">
        <f>IF(OR(ISERROR($N38),$N38="",$N38="NA"),0,L38*$N38)*(1+INDEX('For Finance Control'!$B$27:$E$29,3,MATCH('Project information'!$A$4,'For Finance Control'!$B$27:$E$27,0)))</f>
        <v>0</v>
      </c>
      <c r="T38" s="45">
        <f t="shared" si="52"/>
        <v>0</v>
      </c>
      <c r="U38" s="33" cm="1">
        <f t="array" ref="U38">IF($N38="NA","NA",$N38*INDEX('Exchange rate'!$A$1:$G$7,MATCH('Project information'!$A$13,'Exchange rate'!$A$1:$A$7,0),MATCH(LOOKUP(2,1/({"China";"Korea";"India";"Japan";"EUR";"NAO"}=$E38),{"CNY";"KRW";"INR";"JPY";"EUR";"USD"}),'Exchange rate'!$A$1:$G$1,0)))</f>
        <v>19760</v>
      </c>
      <c r="V38" s="33">
        <f t="shared" si="53"/>
        <v>0</v>
      </c>
      <c r="W38" s="33">
        <f t="shared" si="54"/>
        <v>0</v>
      </c>
      <c r="X38" s="33">
        <f t="shared" si="55"/>
        <v>0</v>
      </c>
      <c r="Y38" s="33">
        <f t="shared" si="56"/>
        <v>0</v>
      </c>
      <c r="Z38" s="33">
        <f t="shared" si="57"/>
        <v>0</v>
      </c>
      <c r="AA38" s="33">
        <f t="shared" si="58"/>
        <v>0</v>
      </c>
      <c r="AB38" s="246"/>
      <c r="AC38" s="247"/>
      <c r="AZ38" s="148" t="str">
        <f t="shared" si="60"/>
        <v>3.13</v>
      </c>
      <c r="BA38" s="149" t="s">
        <v>189</v>
      </c>
    </row>
    <row r="39" spans="1:53" ht="37.5" outlineLevel="1">
      <c r="A39" s="148" t="str">
        <f t="shared" si="59"/>
        <v>3.14</v>
      </c>
      <c r="B39" s="148" t="str">
        <f>INDEX('Standard working hours - CAE'!$A$1:$I$105,MATCH($C39,'Standard working hours - CAE'!$A$1:$A$105,0),MATCH(B$24,'Standard working hours - CAE'!$A$1:$I$1,0))</f>
        <v>CVI</v>
      </c>
      <c r="C39" s="149" t="s">
        <v>190</v>
      </c>
      <c r="D39" s="153" t="str">
        <f>INDEX('Standard working hours - CAE'!$A$1:$I$105,MATCH($C39,'Standard working hours - CAE'!$A$1:$A$105,0),MATCH(D$24,'Standard working hours - CAE'!$A$1:$I$1,0))</f>
        <v>CFD - Uniformity / Velocity / Pressure drop / Temperature - with compact mixer</v>
      </c>
      <c r="E39" s="51" t="str">
        <f>IF('Project information'!$A$4="","",'Project information'!$A$4)</f>
        <v>China</v>
      </c>
      <c r="F39" s="149" t="str">
        <f>INDEX('Standard working hours - CAE'!$A$1:$I$105,MATCH($C39,'Standard working hours - CAE'!$A$1:$A$105,0),MATCH(F$24,'Standard working hours - CAE'!$A$1:$I$1,0))</f>
        <v>Faurecia</v>
      </c>
      <c r="G39" s="149" t="str">
        <f>INDEX('Standard working hours - CAE'!$A$1:$I$105,MATCH($C39,'Standard working hours - CAE'!$A$1:$A$105,0),MATCH(G$24,'Standard working hours - CAE'!$A$1:$I$1,0))</f>
        <v>FSE-I-DSE-L036
FSE-I-DSE-L040</v>
      </c>
      <c r="H39" s="46"/>
      <c r="I39" s="46"/>
      <c r="J39" s="46"/>
      <c r="K39" s="46"/>
      <c r="L39" s="46"/>
      <c r="M39" s="33">
        <f t="shared" si="51"/>
        <v>0</v>
      </c>
      <c r="N39" s="157">
        <f>IF(E39="","",IF(ISERROR(INDEX('Standard working hours - CAE'!$A$1:$I$105,MATCH($C39,'Standard working hours - CAE'!$A$1:$A$105,0),MATCH($E39,'Standard working hours - CAE'!$A$1:$I$1,0))*INDEX('Standard hourly rate'!$A$1:$E$14,MATCH("CAE",'Standard hourly rate'!$A$1:$A$14,0),MATCH($E39,'Standard hourly rate'!$A$1:$E$1,0))),"NA",INDEX('Standard working hours - CAE'!$A$1:$I$105,MATCH($C39,'Standard working hours - CAE'!$A$1:$A$105,0),MATCH($E39,'Standard working hours - CAE'!$A$1:$I$1,0))*INDEX('Standard hourly rate'!$A$1:$E$14,MATCH("CAE",'Standard hourly rate'!$A$1:$A$14,0),MATCH($E39,'Standard hourly rate'!$A$1:$E$1,0))))</f>
        <v>13832</v>
      </c>
      <c r="O39" s="45">
        <f>IF(OR(ISERROR($N39),$N39="",$N39="NA"),0,H39*$N39)*(1+INDEX('For Finance Control'!$B$27:$E$29,3,MATCH('Project information'!$A$4,'For Finance Control'!$B$27:$E$27,0)))</f>
        <v>0</v>
      </c>
      <c r="P39" s="45">
        <f>IF(OR(ISERROR($N39),$N39="",$N39="NA"),0,I39*$N39)*(1+INDEX('For Finance Control'!$B$27:$E$29,3,MATCH('Project information'!$A$4,'For Finance Control'!$B$27:$E$27,0)))</f>
        <v>0</v>
      </c>
      <c r="Q39" s="45">
        <f>IF(OR(ISERROR($N39),$N39="",$N39="NA"),0,J39*$N39)*(1+INDEX('For Finance Control'!$B$27:$E$29,3,MATCH('Project information'!$A$4,'For Finance Control'!$B$27:$E$27,0)))</f>
        <v>0</v>
      </c>
      <c r="R39" s="45">
        <f>IF(OR(ISERROR($N39),$N39="",$N39="NA"),0,K39*$N39)*(1+INDEX('For Finance Control'!$B$27:$E$29,3,MATCH('Project information'!$A$4,'For Finance Control'!$B$27:$E$27,0)))</f>
        <v>0</v>
      </c>
      <c r="S39" s="45">
        <f>IF(OR(ISERROR($N39),$N39="",$N39="NA"),0,L39*$N39)*(1+INDEX('For Finance Control'!$B$27:$E$29,3,MATCH('Project information'!$A$4,'For Finance Control'!$B$27:$E$27,0)))</f>
        <v>0</v>
      </c>
      <c r="T39" s="45">
        <f t="shared" si="52"/>
        <v>0</v>
      </c>
      <c r="U39" s="33" cm="1">
        <f t="array" ref="U39">IF($N39="NA","NA",$N39*INDEX('Exchange rate'!$A$1:$G$7,MATCH('Project information'!$A$13,'Exchange rate'!$A$1:$A$7,0),MATCH(LOOKUP(2,1/({"China";"Korea";"India";"Japan";"EUR";"NAO"}=$E39),{"CNY";"KRW";"INR";"JPY";"EUR";"USD"}),'Exchange rate'!$A$1:$G$1,0)))</f>
        <v>13832</v>
      </c>
      <c r="V39" s="33">
        <f t="shared" si="53"/>
        <v>0</v>
      </c>
      <c r="W39" s="33">
        <f t="shared" si="54"/>
        <v>0</v>
      </c>
      <c r="X39" s="33">
        <f t="shared" si="55"/>
        <v>0</v>
      </c>
      <c r="Y39" s="33">
        <f t="shared" si="56"/>
        <v>0</v>
      </c>
      <c r="Z39" s="33">
        <f t="shared" si="57"/>
        <v>0</v>
      </c>
      <c r="AA39" s="33">
        <f t="shared" si="58"/>
        <v>0</v>
      </c>
      <c r="AB39" s="246"/>
      <c r="AC39" s="247"/>
      <c r="AZ39" s="148" t="str">
        <f t="shared" si="60"/>
        <v>3.14</v>
      </c>
      <c r="BA39" s="149" t="s">
        <v>187</v>
      </c>
    </row>
    <row r="40" spans="1:53" ht="37.5" outlineLevel="1">
      <c r="A40" s="148" t="str">
        <f t="shared" si="59"/>
        <v>3.15</v>
      </c>
      <c r="B40" s="148" t="str">
        <f>INDEX('Standard working hours - CAE'!$A$1:$I$105,MATCH($C40,'Standard working hours - CAE'!$A$1:$A$105,0),MATCH(B$24,'Standard working hours - CAE'!$A$1:$I$1,0))</f>
        <v>Common</v>
      </c>
      <c r="C40" s="149" t="s">
        <v>191</v>
      </c>
      <c r="D40" s="153" t="str">
        <f>INDEX('Standard working hours - CAE'!$A$1:$I$105,MATCH($C40,'Standard working hours - CAE'!$A$1:$A$105,0),MATCH(D$24,'Standard working hours - CAE'!$A$1:$I$1,0))</f>
        <v>NH3 injection simulation based on 3.14 prerequisite - with compact mixer (3 EOP)</v>
      </c>
      <c r="E40" s="51" t="str">
        <f>IF('Project information'!$A$4="","",'Project information'!$A$4)</f>
        <v>China</v>
      </c>
      <c r="F40" s="149" t="str">
        <f>INDEX('Standard working hours - CAE'!$A$1:$I$105,MATCH($C40,'Standard working hours - CAE'!$A$1:$A$105,0),MATCH(F$24,'Standard working hours - CAE'!$A$1:$I$1,0))</f>
        <v>Faurecia</v>
      </c>
      <c r="G40" s="149" t="str">
        <f>INDEX('Standard working hours - CAE'!$A$1:$I$105,MATCH($C40,'Standard working hours - CAE'!$A$1:$A$105,0),MATCH(G$24,'Standard working hours - CAE'!$A$1:$I$1,0))</f>
        <v>FSE-I-DSE-L036
FSE-I-DSE-L039</v>
      </c>
      <c r="H40" s="46"/>
      <c r="I40" s="46"/>
      <c r="J40" s="46"/>
      <c r="K40" s="46"/>
      <c r="L40" s="46"/>
      <c r="M40" s="33">
        <f t="shared" ref="M40" si="68">SUM(H40:L40)</f>
        <v>0</v>
      </c>
      <c r="N40" s="157">
        <f>IF(E40="","",IF(ISERROR(INDEX('Standard working hours - CAE'!$A$1:$I$105,MATCH($C40,'Standard working hours - CAE'!$A$1:$A$105,0),MATCH($E40,'Standard working hours - CAE'!$A$1:$I$1,0))*INDEX('Standard hourly rate'!$A$1:$E$14,MATCH("CAE",'Standard hourly rate'!$A$1:$A$14,0),MATCH($E40,'Standard hourly rate'!$A$1:$E$1,0))),"NA",INDEX('Standard working hours - CAE'!$A$1:$I$105,MATCH($C40,'Standard working hours - CAE'!$A$1:$A$105,0),MATCH($E40,'Standard working hours - CAE'!$A$1:$I$1,0))*INDEX('Standard hourly rate'!$A$1:$E$14,MATCH("CAE",'Standard hourly rate'!$A$1:$A$14,0),MATCH($E40,'Standard hourly rate'!$A$1:$E$1,0))))</f>
        <v>22230</v>
      </c>
      <c r="O40" s="45">
        <f>IF(OR(ISERROR($N40),$N40="",$N40="NA"),0,H40*$N40)*(1+INDEX('For Finance Control'!$B$27:$E$29,3,MATCH('Project information'!$A$4,'For Finance Control'!$B$27:$E$27,0)))</f>
        <v>0</v>
      </c>
      <c r="P40" s="45">
        <f>IF(OR(ISERROR($N40),$N40="",$N40="NA"),0,I40*$N40)*(1+INDEX('For Finance Control'!$B$27:$E$29,3,MATCH('Project information'!$A$4,'For Finance Control'!$B$27:$E$27,0)))</f>
        <v>0</v>
      </c>
      <c r="Q40" s="45">
        <f>IF(OR(ISERROR($N40),$N40="",$N40="NA"),0,J40*$N40)*(1+INDEX('For Finance Control'!$B$27:$E$29,3,MATCH('Project information'!$A$4,'For Finance Control'!$B$27:$E$27,0)))</f>
        <v>0</v>
      </c>
      <c r="R40" s="45">
        <f>IF(OR(ISERROR($N40),$N40="",$N40="NA"),0,K40*$N40)*(1+INDEX('For Finance Control'!$B$27:$E$29,3,MATCH('Project information'!$A$4,'For Finance Control'!$B$27:$E$27,0)))</f>
        <v>0</v>
      </c>
      <c r="S40" s="45">
        <f>IF(OR(ISERROR($N40),$N40="",$N40="NA"),0,L40*$N40)*(1+INDEX('For Finance Control'!$B$27:$E$29,3,MATCH('Project information'!$A$4,'For Finance Control'!$B$27:$E$27,0)))</f>
        <v>0</v>
      </c>
      <c r="T40" s="45">
        <f t="shared" ref="T40:T41" si="69">SUM(O40:S40)</f>
        <v>0</v>
      </c>
      <c r="U40" s="33" cm="1">
        <f t="array" ref="U40">IF($N40="NA","NA",$N40*INDEX('Exchange rate'!$A$1:$G$7,MATCH('Project information'!$A$13,'Exchange rate'!$A$1:$A$7,0),MATCH(LOOKUP(2,1/({"China";"Korea";"India";"Japan";"EUR";"NAO"}=$E40),{"CNY";"KRW";"INR";"JPY";"EUR";"USD"}),'Exchange rate'!$A$1:$G$1,0)))</f>
        <v>22230</v>
      </c>
      <c r="V40" s="33">
        <f t="shared" si="53"/>
        <v>0</v>
      </c>
      <c r="W40" s="33">
        <f t="shared" si="54"/>
        <v>0</v>
      </c>
      <c r="X40" s="33">
        <f t="shared" si="55"/>
        <v>0</v>
      </c>
      <c r="Y40" s="33">
        <f t="shared" si="56"/>
        <v>0</v>
      </c>
      <c r="Z40" s="33">
        <f t="shared" si="57"/>
        <v>0</v>
      </c>
      <c r="AA40" s="33">
        <f t="shared" ref="AA40:AA41" si="70">SUM(V40:Z40)</f>
        <v>0</v>
      </c>
      <c r="AB40" s="246"/>
      <c r="AC40" s="247"/>
      <c r="AZ40" s="148" t="str">
        <f t="shared" si="60"/>
        <v>3.15</v>
      </c>
      <c r="BA40" s="149" t="s">
        <v>189</v>
      </c>
    </row>
    <row r="41" spans="1:53" outlineLevel="1">
      <c r="A41" s="148" t="str">
        <f t="shared" si="59"/>
        <v>3.16</v>
      </c>
      <c r="B41" s="148" t="str">
        <f>INDEX('Standard working hours - CAE'!$A$1:$I$105,MATCH($C41,'Standard working hours - CAE'!$A$1:$A$105,0),MATCH(B$24,'Standard working hours - CAE'!$A$1:$I$1,0))</f>
        <v>CVI</v>
      </c>
      <c r="C41" s="149" t="s">
        <v>192</v>
      </c>
      <c r="D41" s="153" t="str">
        <f>INDEX('Standard working hours - CAE'!$A$1:$I$105,MATCH($C41,'Standard working hours - CAE'!$A$1:$A$105,0),MATCH(D$24,'Standard working hours - CAE'!$A$1:$I$1,0))</f>
        <v>Deposit risk evaluation - MCFM (3 EOP)</v>
      </c>
      <c r="E41" s="51" t="str">
        <f>IF('Project information'!$A$4="","",'Project information'!$A$4)</f>
        <v>China</v>
      </c>
      <c r="F41" s="149" t="str">
        <f>INDEX('Standard working hours - CAE'!$A$1:$I$105,MATCH($C41,'Standard working hours - CAE'!$A$1:$A$105,0),MATCH(F$24,'Standard working hours - CAE'!$A$1:$I$1,0))</f>
        <v>Faurecia</v>
      </c>
      <c r="G41" s="149" t="str">
        <f>INDEX('Standard working hours - CAE'!$A$1:$I$105,MATCH($C41,'Standard working hours - CAE'!$A$1:$A$105,0),MATCH(G$24,'Standard working hours - CAE'!$A$1:$I$1,0))</f>
        <v>FSE-I-DSE-F006</v>
      </c>
      <c r="H41" s="46"/>
      <c r="I41" s="46"/>
      <c r="J41" s="46"/>
      <c r="K41" s="46"/>
      <c r="L41" s="46"/>
      <c r="M41" s="33">
        <f t="shared" ref="M41" si="71">SUM(H41:L41)</f>
        <v>0</v>
      </c>
      <c r="N41" s="157">
        <f>IF(E41="","",IF(ISERROR(INDEX('Standard working hours - CAE'!$A$1:$I$105,MATCH($C41,'Standard working hours - CAE'!$A$1:$A$105,0),MATCH($E41,'Standard working hours - CAE'!$A$1:$I$1,0))*INDEX('Standard hourly rate'!$A$1:$E$14,MATCH("CAE",'Standard hourly rate'!$A$1:$A$14,0),MATCH($E41,'Standard hourly rate'!$A$1:$E$1,0))),"NA",INDEX('Standard working hours - CAE'!$A$1:$I$105,MATCH($C41,'Standard working hours - CAE'!$A$1:$A$105,0),MATCH($E41,'Standard working hours - CAE'!$A$1:$I$1,0))*INDEX('Standard hourly rate'!$A$1:$E$14,MATCH("CAE",'Standard hourly rate'!$A$1:$A$14,0),MATCH($E41,'Standard hourly rate'!$A$1:$E$1,0))))</f>
        <v>27170</v>
      </c>
      <c r="O41" s="45">
        <f>IF(OR(ISERROR($N41),$N41="",$N41="NA"),0,H41*$N41)*(1+INDEX('For Finance Control'!$B$27:$E$29,3,MATCH('Project information'!$A$4,'For Finance Control'!$B$27:$E$27,0)))</f>
        <v>0</v>
      </c>
      <c r="P41" s="45">
        <f>IF(OR(ISERROR($N41),$N41="",$N41="NA"),0,I41*$N41)*(1+INDEX('For Finance Control'!$B$27:$E$29,3,MATCH('Project information'!$A$4,'For Finance Control'!$B$27:$E$27,0)))</f>
        <v>0</v>
      </c>
      <c r="Q41" s="45">
        <f>IF(OR(ISERROR($N41),$N41="",$N41="NA"),0,J41*$N41)*(1+INDEX('For Finance Control'!$B$27:$E$29,3,MATCH('Project information'!$A$4,'For Finance Control'!$B$27:$E$27,0)))</f>
        <v>0</v>
      </c>
      <c r="R41" s="45">
        <f>IF(OR(ISERROR($N41),$N41="",$N41="NA"),0,K41*$N41)*(1+INDEX('For Finance Control'!$B$27:$E$29,3,MATCH('Project information'!$A$4,'For Finance Control'!$B$27:$E$27,0)))</f>
        <v>0</v>
      </c>
      <c r="S41" s="45">
        <f>IF(OR(ISERROR($N41),$N41="",$N41="NA"),0,L41*$N41)*(1+INDEX('For Finance Control'!$B$27:$E$29,3,MATCH('Project information'!$A$4,'For Finance Control'!$B$27:$E$27,0)))</f>
        <v>0</v>
      </c>
      <c r="T41" s="45">
        <f t="shared" si="69"/>
        <v>0</v>
      </c>
      <c r="U41" s="33" cm="1">
        <f t="array" ref="U41">IF($N41="NA","NA",$N41*INDEX('Exchange rate'!$A$1:$G$7,MATCH('Project information'!$A$13,'Exchange rate'!$A$1:$A$7,0),MATCH(LOOKUP(2,1/({"China";"Korea";"India";"Japan";"EUR";"NAO"}=$E41),{"CNY";"KRW";"INR";"JPY";"EUR";"USD"}),'Exchange rate'!$A$1:$G$1,0)))</f>
        <v>27170</v>
      </c>
      <c r="V41" s="33">
        <f t="shared" ref="V41" si="72">IF(OR(ISERROR($U41),$U41="",$U41="NA"),0,H41*$U41)</f>
        <v>0</v>
      </c>
      <c r="W41" s="33">
        <f t="shared" ref="W41" si="73">IF(OR(ISERROR($U41),$U41="",$U41="NA"),0,I41*$U41)</f>
        <v>0</v>
      </c>
      <c r="X41" s="33">
        <f t="shared" ref="X41" si="74">IF(OR(ISERROR($U41),$U41="",$U41="NA"),0,J41*$U41)</f>
        <v>0</v>
      </c>
      <c r="Y41" s="33">
        <f t="shared" ref="Y41" si="75">IF(OR(ISERROR($U41),$U41="",$U41="NA"),0,K41*$U41)</f>
        <v>0</v>
      </c>
      <c r="Z41" s="33">
        <f t="shared" ref="Z41" si="76">IF(OR(ISERROR($U41),$U41="",$U41="NA"),0,L41*$U41)</f>
        <v>0</v>
      </c>
      <c r="AA41" s="33">
        <f t="shared" si="70"/>
        <v>0</v>
      </c>
      <c r="AB41" s="246"/>
      <c r="AC41" s="247"/>
      <c r="AZ41" s="148" t="str">
        <f t="shared" si="60"/>
        <v>3.16</v>
      </c>
      <c r="BA41" s="149" t="s">
        <v>193</v>
      </c>
    </row>
    <row r="42" spans="1:53" ht="37.5" outlineLevel="1">
      <c r="A42" s="148" t="str">
        <f t="shared" si="59"/>
        <v>3.17</v>
      </c>
      <c r="B42" s="148" t="str">
        <f>INDEX('Standard working hours - CAE'!$A$1:$I$105,MATCH($C42,'Standard working hours - CAE'!$A$1:$A$105,0),MATCH(B$24,'Standard working hours - CAE'!$A$1:$I$1,0))</f>
        <v>LE</v>
      </c>
      <c r="C42" s="149" t="s">
        <v>194</v>
      </c>
      <c r="D42" s="153" t="str">
        <f>INDEX('Standard working hours - CAE'!$A$1:$I$105,MATCH($C42,'Standard working hours - CAE'!$A$1:$A$105,0),MATCH(D$24,'Standard working hours - CAE'!$A$1:$I$1,0))</f>
        <v>Cold end - Tail pipe / muffler - Gas flow distribution / Pressure drop / Temperture</v>
      </c>
      <c r="E42" s="51" t="str">
        <f>IF('Project information'!$A$4="","",'Project information'!$A$4)</f>
        <v>China</v>
      </c>
      <c r="F42" s="149" t="str">
        <f>INDEX('Standard working hours - CAE'!$A$1:$I$105,MATCH($C42,'Standard working hours - CAE'!$A$1:$A$105,0),MATCH(F$24,'Standard working hours - CAE'!$A$1:$I$1,0))</f>
        <v>Faurecia</v>
      </c>
      <c r="G42" s="149" t="str">
        <f>INDEX('Standard working hours - CAE'!$A$1:$I$105,MATCH($C42,'Standard working hours - CAE'!$A$1:$A$105,0),MATCH(G$24,'Standard working hours - CAE'!$A$1:$I$1,0))</f>
        <v>FSE-I-DSE-L036</v>
      </c>
      <c r="H42" s="46"/>
      <c r="I42" s="46"/>
      <c r="J42" s="46"/>
      <c r="K42" s="46"/>
      <c r="L42" s="46"/>
      <c r="M42" s="33">
        <f t="shared" ref="M42" si="77">SUM(H42:L42)</f>
        <v>0</v>
      </c>
      <c r="N42" s="157">
        <f>IF(E42="","",IF(ISERROR(INDEX('Standard working hours - CAE'!$A$1:$I$105,MATCH($C42,'Standard working hours - CAE'!$A$1:$A$105,0),MATCH($E42,'Standard working hours - CAE'!$A$1:$I$1,0))*INDEX('Standard hourly rate'!$A$1:$E$14,MATCH("CAE",'Standard hourly rate'!$A$1:$A$14,0),MATCH($E42,'Standard hourly rate'!$A$1:$E$1,0))),"NA",INDEX('Standard working hours - CAE'!$A$1:$I$105,MATCH($C42,'Standard working hours - CAE'!$A$1:$A$105,0),MATCH($E42,'Standard working hours - CAE'!$A$1:$I$1,0))*INDEX('Standard hourly rate'!$A$1:$E$14,MATCH("CAE",'Standard hourly rate'!$A$1:$A$14,0),MATCH($E42,'Standard hourly rate'!$A$1:$E$1,0))))</f>
        <v>17784</v>
      </c>
      <c r="O42" s="45">
        <f>IF(OR(ISERROR($N42),$N42="",$N42="NA"),0,H42*$N42)*(1+INDEX('For Finance Control'!$B$27:$E$29,3,MATCH('Project information'!$A$4,'For Finance Control'!$B$27:$E$27,0)))</f>
        <v>0</v>
      </c>
      <c r="P42" s="45">
        <f>IF(OR(ISERROR($N42),$N42="",$N42="NA"),0,I42*$N42)*(1+INDEX('For Finance Control'!$B$27:$E$29,3,MATCH('Project information'!$A$4,'For Finance Control'!$B$27:$E$27,0)))</f>
        <v>0</v>
      </c>
      <c r="Q42" s="45">
        <f>IF(OR(ISERROR($N42),$N42="",$N42="NA"),0,J42*$N42)*(1+INDEX('For Finance Control'!$B$27:$E$29,3,MATCH('Project information'!$A$4,'For Finance Control'!$B$27:$E$27,0)))</f>
        <v>0</v>
      </c>
      <c r="R42" s="45">
        <f>IF(OR(ISERROR($N42),$N42="",$N42="NA"),0,K42*$N42)*(1+INDEX('For Finance Control'!$B$27:$E$29,3,MATCH('Project information'!$A$4,'For Finance Control'!$B$27:$E$27,0)))</f>
        <v>0</v>
      </c>
      <c r="S42" s="45">
        <f>IF(OR(ISERROR($N42),$N42="",$N42="NA"),0,L42*$N42)*(1+INDEX('For Finance Control'!$B$27:$E$29,3,MATCH('Project information'!$A$4,'For Finance Control'!$B$27:$E$27,0)))</f>
        <v>0</v>
      </c>
      <c r="T42" s="45">
        <f t="shared" ref="T42" si="78">SUM(O42:S42)</f>
        <v>0</v>
      </c>
      <c r="U42" s="33" cm="1">
        <f t="array" ref="U42">IF($N42="NA","NA",$N42*INDEX('Exchange rate'!$A$1:$G$7,MATCH('Project information'!$A$13,'Exchange rate'!$A$1:$A$7,0),MATCH(LOOKUP(2,1/({"China";"Korea";"India";"Japan";"EUR";"NAO"}=$E42),{"CNY";"KRW";"INR";"JPY";"EUR";"USD"}),'Exchange rate'!$A$1:$G$1,0)))</f>
        <v>17784</v>
      </c>
      <c r="V42" s="33">
        <f t="shared" si="53"/>
        <v>0</v>
      </c>
      <c r="W42" s="33">
        <f t="shared" si="54"/>
        <v>0</v>
      </c>
      <c r="X42" s="33">
        <f t="shared" si="55"/>
        <v>0</v>
      </c>
      <c r="Y42" s="33">
        <f t="shared" si="56"/>
        <v>0</v>
      </c>
      <c r="Z42" s="33">
        <f t="shared" si="57"/>
        <v>0</v>
      </c>
      <c r="AA42" s="33">
        <f t="shared" ref="AA42" si="79">SUM(V42:Z42)</f>
        <v>0</v>
      </c>
      <c r="AB42" s="246"/>
      <c r="AC42" s="247"/>
      <c r="AZ42" s="148" t="str">
        <f t="shared" si="60"/>
        <v>3.17</v>
      </c>
      <c r="BA42" s="149" t="s">
        <v>195</v>
      </c>
    </row>
    <row r="43" spans="1:53" ht="37.5" outlineLevel="1">
      <c r="A43" s="148" t="str">
        <f t="shared" si="59"/>
        <v>3.18</v>
      </c>
      <c r="B43" s="148" t="str">
        <f>INDEX('Standard working hours - CAE'!$A$1:$I$105,MATCH($C43,'Standard working hours - CAE'!$A$1:$A$105,0),MATCH(B$24,'Standard working hours - CAE'!$A$1:$I$1,0))</f>
        <v>LE</v>
      </c>
      <c r="C43" s="149" t="s">
        <v>196</v>
      </c>
      <c r="D43" s="153" t="str">
        <f>INDEX('Standard working hours - CAE'!$A$1:$I$105,MATCH($C43,'Standard working hours - CAE'!$A$1:$A$105,0),MATCH(D$24,'Standard working hours - CAE'!$A$1:$I$1,0))</f>
        <v>Turbo HE / CC-GPF - Uniformity / Velocity / Hego index / Pressure drop / Temperature</v>
      </c>
      <c r="E43" s="51" t="str">
        <f>IF('Project information'!$A$4="","",'Project information'!$A$4)</f>
        <v>China</v>
      </c>
      <c r="F43" s="149" t="str">
        <f>INDEX('Standard working hours - CAE'!$A$1:$I$105,MATCH($C43,'Standard working hours - CAE'!$A$1:$A$105,0),MATCH(F$24,'Standard working hours - CAE'!$A$1:$I$1,0))</f>
        <v>Faurecia</v>
      </c>
      <c r="G43" s="149" t="str">
        <f>INDEX('Standard working hours - CAE'!$A$1:$I$105,MATCH($C43,'Standard working hours - CAE'!$A$1:$A$105,0),MATCH(G$24,'Standard working hours - CAE'!$A$1:$I$1,0))</f>
        <v>CHD-I-DSE-2820</v>
      </c>
      <c r="H43" s="46"/>
      <c r="I43" s="46"/>
      <c r="J43" s="46"/>
      <c r="K43" s="46"/>
      <c r="L43" s="46"/>
      <c r="M43" s="33">
        <f t="shared" ref="M43" si="80">SUM(H43:L43)</f>
        <v>0</v>
      </c>
      <c r="N43" s="157">
        <f>IF(E43="","",IF(ISERROR(INDEX('Standard working hours - CAE'!$A$1:$I$105,MATCH($C43,'Standard working hours - CAE'!$A$1:$A$105,0),MATCH($E43,'Standard working hours - CAE'!$A$1:$I$1,0))*INDEX('Standard hourly rate'!$A$1:$E$14,MATCH("CAE",'Standard hourly rate'!$A$1:$A$14,0),MATCH($E43,'Standard hourly rate'!$A$1:$E$1,0))),"NA",INDEX('Standard working hours - CAE'!$A$1:$I$105,MATCH($C43,'Standard working hours - CAE'!$A$1:$A$105,0),MATCH($E43,'Standard working hours - CAE'!$A$1:$I$1,0))*INDEX('Standard hourly rate'!$A$1:$E$14,MATCH("CAE",'Standard hourly rate'!$A$1:$A$14,0),MATCH($E43,'Standard hourly rate'!$A$1:$E$1,0))))</f>
        <v>11856</v>
      </c>
      <c r="O43" s="45">
        <f>IF(OR(ISERROR($N43),$N43="",$N43="NA"),0,H43*$N43)*(1+INDEX('For Finance Control'!$B$27:$E$29,3,MATCH('Project information'!$A$4,'For Finance Control'!$B$27:$E$27,0)))</f>
        <v>0</v>
      </c>
      <c r="P43" s="45">
        <f>IF(OR(ISERROR($N43),$N43="",$N43="NA"),0,I43*$N43)*(1+INDEX('For Finance Control'!$B$27:$E$29,3,MATCH('Project information'!$A$4,'For Finance Control'!$B$27:$E$27,0)))</f>
        <v>0</v>
      </c>
      <c r="Q43" s="45">
        <f>IF(OR(ISERROR($N43),$N43="",$N43="NA"),0,J43*$N43)*(1+INDEX('For Finance Control'!$B$27:$E$29,3,MATCH('Project information'!$A$4,'For Finance Control'!$B$27:$E$27,0)))</f>
        <v>0</v>
      </c>
      <c r="R43" s="45">
        <f>IF(OR(ISERROR($N43),$N43="",$N43="NA"),0,K43*$N43)*(1+INDEX('For Finance Control'!$B$27:$E$29,3,MATCH('Project information'!$A$4,'For Finance Control'!$B$27:$E$27,0)))</f>
        <v>0</v>
      </c>
      <c r="S43" s="45">
        <f>IF(OR(ISERROR($N43),$N43="",$N43="NA"),0,L43*$N43)*(1+INDEX('For Finance Control'!$B$27:$E$29,3,MATCH('Project information'!$A$4,'For Finance Control'!$B$27:$E$27,0)))</f>
        <v>0</v>
      </c>
      <c r="T43" s="45">
        <f t="shared" ref="T43" si="81">SUM(O43:S43)</f>
        <v>0</v>
      </c>
      <c r="U43" s="33" cm="1">
        <f t="array" ref="U43">IF($N43="NA","NA",$N43*INDEX('Exchange rate'!$A$1:$G$7,MATCH('Project information'!$A$13,'Exchange rate'!$A$1:$A$7,0),MATCH(LOOKUP(2,1/({"China";"Korea";"India";"Japan";"EUR";"NAO"}=$E43),{"CNY";"KRW";"INR";"JPY";"EUR";"USD"}),'Exchange rate'!$A$1:$G$1,0)))</f>
        <v>11856</v>
      </c>
      <c r="V43" s="33">
        <f t="shared" ref="V43" si="82">IF(OR(ISERROR($U43),$U43="",$U43="NA"),0,H43*$U43)</f>
        <v>0</v>
      </c>
      <c r="W43" s="33">
        <f t="shared" ref="W43" si="83">IF(OR(ISERROR($U43),$U43="",$U43="NA"),0,I43*$U43)</f>
        <v>0</v>
      </c>
      <c r="X43" s="33">
        <f t="shared" ref="X43" si="84">IF(OR(ISERROR($U43),$U43="",$U43="NA"),0,J43*$U43)</f>
        <v>0</v>
      </c>
      <c r="Y43" s="33">
        <f t="shared" ref="Y43" si="85">IF(OR(ISERROR($U43),$U43="",$U43="NA"),0,K43*$U43)</f>
        <v>0</v>
      </c>
      <c r="Z43" s="33">
        <f t="shared" ref="Z43" si="86">IF(OR(ISERROR($U43),$U43="",$U43="NA"),0,L43*$U43)</f>
        <v>0</v>
      </c>
      <c r="AA43" s="33">
        <f t="shared" ref="AA43" si="87">SUM(V43:Z43)</f>
        <v>0</v>
      </c>
      <c r="AB43" s="246"/>
      <c r="AC43" s="247"/>
      <c r="AZ43" s="148" t="str">
        <f t="shared" si="60"/>
        <v>3.18</v>
      </c>
      <c r="BA43" s="149" t="s">
        <v>195</v>
      </c>
    </row>
    <row r="44" spans="1:53" ht="100" outlineLevel="1">
      <c r="A44" s="148" t="str">
        <f t="shared" si="59"/>
        <v>3.19</v>
      </c>
      <c r="B44" s="148" t="str">
        <f>INDEX('Standard working hours - CAE'!$A$1:$I$105,MATCH($C44,'Standard working hours - CAE'!$A$1:$A$105,0),MATCH(B$24,'Standard working hours - CAE'!$A$1:$I$1,0))</f>
        <v>LE</v>
      </c>
      <c r="C44" s="149" t="s">
        <v>197</v>
      </c>
      <c r="D44" s="153" t="str">
        <f>INDEX('Standard working hours - CAE'!$A$1:$I$105,MATCH($C44,'Standard working hours - CAE'!$A$1:$A$105,0),MATCH(D$24,'Standard working hours - CAE'!$A$1:$I$1,0))</f>
        <v>Manifold / Maniverter -  Heat transfer / Modal analysis / Thermal mechanical analysis / Force response - Major loop</v>
      </c>
      <c r="E44" s="51" t="str">
        <f>IF('Project information'!$A$4="","",'Project information'!$A$4)</f>
        <v>China</v>
      </c>
      <c r="F44" s="149" t="str">
        <f>INDEX('Standard working hours - CAE'!$A$1:$I$105,MATCH($C44,'Standard working hours - CAE'!$A$1:$A$105,0),MATCH(F$24,'Standard working hours - CAE'!$A$1:$I$1,0))</f>
        <v>Faurecia</v>
      </c>
      <c r="G44" s="149" t="str">
        <f>INDEX('Standard working hours - CAE'!$A$1:$I$105,MATCH($C44,'Standard working hours - CAE'!$A$1:$A$105,0),MATCH(G$24,'Standard working hours - CAE'!$A$1:$I$1,0))</f>
        <v>FSE-I-DSE-P012
FSE-S-DSE-L023
FSE-S-DSE-L024
FSE-S-DSE-L025
FSE-S-DSE-L026
FSE-S-DSE-G049
FSE-S-DSE-G050
FSE-I-DSE-L001</v>
      </c>
      <c r="H44" s="46"/>
      <c r="I44" s="46"/>
      <c r="J44" s="46"/>
      <c r="K44" s="46"/>
      <c r="L44" s="46"/>
      <c r="M44" s="33">
        <f t="shared" si="51"/>
        <v>0</v>
      </c>
      <c r="N44" s="157">
        <f>IF(E44="","",IF(ISERROR(INDEX('Standard working hours - CAE'!$A$1:$I$105,MATCH($C44,'Standard working hours - CAE'!$A$1:$A$105,0),MATCH($E44,'Standard working hours - CAE'!$A$1:$I$1,0))*INDEX('Standard hourly rate'!$A$1:$E$14,MATCH("CAE",'Standard hourly rate'!$A$1:$A$14,0),MATCH($E44,'Standard hourly rate'!$A$1:$E$1,0))),"NA",INDEX('Standard working hours - CAE'!$A$1:$I$105,MATCH($C44,'Standard working hours - CAE'!$A$1:$A$105,0),MATCH($E44,'Standard working hours - CAE'!$A$1:$I$1,0))*INDEX('Standard hourly rate'!$A$1:$E$14,MATCH("CAE",'Standard hourly rate'!$A$1:$A$14,0),MATCH($E44,'Standard hourly rate'!$A$1:$E$1,0))))</f>
        <v>27664</v>
      </c>
      <c r="O44" s="45">
        <f>IF(OR(ISERROR($N44),$N44="",$N44="NA"),0,H44*$N44)*(1+INDEX('For Finance Control'!$B$27:$E$29,3,MATCH('Project information'!$A$4,'For Finance Control'!$B$27:$E$27,0)))</f>
        <v>0</v>
      </c>
      <c r="P44" s="45">
        <f>IF(OR(ISERROR($N44),$N44="",$N44="NA"),0,I44*$N44)*(1+INDEX('For Finance Control'!$B$27:$E$29,3,MATCH('Project information'!$A$4,'For Finance Control'!$B$27:$E$27,0)))</f>
        <v>0</v>
      </c>
      <c r="Q44" s="45">
        <f>IF(OR(ISERROR($N44),$N44="",$N44="NA"),0,J44*$N44)*(1+INDEX('For Finance Control'!$B$27:$E$29,3,MATCH('Project information'!$A$4,'For Finance Control'!$B$27:$E$27,0)))</f>
        <v>0</v>
      </c>
      <c r="R44" s="45">
        <f>IF(OR(ISERROR($N44),$N44="",$N44="NA"),0,K44*$N44)*(1+INDEX('For Finance Control'!$B$27:$E$29,3,MATCH('Project information'!$A$4,'For Finance Control'!$B$27:$E$27,0)))</f>
        <v>0</v>
      </c>
      <c r="S44" s="45">
        <f>IF(OR(ISERROR($N44),$N44="",$N44="NA"),0,L44*$N44)*(1+INDEX('For Finance Control'!$B$27:$E$29,3,MATCH('Project information'!$A$4,'For Finance Control'!$B$27:$E$27,0)))</f>
        <v>0</v>
      </c>
      <c r="T44" s="45">
        <f t="shared" si="52"/>
        <v>0</v>
      </c>
      <c r="U44" s="33" cm="1">
        <f t="array" ref="U44">IF($N44="NA","NA",$N44*INDEX('Exchange rate'!$A$1:$G$7,MATCH('Project information'!$A$13,'Exchange rate'!$A$1:$A$7,0),MATCH(LOOKUP(2,1/({"China";"Korea";"India";"Japan";"EUR";"NAO"}=$E44),{"CNY";"KRW";"INR";"JPY";"EUR";"USD"}),'Exchange rate'!$A$1:$G$1,0)))</f>
        <v>27664</v>
      </c>
      <c r="V44" s="33">
        <f t="shared" si="53"/>
        <v>0</v>
      </c>
      <c r="W44" s="33">
        <f t="shared" si="54"/>
        <v>0</v>
      </c>
      <c r="X44" s="33">
        <f t="shared" si="55"/>
        <v>0</v>
      </c>
      <c r="Y44" s="33">
        <f t="shared" si="56"/>
        <v>0</v>
      </c>
      <c r="Z44" s="33">
        <f t="shared" si="57"/>
        <v>0</v>
      </c>
      <c r="AA44" s="33">
        <f t="shared" si="58"/>
        <v>0</v>
      </c>
      <c r="AB44" s="246"/>
      <c r="AC44" s="247"/>
      <c r="AZ44" s="148" t="str">
        <f t="shared" si="60"/>
        <v>3.19</v>
      </c>
      <c r="BA44" s="149" t="s">
        <v>198</v>
      </c>
    </row>
    <row r="45" spans="1:53" ht="100" outlineLevel="1">
      <c r="A45" s="148" t="str">
        <f t="shared" si="59"/>
        <v>3.20</v>
      </c>
      <c r="B45" s="148" t="str">
        <f>INDEX('Standard working hours - CAE'!$A$1:$I$105,MATCH($C45,'Standard working hours - CAE'!$A$1:$A$105,0),MATCH(B$24,'Standard working hours - CAE'!$A$1:$I$1,0))</f>
        <v>LE</v>
      </c>
      <c r="C45" s="149" t="s">
        <v>199</v>
      </c>
      <c r="D45" s="153" t="str">
        <f>INDEX('Standard working hours - CAE'!$A$1:$I$105,MATCH($C45,'Standard working hours - CAE'!$A$1:$A$105,0),MATCH(D$24,'Standard working hours - CAE'!$A$1:$I$1,0))</f>
        <v>Diesel EU6 -  Heat transfer / Modal analysis / Thermal mechanical analysis / Force response - Major loop</v>
      </c>
      <c r="E45" s="51" t="str">
        <f>IF('Project information'!$A$4="","",'Project information'!$A$4)</f>
        <v>China</v>
      </c>
      <c r="F45" s="149" t="str">
        <f>INDEX('Standard working hours - CAE'!$A$1:$I$105,MATCH($C45,'Standard working hours - CAE'!$A$1:$A$105,0),MATCH(F$24,'Standard working hours - CAE'!$A$1:$I$1,0))</f>
        <v>Faurecia</v>
      </c>
      <c r="G45" s="149" t="str">
        <f>INDEX('Standard working hours - CAE'!$A$1:$I$105,MATCH($C45,'Standard working hours - CAE'!$A$1:$A$105,0),MATCH(G$24,'Standard working hours - CAE'!$A$1:$I$1,0))</f>
        <v>FSE-I-DSE-P012
FSE-S-DSE-L023
FSE-S-DSE-L024
FSE-S-DSE-L025
FSE-S-DSE-L026
FSE-S-DSE-G049
FSE-S-DSE-G050
FSE-I-DSE-L001</v>
      </c>
      <c r="H45" s="46"/>
      <c r="I45" s="46"/>
      <c r="J45" s="46"/>
      <c r="K45" s="46"/>
      <c r="L45" s="46"/>
      <c r="M45" s="33">
        <f t="shared" si="51"/>
        <v>0</v>
      </c>
      <c r="N45" s="157">
        <f>IF(E45="","",IF(ISERROR(INDEX('Standard working hours - CAE'!$A$1:$I$105,MATCH($C45,'Standard working hours - CAE'!$A$1:$A$105,0),MATCH($E45,'Standard working hours - CAE'!$A$1:$I$1,0))*INDEX('Standard hourly rate'!$A$1:$E$14,MATCH("CAE",'Standard hourly rate'!$A$1:$A$14,0),MATCH($E45,'Standard hourly rate'!$A$1:$E$1,0))),"NA",INDEX('Standard working hours - CAE'!$A$1:$I$105,MATCH($C45,'Standard working hours - CAE'!$A$1:$A$105,0),MATCH($E45,'Standard working hours - CAE'!$A$1:$I$1,0))*INDEX('Standard hourly rate'!$A$1:$E$14,MATCH("CAE",'Standard hourly rate'!$A$1:$A$14,0),MATCH($E45,'Standard hourly rate'!$A$1:$E$1,0))))</f>
        <v>43472</v>
      </c>
      <c r="O45" s="45">
        <f>IF(OR(ISERROR($N45),$N45="",$N45="NA"),0,H45*$N45)*(1+INDEX('For Finance Control'!$B$27:$E$29,3,MATCH('Project information'!$A$4,'For Finance Control'!$B$27:$E$27,0)))</f>
        <v>0</v>
      </c>
      <c r="P45" s="45">
        <f>IF(OR(ISERROR($N45),$N45="",$N45="NA"),0,I45*$N45)*(1+INDEX('For Finance Control'!$B$27:$E$29,3,MATCH('Project information'!$A$4,'For Finance Control'!$B$27:$E$27,0)))</f>
        <v>0</v>
      </c>
      <c r="Q45" s="45">
        <f>IF(OR(ISERROR($N45),$N45="",$N45="NA"),0,J45*$N45)*(1+INDEX('For Finance Control'!$B$27:$E$29,3,MATCH('Project information'!$A$4,'For Finance Control'!$B$27:$E$27,0)))</f>
        <v>0</v>
      </c>
      <c r="R45" s="45">
        <f>IF(OR(ISERROR($N45),$N45="",$N45="NA"),0,K45*$N45)*(1+INDEX('For Finance Control'!$B$27:$E$29,3,MATCH('Project information'!$A$4,'For Finance Control'!$B$27:$E$27,0)))</f>
        <v>0</v>
      </c>
      <c r="S45" s="45">
        <f>IF(OR(ISERROR($N45),$N45="",$N45="NA"),0,L45*$N45)*(1+INDEX('For Finance Control'!$B$27:$E$29,3,MATCH('Project information'!$A$4,'For Finance Control'!$B$27:$E$27,0)))</f>
        <v>0</v>
      </c>
      <c r="T45" s="45">
        <f t="shared" si="52"/>
        <v>0</v>
      </c>
      <c r="U45" s="33" cm="1">
        <f t="array" ref="U45">IF($N45="NA","NA",$N45*INDEX('Exchange rate'!$A$1:$G$7,MATCH('Project information'!$A$13,'Exchange rate'!$A$1:$A$7,0),MATCH(LOOKUP(2,1/({"China";"Korea";"India";"Japan";"EUR";"NAO"}=$E45),{"CNY";"KRW";"INR";"JPY";"EUR";"USD"}),'Exchange rate'!$A$1:$G$1,0)))</f>
        <v>43472</v>
      </c>
      <c r="V45" s="33">
        <f t="shared" si="53"/>
        <v>0</v>
      </c>
      <c r="W45" s="33">
        <f t="shared" si="54"/>
        <v>0</v>
      </c>
      <c r="X45" s="33">
        <f t="shared" si="55"/>
        <v>0</v>
      </c>
      <c r="Y45" s="33">
        <f t="shared" si="56"/>
        <v>0</v>
      </c>
      <c r="Z45" s="33">
        <f t="shared" si="57"/>
        <v>0</v>
      </c>
      <c r="AA45" s="33">
        <f t="shared" si="58"/>
        <v>0</v>
      </c>
      <c r="AB45" s="246"/>
      <c r="AC45" s="247"/>
      <c r="AZ45" s="148" t="str">
        <f t="shared" si="60"/>
        <v>3.20</v>
      </c>
      <c r="BA45" s="149" t="s">
        <v>198</v>
      </c>
    </row>
    <row r="46" spans="1:53" ht="100" outlineLevel="1">
      <c r="A46" s="148" t="str">
        <f t="shared" si="59"/>
        <v>3.21</v>
      </c>
      <c r="B46" s="148" t="str">
        <f>INDEX('Standard working hours - CAE'!$A$1:$I$105,MATCH($C46,'Standard working hours - CAE'!$A$1:$A$105,0),MATCH(B$24,'Standard working hours - CAE'!$A$1:$I$1,0))</f>
        <v>LE</v>
      </c>
      <c r="C46" s="149" t="s">
        <v>200</v>
      </c>
      <c r="D46" s="153" t="str">
        <f>INDEX('Standard working hours - CAE'!$A$1:$I$105,MATCH($C46,'Standard working hours - CAE'!$A$1:$A$105,0),MATCH(D$24,'Standard working hours - CAE'!$A$1:$I$1,0))</f>
        <v>Turbo HE / UCC -  Heat transfer / Modal analysis / Thermal mechanical analysis - Major loop</v>
      </c>
      <c r="E46" s="51" t="str">
        <f>IF('Project information'!$A$4="","",'Project information'!$A$4)</f>
        <v>China</v>
      </c>
      <c r="F46" s="149" t="str">
        <f>INDEX('Standard working hours - CAE'!$A$1:$I$105,MATCH($C46,'Standard working hours - CAE'!$A$1:$A$105,0),MATCH(F$24,'Standard working hours - CAE'!$A$1:$I$1,0))</f>
        <v>Faurecia</v>
      </c>
      <c r="G46" s="149" t="str">
        <f>INDEX('Standard working hours - CAE'!$A$1:$I$105,MATCH($C46,'Standard working hours - CAE'!$A$1:$A$105,0),MATCH(G$24,'Standard working hours - CAE'!$A$1:$I$1,0))</f>
        <v>FSE-I-DSE-P012
FSE-S-DSE-L023
FSE-S-DSE-L024
FSE-S-DSE-L025
FSE-S-DSE-L026
FSE-S-DSE-G049
FSE-S-DSE-G050
FSE-I-DSE-L001</v>
      </c>
      <c r="H46" s="46"/>
      <c r="I46" s="46"/>
      <c r="J46" s="46"/>
      <c r="K46" s="46"/>
      <c r="L46" s="46"/>
      <c r="M46" s="33">
        <f t="shared" si="51"/>
        <v>0</v>
      </c>
      <c r="N46" s="157">
        <f>IF(E46="","",IF(ISERROR(INDEX('Standard working hours - CAE'!$A$1:$I$105,MATCH($C46,'Standard working hours - CAE'!$A$1:$A$105,0),MATCH($E46,'Standard working hours - CAE'!$A$1:$I$1,0))*INDEX('Standard hourly rate'!$A$1:$E$14,MATCH("CAE",'Standard hourly rate'!$A$1:$A$14,0),MATCH($E46,'Standard hourly rate'!$A$1:$E$1,0))),"NA",INDEX('Standard working hours - CAE'!$A$1:$I$105,MATCH($C46,'Standard working hours - CAE'!$A$1:$A$105,0),MATCH($E46,'Standard working hours - CAE'!$A$1:$I$1,0))*INDEX('Standard hourly rate'!$A$1:$E$14,MATCH("CAE",'Standard hourly rate'!$A$1:$A$14,0),MATCH($E46,'Standard hourly rate'!$A$1:$E$1,0))))</f>
        <v>29640</v>
      </c>
      <c r="O46" s="45">
        <f>IF(OR(ISERROR($N46),$N46="",$N46="NA"),0,H46*$N46)*(1+INDEX('For Finance Control'!$B$27:$E$29,3,MATCH('Project information'!$A$4,'For Finance Control'!$B$27:$E$27,0)))</f>
        <v>0</v>
      </c>
      <c r="P46" s="45">
        <f>IF(OR(ISERROR($N46),$N46="",$N46="NA"),0,I46*$N46)*(1+INDEX('For Finance Control'!$B$27:$E$29,3,MATCH('Project information'!$A$4,'For Finance Control'!$B$27:$E$27,0)))</f>
        <v>0</v>
      </c>
      <c r="Q46" s="45">
        <f>IF(OR(ISERROR($N46),$N46="",$N46="NA"),0,J46*$N46)*(1+INDEX('For Finance Control'!$B$27:$E$29,3,MATCH('Project information'!$A$4,'For Finance Control'!$B$27:$E$27,0)))</f>
        <v>0</v>
      </c>
      <c r="R46" s="45">
        <f>IF(OR(ISERROR($N46),$N46="",$N46="NA"),0,K46*$N46)*(1+INDEX('For Finance Control'!$B$27:$E$29,3,MATCH('Project information'!$A$4,'For Finance Control'!$B$27:$E$27,0)))</f>
        <v>0</v>
      </c>
      <c r="S46" s="45">
        <f>IF(OR(ISERROR($N46),$N46="",$N46="NA"),0,L46*$N46)*(1+INDEX('For Finance Control'!$B$27:$E$29,3,MATCH('Project information'!$A$4,'For Finance Control'!$B$27:$E$27,0)))</f>
        <v>0</v>
      </c>
      <c r="T46" s="45">
        <f t="shared" si="52"/>
        <v>0</v>
      </c>
      <c r="U46" s="33" cm="1">
        <f t="array" ref="U46">IF($N46="NA","NA",$N46*INDEX('Exchange rate'!$A$1:$G$7,MATCH('Project information'!$A$13,'Exchange rate'!$A$1:$A$7,0),MATCH(LOOKUP(2,1/({"China";"Korea";"India";"Japan";"EUR";"NAO"}=$E46),{"CNY";"KRW";"INR";"JPY";"EUR";"USD"}),'Exchange rate'!$A$1:$G$1,0)))</f>
        <v>29640</v>
      </c>
      <c r="V46" s="33">
        <f t="shared" si="53"/>
        <v>0</v>
      </c>
      <c r="W46" s="33">
        <f t="shared" si="54"/>
        <v>0</v>
      </c>
      <c r="X46" s="33">
        <f t="shared" si="55"/>
        <v>0</v>
      </c>
      <c r="Y46" s="33">
        <f t="shared" si="56"/>
        <v>0</v>
      </c>
      <c r="Z46" s="33">
        <f t="shared" si="57"/>
        <v>0</v>
      </c>
      <c r="AA46" s="33">
        <f t="shared" si="58"/>
        <v>0</v>
      </c>
      <c r="AB46" s="246"/>
      <c r="AC46" s="247"/>
      <c r="AZ46" s="148" t="str">
        <f t="shared" si="60"/>
        <v>3.21</v>
      </c>
      <c r="BA46" s="149" t="s">
        <v>198</v>
      </c>
    </row>
    <row r="47" spans="1:53" ht="100" outlineLevel="1">
      <c r="A47" s="148" t="str">
        <f t="shared" si="59"/>
        <v>3.22</v>
      </c>
      <c r="B47" s="148" t="str">
        <f>INDEX('Standard working hours - CAE'!$A$1:$I$105,MATCH($C47,'Standard working hours - CAE'!$A$1:$A$105,0),MATCH(B$24,'Standard working hours - CAE'!$A$1:$I$1,0))</f>
        <v>LE</v>
      </c>
      <c r="C47" s="149" t="s">
        <v>201</v>
      </c>
      <c r="D47" s="153" t="str">
        <f>INDEX('Standard working hours - CAE'!$A$1:$I$105,MATCH($C47,'Standard working hours - CAE'!$A$1:$A$105,0),MATCH(D$24,'Standard working hours - CAE'!$A$1:$I$1,0))</f>
        <v>Manifold / Maniverter -  Heat transfer / Modal analysis / Thermal mechanical analysis - Minor loop</v>
      </c>
      <c r="E47" s="51" t="str">
        <f>IF('Project information'!$A$4="","",'Project information'!$A$4)</f>
        <v>China</v>
      </c>
      <c r="F47" s="149" t="str">
        <f>INDEX('Standard working hours - CAE'!$A$1:$I$105,MATCH($C47,'Standard working hours - CAE'!$A$1:$A$105,0),MATCH(F$24,'Standard working hours - CAE'!$A$1:$I$1,0))</f>
        <v>Faurecia</v>
      </c>
      <c r="G47" s="149" t="str">
        <f>INDEX('Standard working hours - CAE'!$A$1:$I$105,MATCH($C47,'Standard working hours - CAE'!$A$1:$A$105,0),MATCH(G$24,'Standard working hours - CAE'!$A$1:$I$1,0))</f>
        <v>FSE-I-DSE-P012
FSE-S-DSE-L023
FSE-S-DSE-L024
FSE-S-DSE-L025
FSE-S-DSE-L026
FSE-S-DSE-G049
FSE-S-DSE-G050
FSE-I-DSE-L001</v>
      </c>
      <c r="H47" s="46"/>
      <c r="I47" s="46"/>
      <c r="J47" s="46"/>
      <c r="K47" s="46"/>
      <c r="L47" s="46"/>
      <c r="M47" s="33">
        <f t="shared" si="51"/>
        <v>0</v>
      </c>
      <c r="N47" s="157">
        <f>IF(E47="","",IF(ISERROR(INDEX('Standard working hours - CAE'!$A$1:$I$105,MATCH($C47,'Standard working hours - CAE'!$A$1:$A$105,0),MATCH($E47,'Standard working hours - CAE'!$A$1:$I$1,0))*INDEX('Standard hourly rate'!$A$1:$E$14,MATCH("CAE",'Standard hourly rate'!$A$1:$A$14,0),MATCH($E47,'Standard hourly rate'!$A$1:$E$1,0))),"NA",INDEX('Standard working hours - CAE'!$A$1:$I$105,MATCH($C47,'Standard working hours - CAE'!$A$1:$A$105,0),MATCH($E47,'Standard working hours - CAE'!$A$1:$I$1,0))*INDEX('Standard hourly rate'!$A$1:$E$14,MATCH("CAE",'Standard hourly rate'!$A$1:$A$14,0),MATCH($E47,'Standard hourly rate'!$A$1:$E$1,0))))</f>
        <v>14820</v>
      </c>
      <c r="O47" s="45">
        <f>IF(OR(ISERROR($N47),$N47="",$N47="NA"),0,H47*$N47)*(1+INDEX('For Finance Control'!$B$27:$E$29,3,MATCH('Project information'!$A$4,'For Finance Control'!$B$27:$E$27,0)))</f>
        <v>0</v>
      </c>
      <c r="P47" s="45">
        <f>IF(OR(ISERROR($N47),$N47="",$N47="NA"),0,I47*$N47)*(1+INDEX('For Finance Control'!$B$27:$E$29,3,MATCH('Project information'!$A$4,'For Finance Control'!$B$27:$E$27,0)))</f>
        <v>0</v>
      </c>
      <c r="Q47" s="45">
        <f>IF(OR(ISERROR($N47),$N47="",$N47="NA"),0,J47*$N47)*(1+INDEX('For Finance Control'!$B$27:$E$29,3,MATCH('Project information'!$A$4,'For Finance Control'!$B$27:$E$27,0)))</f>
        <v>0</v>
      </c>
      <c r="R47" s="45">
        <f>IF(OR(ISERROR($N47),$N47="",$N47="NA"),0,K47*$N47)*(1+INDEX('For Finance Control'!$B$27:$E$29,3,MATCH('Project information'!$A$4,'For Finance Control'!$B$27:$E$27,0)))</f>
        <v>0</v>
      </c>
      <c r="S47" s="45">
        <f>IF(OR(ISERROR($N47),$N47="",$N47="NA"),0,L47*$N47)*(1+INDEX('For Finance Control'!$B$27:$E$29,3,MATCH('Project information'!$A$4,'For Finance Control'!$B$27:$E$27,0)))</f>
        <v>0</v>
      </c>
      <c r="T47" s="45">
        <f t="shared" si="52"/>
        <v>0</v>
      </c>
      <c r="U47" s="33" cm="1">
        <f t="array" ref="U47">IF($N47="NA","NA",$N47*INDEX('Exchange rate'!$A$1:$G$7,MATCH('Project information'!$A$13,'Exchange rate'!$A$1:$A$7,0),MATCH(LOOKUP(2,1/({"China";"Korea";"India";"Japan";"EUR";"NAO"}=$E47),{"CNY";"KRW";"INR";"JPY";"EUR";"USD"}),'Exchange rate'!$A$1:$G$1,0)))</f>
        <v>14820</v>
      </c>
      <c r="V47" s="33">
        <f t="shared" si="53"/>
        <v>0</v>
      </c>
      <c r="W47" s="33">
        <f t="shared" si="54"/>
        <v>0</v>
      </c>
      <c r="X47" s="33">
        <f t="shared" si="55"/>
        <v>0</v>
      </c>
      <c r="Y47" s="33">
        <f t="shared" si="56"/>
        <v>0</v>
      </c>
      <c r="Z47" s="33">
        <f t="shared" si="57"/>
        <v>0</v>
      </c>
      <c r="AA47" s="33">
        <f t="shared" si="58"/>
        <v>0</v>
      </c>
      <c r="AB47" s="246"/>
      <c r="AC47" s="247"/>
      <c r="AZ47" s="148" t="str">
        <f t="shared" si="60"/>
        <v>3.22</v>
      </c>
      <c r="BA47" s="149" t="s">
        <v>198</v>
      </c>
    </row>
    <row r="48" spans="1:53" ht="100" outlineLevel="1">
      <c r="A48" s="148" t="str">
        <f t="shared" si="59"/>
        <v>3.23</v>
      </c>
      <c r="B48" s="148" t="str">
        <f>INDEX('Standard working hours - CAE'!$A$1:$I$105,MATCH($C48,'Standard working hours - CAE'!$A$1:$A$105,0),MATCH(B$24,'Standard working hours - CAE'!$A$1:$I$1,0))</f>
        <v>LE</v>
      </c>
      <c r="C48" s="149" t="s">
        <v>202</v>
      </c>
      <c r="D48" s="153" t="str">
        <f>INDEX('Standard working hours - CAE'!$A$1:$I$105,MATCH($C48,'Standard working hours - CAE'!$A$1:$A$105,0),MATCH(D$24,'Standard working hours - CAE'!$A$1:$I$1,0))</f>
        <v>Diesel EU6 -  Heat transfer / Modal analysis / Thermal mechanical analysis - Minor loop</v>
      </c>
      <c r="E48" s="51" t="str">
        <f>IF('Project information'!$A$4="","",'Project information'!$A$4)</f>
        <v>China</v>
      </c>
      <c r="F48" s="149" t="str">
        <f>INDEX('Standard working hours - CAE'!$A$1:$I$105,MATCH($C48,'Standard working hours - CAE'!$A$1:$A$105,0),MATCH(F$24,'Standard working hours - CAE'!$A$1:$I$1,0))</f>
        <v>Faurecia</v>
      </c>
      <c r="G48" s="149" t="str">
        <f>INDEX('Standard working hours - CAE'!$A$1:$I$105,MATCH($C48,'Standard working hours - CAE'!$A$1:$A$105,0),MATCH(G$24,'Standard working hours - CAE'!$A$1:$I$1,0))</f>
        <v>FSE-I-DSE-P012
FSE-S-DSE-L023
FSE-S-DSE-L024
FSE-S-DSE-L025
FSE-S-DSE-L026
FSE-S-DSE-G049
FSE-S-DSE-G050
FSE-I-DSE-L001</v>
      </c>
      <c r="H48" s="46"/>
      <c r="I48" s="46"/>
      <c r="J48" s="46"/>
      <c r="K48" s="46"/>
      <c r="L48" s="46"/>
      <c r="M48" s="33">
        <f t="shared" si="51"/>
        <v>0</v>
      </c>
      <c r="N48" s="157">
        <f>IF(E48="","",IF(ISERROR(INDEX('Standard working hours - CAE'!$A$1:$I$105,MATCH($C48,'Standard working hours - CAE'!$A$1:$A$105,0),MATCH($E48,'Standard working hours - CAE'!$A$1:$I$1,0))*INDEX('Standard hourly rate'!$A$1:$E$14,MATCH("CAE",'Standard hourly rate'!$A$1:$A$14,0),MATCH($E48,'Standard hourly rate'!$A$1:$E$1,0))),"NA",INDEX('Standard working hours - CAE'!$A$1:$I$105,MATCH($C48,'Standard working hours - CAE'!$A$1:$A$105,0),MATCH($E48,'Standard working hours - CAE'!$A$1:$I$1,0))*INDEX('Standard hourly rate'!$A$1:$E$14,MATCH("CAE",'Standard hourly rate'!$A$1:$A$14,0),MATCH($E48,'Standard hourly rate'!$A$1:$E$1,0))))</f>
        <v>22724</v>
      </c>
      <c r="O48" s="45">
        <f>IF(OR(ISERROR($N48),$N48="",$N48="NA"),0,H48*$N48)*(1+INDEX('For Finance Control'!$B$27:$E$29,3,MATCH('Project information'!$A$4,'For Finance Control'!$B$27:$E$27,0)))</f>
        <v>0</v>
      </c>
      <c r="P48" s="45">
        <f>IF(OR(ISERROR($N48),$N48="",$N48="NA"),0,I48*$N48)*(1+INDEX('For Finance Control'!$B$27:$E$29,3,MATCH('Project information'!$A$4,'For Finance Control'!$B$27:$E$27,0)))</f>
        <v>0</v>
      </c>
      <c r="Q48" s="45">
        <f>IF(OR(ISERROR($N48),$N48="",$N48="NA"),0,J48*$N48)*(1+INDEX('For Finance Control'!$B$27:$E$29,3,MATCH('Project information'!$A$4,'For Finance Control'!$B$27:$E$27,0)))</f>
        <v>0</v>
      </c>
      <c r="R48" s="45">
        <f>IF(OR(ISERROR($N48),$N48="",$N48="NA"),0,K48*$N48)*(1+INDEX('For Finance Control'!$B$27:$E$29,3,MATCH('Project information'!$A$4,'For Finance Control'!$B$27:$E$27,0)))</f>
        <v>0</v>
      </c>
      <c r="S48" s="45">
        <f>IF(OR(ISERROR($N48),$N48="",$N48="NA"),0,L48*$N48)*(1+INDEX('For Finance Control'!$B$27:$E$29,3,MATCH('Project information'!$A$4,'For Finance Control'!$B$27:$E$27,0)))</f>
        <v>0</v>
      </c>
      <c r="T48" s="45">
        <f t="shared" si="52"/>
        <v>0</v>
      </c>
      <c r="U48" s="33" cm="1">
        <f t="array" ref="U48">IF($N48="NA","NA",$N48*INDEX('Exchange rate'!$A$1:$G$7,MATCH('Project information'!$A$13,'Exchange rate'!$A$1:$A$7,0),MATCH(LOOKUP(2,1/({"China";"Korea";"India";"Japan";"EUR";"NAO"}=$E48),{"CNY";"KRW";"INR";"JPY";"EUR";"USD"}),'Exchange rate'!$A$1:$G$1,0)))</f>
        <v>22724</v>
      </c>
      <c r="V48" s="33">
        <f t="shared" si="53"/>
        <v>0</v>
      </c>
      <c r="W48" s="33">
        <f t="shared" si="54"/>
        <v>0</v>
      </c>
      <c r="X48" s="33">
        <f t="shared" si="55"/>
        <v>0</v>
      </c>
      <c r="Y48" s="33">
        <f t="shared" si="56"/>
        <v>0</v>
      </c>
      <c r="Z48" s="33">
        <f t="shared" si="57"/>
        <v>0</v>
      </c>
      <c r="AA48" s="33">
        <f t="shared" si="58"/>
        <v>0</v>
      </c>
      <c r="AB48" s="246"/>
      <c r="AC48" s="247"/>
      <c r="AZ48" s="148" t="str">
        <f t="shared" si="60"/>
        <v>3.23</v>
      </c>
      <c r="BA48" s="149" t="s">
        <v>198</v>
      </c>
    </row>
    <row r="49" spans="1:53" ht="100" outlineLevel="1">
      <c r="A49" s="148" t="str">
        <f t="shared" si="59"/>
        <v>3.24</v>
      </c>
      <c r="B49" s="148" t="str">
        <f>INDEX('Standard working hours - CAE'!$A$1:$I$105,MATCH($C49,'Standard working hours - CAE'!$A$1:$A$105,0),MATCH(B$24,'Standard working hours - CAE'!$A$1:$I$1,0))</f>
        <v>LE</v>
      </c>
      <c r="C49" s="149" t="s">
        <v>203</v>
      </c>
      <c r="D49" s="153" t="str">
        <f>INDEX('Standard working hours - CAE'!$A$1:$I$105,MATCH($C49,'Standard working hours - CAE'!$A$1:$A$105,0),MATCH(D$24,'Standard working hours - CAE'!$A$1:$I$1,0))</f>
        <v>Turbo HE / UCC -  Heat transfer / Modal analysis / Thermal mechanical analysis - Minor loop</v>
      </c>
      <c r="E49" s="51" t="str">
        <f>IF('Project information'!$A$4="","",'Project information'!$A$4)</f>
        <v>China</v>
      </c>
      <c r="F49" s="149" t="str">
        <f>INDEX('Standard working hours - CAE'!$A$1:$I$105,MATCH($C49,'Standard working hours - CAE'!$A$1:$A$105,0),MATCH(F$24,'Standard working hours - CAE'!$A$1:$I$1,0))</f>
        <v>Faurecia</v>
      </c>
      <c r="G49" s="149" t="str">
        <f>INDEX('Standard working hours - CAE'!$A$1:$I$105,MATCH($C49,'Standard working hours - CAE'!$A$1:$A$105,0),MATCH(G$24,'Standard working hours - CAE'!$A$1:$I$1,0))</f>
        <v>FSE-I-DSE-P012
FSE-S-DSE-L023
FSE-S-DSE-L024
FSE-S-DSE-L025
FSE-S-DSE-L026
FSE-S-DSE-G049
FSE-S-DSE-G050
FSE-I-DSE-L001</v>
      </c>
      <c r="H49" s="46"/>
      <c r="I49" s="46"/>
      <c r="J49" s="46"/>
      <c r="K49" s="46"/>
      <c r="L49" s="46"/>
      <c r="M49" s="33">
        <f t="shared" si="51"/>
        <v>0</v>
      </c>
      <c r="N49" s="157">
        <f>IF(E49="","",IF(ISERROR(INDEX('Standard working hours - CAE'!$A$1:$I$105,MATCH($C49,'Standard working hours - CAE'!$A$1:$A$105,0),MATCH($E49,'Standard working hours - CAE'!$A$1:$I$1,0))*INDEX('Standard hourly rate'!$A$1:$E$14,MATCH("CAE",'Standard hourly rate'!$A$1:$A$14,0),MATCH($E49,'Standard hourly rate'!$A$1:$E$1,0))),"NA",INDEX('Standard working hours - CAE'!$A$1:$I$105,MATCH($C49,'Standard working hours - CAE'!$A$1:$A$105,0),MATCH($E49,'Standard working hours - CAE'!$A$1:$I$1,0))*INDEX('Standard hourly rate'!$A$1:$E$14,MATCH("CAE",'Standard hourly rate'!$A$1:$A$14,0),MATCH($E49,'Standard hourly rate'!$A$1:$E$1,0))))</f>
        <v>22724</v>
      </c>
      <c r="O49" s="45">
        <f>IF(OR(ISERROR($N49),$N49="",$N49="NA"),0,H49*$N49)*(1+INDEX('For Finance Control'!$B$27:$E$29,3,MATCH('Project information'!$A$4,'For Finance Control'!$B$27:$E$27,0)))</f>
        <v>0</v>
      </c>
      <c r="P49" s="45">
        <f>IF(OR(ISERROR($N49),$N49="",$N49="NA"),0,I49*$N49)*(1+INDEX('For Finance Control'!$B$27:$E$29,3,MATCH('Project information'!$A$4,'For Finance Control'!$B$27:$E$27,0)))</f>
        <v>0</v>
      </c>
      <c r="Q49" s="45">
        <f>IF(OR(ISERROR($N49),$N49="",$N49="NA"),0,J49*$N49)*(1+INDEX('For Finance Control'!$B$27:$E$29,3,MATCH('Project information'!$A$4,'For Finance Control'!$B$27:$E$27,0)))</f>
        <v>0</v>
      </c>
      <c r="R49" s="45">
        <f>IF(OR(ISERROR($N49),$N49="",$N49="NA"),0,K49*$N49)*(1+INDEX('For Finance Control'!$B$27:$E$29,3,MATCH('Project information'!$A$4,'For Finance Control'!$B$27:$E$27,0)))</f>
        <v>0</v>
      </c>
      <c r="S49" s="45">
        <f>IF(OR(ISERROR($N49),$N49="",$N49="NA"),0,L49*$N49)*(1+INDEX('For Finance Control'!$B$27:$E$29,3,MATCH('Project information'!$A$4,'For Finance Control'!$B$27:$E$27,0)))</f>
        <v>0</v>
      </c>
      <c r="T49" s="45">
        <f t="shared" si="52"/>
        <v>0</v>
      </c>
      <c r="U49" s="33" cm="1">
        <f t="array" ref="U49">IF($N49="NA","NA",$N49*INDEX('Exchange rate'!$A$1:$G$7,MATCH('Project information'!$A$13,'Exchange rate'!$A$1:$A$7,0),MATCH(LOOKUP(2,1/({"China";"Korea";"India";"Japan";"EUR";"NAO"}=$E49),{"CNY";"KRW";"INR";"JPY";"EUR";"USD"}),'Exchange rate'!$A$1:$G$1,0)))</f>
        <v>22724</v>
      </c>
      <c r="V49" s="33">
        <f t="shared" si="53"/>
        <v>0</v>
      </c>
      <c r="W49" s="33">
        <f t="shared" si="54"/>
        <v>0</v>
      </c>
      <c r="X49" s="33">
        <f t="shared" si="55"/>
        <v>0</v>
      </c>
      <c r="Y49" s="33">
        <f t="shared" si="56"/>
        <v>0</v>
      </c>
      <c r="Z49" s="33">
        <f t="shared" si="57"/>
        <v>0</v>
      </c>
      <c r="AA49" s="33">
        <f t="shared" si="58"/>
        <v>0</v>
      </c>
      <c r="AB49" s="246"/>
      <c r="AC49" s="247"/>
      <c r="AZ49" s="148" t="str">
        <f t="shared" si="60"/>
        <v>3.24</v>
      </c>
      <c r="BA49" s="149" t="s">
        <v>198</v>
      </c>
    </row>
    <row r="50" spans="1:53" ht="25" outlineLevel="1">
      <c r="A50" s="148" t="str">
        <f t="shared" si="59"/>
        <v>3.25</v>
      </c>
      <c r="B50" s="148" t="str">
        <f>INDEX('Standard working hours - CAE'!$A$1:$I$105,MATCH($C50,'Standard working hours - CAE'!$A$1:$A$105,0),MATCH(B$24,'Standard working hours - CAE'!$A$1:$I$1,0))</f>
        <v>LE</v>
      </c>
      <c r="C50" s="149" t="s">
        <v>204</v>
      </c>
      <c r="D50" s="153" t="str">
        <f>INDEX('Standard working hours - CAE'!$A$1:$I$105,MATCH($C50,'Standard working hours - CAE'!$A$1:$A$105,0),MATCH(D$24,'Standard working hours - CAE'!$A$1:$I$1,0))</f>
        <v>Hot end - Force response based on 3.17 / 3.18 / 3.19</v>
      </c>
      <c r="E50" s="51" t="str">
        <f>IF('Project information'!$A$4="","",'Project information'!$A$4)</f>
        <v>China</v>
      </c>
      <c r="F50" s="149" t="str">
        <f>INDEX('Standard working hours - CAE'!$A$1:$I$105,MATCH($C50,'Standard working hours - CAE'!$A$1:$A$105,0),MATCH(F$24,'Standard working hours - CAE'!$A$1:$I$1,0))</f>
        <v>Faurecia</v>
      </c>
      <c r="G50" s="149" t="str">
        <f>INDEX('Standard working hours - CAE'!$A$1:$I$105,MATCH($C50,'Standard working hours - CAE'!$A$1:$A$105,0),MATCH(G$24,'Standard working hours - CAE'!$A$1:$I$1,0))</f>
        <v>FSE-I-DSE-L001</v>
      </c>
      <c r="H50" s="46"/>
      <c r="I50" s="46"/>
      <c r="J50" s="46"/>
      <c r="K50" s="46"/>
      <c r="L50" s="46"/>
      <c r="M50" s="33">
        <f t="shared" si="51"/>
        <v>0</v>
      </c>
      <c r="N50" s="157">
        <f>IF(E50="","",IF(ISERROR(INDEX('Standard working hours - CAE'!$A$1:$I$105,MATCH($C50,'Standard working hours - CAE'!$A$1:$A$105,0),MATCH($E50,'Standard working hours - CAE'!$A$1:$I$1,0))*INDEX('Standard hourly rate'!$A$1:$E$14,MATCH("CAE",'Standard hourly rate'!$A$1:$A$14,0),MATCH($E50,'Standard hourly rate'!$A$1:$E$1,0))),"NA",INDEX('Standard working hours - CAE'!$A$1:$I$105,MATCH($C50,'Standard working hours - CAE'!$A$1:$A$105,0),MATCH($E50,'Standard working hours - CAE'!$A$1:$I$1,0))*INDEX('Standard hourly rate'!$A$1:$E$14,MATCH("CAE",'Standard hourly rate'!$A$1:$A$14,0),MATCH($E50,'Standard hourly rate'!$A$1:$E$1,0))))</f>
        <v>4940</v>
      </c>
      <c r="O50" s="45">
        <f>IF(OR(ISERROR($N50),$N50="",$N50="NA"),0,H50*$N50)*(1+INDEX('For Finance Control'!$B$27:$E$29,3,MATCH('Project information'!$A$4,'For Finance Control'!$B$27:$E$27,0)))</f>
        <v>0</v>
      </c>
      <c r="P50" s="45">
        <f>IF(OR(ISERROR($N50),$N50="",$N50="NA"),0,I50*$N50)*(1+INDEX('For Finance Control'!$B$27:$E$29,3,MATCH('Project information'!$A$4,'For Finance Control'!$B$27:$E$27,0)))</f>
        <v>0</v>
      </c>
      <c r="Q50" s="45">
        <f>IF(OR(ISERROR($N50),$N50="",$N50="NA"),0,J50*$N50)*(1+INDEX('For Finance Control'!$B$27:$E$29,3,MATCH('Project information'!$A$4,'For Finance Control'!$B$27:$E$27,0)))</f>
        <v>0</v>
      </c>
      <c r="R50" s="45">
        <f>IF(OR(ISERROR($N50),$N50="",$N50="NA"),0,K50*$N50)*(1+INDEX('For Finance Control'!$B$27:$E$29,3,MATCH('Project information'!$A$4,'For Finance Control'!$B$27:$E$27,0)))</f>
        <v>0</v>
      </c>
      <c r="S50" s="45">
        <f>IF(OR(ISERROR($N50),$N50="",$N50="NA"),0,L50*$N50)*(1+INDEX('For Finance Control'!$B$27:$E$29,3,MATCH('Project information'!$A$4,'For Finance Control'!$B$27:$E$27,0)))</f>
        <v>0</v>
      </c>
      <c r="T50" s="45">
        <f t="shared" si="52"/>
        <v>0</v>
      </c>
      <c r="U50" s="33" cm="1">
        <f t="array" ref="U50">IF($N50="NA","NA",$N50*INDEX('Exchange rate'!$A$1:$G$7,MATCH('Project information'!$A$13,'Exchange rate'!$A$1:$A$7,0),MATCH(LOOKUP(2,1/({"China";"Korea";"India";"Japan";"EUR";"NAO"}=$E50),{"CNY";"KRW";"INR";"JPY";"EUR";"USD"}),'Exchange rate'!$A$1:$G$1,0)))</f>
        <v>4940</v>
      </c>
      <c r="V50" s="33">
        <f t="shared" si="53"/>
        <v>0</v>
      </c>
      <c r="W50" s="33">
        <f t="shared" si="54"/>
        <v>0</v>
      </c>
      <c r="X50" s="33">
        <f t="shared" si="55"/>
        <v>0</v>
      </c>
      <c r="Y50" s="33">
        <f t="shared" si="56"/>
        <v>0</v>
      </c>
      <c r="Z50" s="33">
        <f t="shared" si="57"/>
        <v>0</v>
      </c>
      <c r="AA50" s="33">
        <f t="shared" si="58"/>
        <v>0</v>
      </c>
      <c r="AB50" s="246"/>
      <c r="AC50" s="247"/>
      <c r="AZ50" s="148" t="str">
        <f t="shared" si="60"/>
        <v>3.25</v>
      </c>
      <c r="BA50" s="149" t="s">
        <v>205</v>
      </c>
    </row>
    <row r="51" spans="1:53" ht="37.5" outlineLevel="1">
      <c r="A51" s="148" t="str">
        <f t="shared" si="59"/>
        <v>3.26</v>
      </c>
      <c r="B51" s="148" t="str">
        <f>INDEX('Standard working hours - CAE'!$A$1:$I$105,MATCH($C51,'Standard working hours - CAE'!$A$1:$A$105,0),MATCH(B$24,'Standard working hours - CAE'!$A$1:$I$1,0))</f>
        <v>LE</v>
      </c>
      <c r="C51" s="149" t="s">
        <v>206</v>
      </c>
      <c r="D51" s="153" t="str">
        <f>INDEX('Standard working hours - CAE'!$A$1:$I$105,MATCH($C51,'Standard working hours - CAE'!$A$1:$A$105,0),MATCH(D$24,'Standard working hours - CAE'!$A$1:$I$1,0))</f>
        <v>Hot end - Heat Transfer / Natural Frequency / Force Response / Thermal Mechanical</v>
      </c>
      <c r="E51" s="51" t="str">
        <f>IF('Project information'!$A$4="","",'Project information'!$A$4)</f>
        <v>China</v>
      </c>
      <c r="F51" s="149" t="str">
        <f>INDEX('Standard working hours - CAE'!$A$1:$I$105,MATCH($C51,'Standard working hours - CAE'!$A$1:$A$105,0),MATCH(F$24,'Standard working hours - CAE'!$A$1:$I$1,0))</f>
        <v>Ford</v>
      </c>
      <c r="G51" s="149" t="str">
        <f>INDEX('Standard working hours - CAE'!$A$1:$I$105,MATCH($C51,'Standard working hours - CAE'!$A$1:$A$105,0),MATCH(G$24,'Standard working hours - CAE'!$A$1:$I$1,0))</f>
        <v>CETP 09.00-C-413
CETP 03.01-C-301
CETP 09.00-C-302</v>
      </c>
      <c r="H51" s="46"/>
      <c r="I51" s="46"/>
      <c r="J51" s="46"/>
      <c r="K51" s="46"/>
      <c r="L51" s="46"/>
      <c r="M51" s="33">
        <f t="shared" si="51"/>
        <v>0</v>
      </c>
      <c r="N51" s="157">
        <f>IF(E51="","",IF(ISERROR(INDEX('Standard working hours - CAE'!$A$1:$I$105,MATCH($C51,'Standard working hours - CAE'!$A$1:$A$105,0),MATCH($E51,'Standard working hours - CAE'!$A$1:$I$1,0))*INDEX('Standard hourly rate'!$A$1:$E$14,MATCH("CAE",'Standard hourly rate'!$A$1:$A$14,0),MATCH($E51,'Standard hourly rate'!$A$1:$E$1,0))),"NA",INDEX('Standard working hours - CAE'!$A$1:$I$105,MATCH($C51,'Standard working hours - CAE'!$A$1:$A$105,0),MATCH($E51,'Standard working hours - CAE'!$A$1:$I$1,0))*INDEX('Standard hourly rate'!$A$1:$E$14,MATCH("CAE",'Standard hourly rate'!$A$1:$A$14,0),MATCH($E51,'Standard hourly rate'!$A$1:$E$1,0))))</f>
        <v>35568</v>
      </c>
      <c r="O51" s="45">
        <f>IF(OR(ISERROR($N51),$N51="",$N51="NA"),0,H51*$N51)*(1+INDEX('For Finance Control'!$B$27:$E$29,3,MATCH('Project information'!$A$4,'For Finance Control'!$B$27:$E$27,0)))</f>
        <v>0</v>
      </c>
      <c r="P51" s="45">
        <f>IF(OR(ISERROR($N51),$N51="",$N51="NA"),0,I51*$N51)*(1+INDEX('For Finance Control'!$B$27:$E$29,3,MATCH('Project information'!$A$4,'For Finance Control'!$B$27:$E$27,0)))</f>
        <v>0</v>
      </c>
      <c r="Q51" s="45">
        <f>IF(OR(ISERROR($N51),$N51="",$N51="NA"),0,J51*$N51)*(1+INDEX('For Finance Control'!$B$27:$E$29,3,MATCH('Project information'!$A$4,'For Finance Control'!$B$27:$E$27,0)))</f>
        <v>0</v>
      </c>
      <c r="R51" s="45">
        <f>IF(OR(ISERROR($N51),$N51="",$N51="NA"),0,K51*$N51)*(1+INDEX('For Finance Control'!$B$27:$E$29,3,MATCH('Project information'!$A$4,'For Finance Control'!$B$27:$E$27,0)))</f>
        <v>0</v>
      </c>
      <c r="S51" s="45">
        <f>IF(OR(ISERROR($N51),$N51="",$N51="NA"),0,L51*$N51)*(1+INDEX('For Finance Control'!$B$27:$E$29,3,MATCH('Project information'!$A$4,'For Finance Control'!$B$27:$E$27,0)))</f>
        <v>0</v>
      </c>
      <c r="T51" s="45">
        <f t="shared" si="52"/>
        <v>0</v>
      </c>
      <c r="U51" s="33" cm="1">
        <f t="array" ref="U51">IF($N51="NA","NA",$N51*INDEX('Exchange rate'!$A$1:$G$7,MATCH('Project information'!$A$13,'Exchange rate'!$A$1:$A$7,0),MATCH(LOOKUP(2,1/({"China";"Korea";"India";"Japan";"EUR";"NAO"}=$E51),{"CNY";"KRW";"INR";"JPY";"EUR";"USD"}),'Exchange rate'!$A$1:$G$1,0)))</f>
        <v>35568</v>
      </c>
      <c r="V51" s="33">
        <f t="shared" si="53"/>
        <v>0</v>
      </c>
      <c r="W51" s="33">
        <f t="shared" si="54"/>
        <v>0</v>
      </c>
      <c r="X51" s="33">
        <f t="shared" si="55"/>
        <v>0</v>
      </c>
      <c r="Y51" s="33">
        <f t="shared" si="56"/>
        <v>0</v>
      </c>
      <c r="Z51" s="33">
        <f t="shared" si="57"/>
        <v>0</v>
      </c>
      <c r="AA51" s="33">
        <f t="shared" si="58"/>
        <v>0</v>
      </c>
      <c r="AB51" s="246"/>
      <c r="AC51" s="247"/>
      <c r="AZ51" s="148" t="str">
        <f t="shared" si="60"/>
        <v>3.26</v>
      </c>
      <c r="BA51" s="149" t="s">
        <v>207</v>
      </c>
    </row>
    <row r="52" spans="1:53" ht="37.5" outlineLevel="1">
      <c r="A52" s="148" t="str">
        <f t="shared" si="59"/>
        <v>3.27</v>
      </c>
      <c r="B52" s="148" t="str">
        <f>INDEX('Standard working hours - CAE'!$A$1:$I$105,MATCH($C52,'Standard working hours - CAE'!$A$1:$A$105,0),MATCH(B$24,'Standard working hours - CAE'!$A$1:$I$1,0))</f>
        <v>LE</v>
      </c>
      <c r="C52" s="149" t="s">
        <v>208</v>
      </c>
      <c r="D52" s="153" t="str">
        <f>INDEX('Standard working hours - CAE'!$A$1:$I$105,MATCH($C52,'Standard working hours - CAE'!$A$1:$A$105,0),MATCH(D$24,'Standard working hours - CAE'!$A$1:$I$1,0))</f>
        <v>Cold end - Heat Transfer / Static Analysis / Dynamic Analysis / Component</v>
      </c>
      <c r="E52" s="51" t="str">
        <f>IF('Project information'!$A$4="","",'Project information'!$A$4)</f>
        <v>China</v>
      </c>
      <c r="F52" s="149" t="str">
        <f>INDEX('Standard working hours - CAE'!$A$1:$I$105,MATCH($C52,'Standard working hours - CAE'!$A$1:$A$105,0),MATCH(F$24,'Standard working hours - CAE'!$A$1:$I$1,0))</f>
        <v>Ford</v>
      </c>
      <c r="G52" s="149" t="str">
        <f>INDEX('Standard working hours - CAE'!$A$1:$I$105,MATCH($C52,'Standard working hours - CAE'!$A$1:$A$105,0),MATCH(G$24,'Standard working hours - CAE'!$A$1:$I$1,0))</f>
        <v>CETP 09.00-C-413
CETP 03.01-C-301
CETP 09.00-C-302</v>
      </c>
      <c r="H52" s="46"/>
      <c r="I52" s="46"/>
      <c r="J52" s="46"/>
      <c r="K52" s="46"/>
      <c r="L52" s="46"/>
      <c r="M52" s="33">
        <f t="shared" si="51"/>
        <v>0</v>
      </c>
      <c r="N52" s="157">
        <f>IF(E52="","",IF(ISERROR(INDEX('Standard working hours - CAE'!$A$1:$I$105,MATCH($C52,'Standard working hours - CAE'!$A$1:$A$105,0),MATCH($E52,'Standard working hours - CAE'!$A$1:$I$1,0))*INDEX('Standard hourly rate'!$A$1:$E$14,MATCH("CAE",'Standard hourly rate'!$A$1:$A$14,0),MATCH($E52,'Standard hourly rate'!$A$1:$E$1,0))),"NA",INDEX('Standard working hours - CAE'!$A$1:$I$105,MATCH($C52,'Standard working hours - CAE'!$A$1:$A$105,0),MATCH($E52,'Standard working hours - CAE'!$A$1:$I$1,0))*INDEX('Standard hourly rate'!$A$1:$E$14,MATCH("CAE",'Standard hourly rate'!$A$1:$A$14,0),MATCH($E52,'Standard hourly rate'!$A$1:$E$1,0))))</f>
        <v>31616</v>
      </c>
      <c r="O52" s="45">
        <f>IF(OR(ISERROR($N52),$N52="",$N52="NA"),0,H52*$N52)*(1+INDEX('For Finance Control'!$B$27:$E$29,3,MATCH('Project information'!$A$4,'For Finance Control'!$B$27:$E$27,0)))</f>
        <v>0</v>
      </c>
      <c r="P52" s="45">
        <f>IF(OR(ISERROR($N52),$N52="",$N52="NA"),0,I52*$N52)*(1+INDEX('For Finance Control'!$B$27:$E$29,3,MATCH('Project information'!$A$4,'For Finance Control'!$B$27:$E$27,0)))</f>
        <v>0</v>
      </c>
      <c r="Q52" s="45">
        <f>IF(OR(ISERROR($N52),$N52="",$N52="NA"),0,J52*$N52)*(1+INDEX('For Finance Control'!$B$27:$E$29,3,MATCH('Project information'!$A$4,'For Finance Control'!$B$27:$E$27,0)))</f>
        <v>0</v>
      </c>
      <c r="R52" s="45">
        <f>IF(OR(ISERROR($N52),$N52="",$N52="NA"),0,K52*$N52)*(1+INDEX('For Finance Control'!$B$27:$E$29,3,MATCH('Project information'!$A$4,'For Finance Control'!$B$27:$E$27,0)))</f>
        <v>0</v>
      </c>
      <c r="S52" s="45">
        <f>IF(OR(ISERROR($N52),$N52="",$N52="NA"),0,L52*$N52)*(1+INDEX('For Finance Control'!$B$27:$E$29,3,MATCH('Project information'!$A$4,'For Finance Control'!$B$27:$E$27,0)))</f>
        <v>0</v>
      </c>
      <c r="T52" s="45">
        <f t="shared" si="52"/>
        <v>0</v>
      </c>
      <c r="U52" s="33" cm="1">
        <f t="array" ref="U52">IF($N52="NA","NA",$N52*INDEX('Exchange rate'!$A$1:$G$7,MATCH('Project information'!$A$13,'Exchange rate'!$A$1:$A$7,0),MATCH(LOOKUP(2,1/({"China";"Korea";"India";"Japan";"EUR";"NAO"}=$E52),{"CNY";"KRW";"INR";"JPY";"EUR";"USD"}),'Exchange rate'!$A$1:$G$1,0)))</f>
        <v>31616</v>
      </c>
      <c r="V52" s="33">
        <f t="shared" si="53"/>
        <v>0</v>
      </c>
      <c r="W52" s="33">
        <f t="shared" si="54"/>
        <v>0</v>
      </c>
      <c r="X52" s="33">
        <f t="shared" si="55"/>
        <v>0</v>
      </c>
      <c r="Y52" s="33">
        <f t="shared" si="56"/>
        <v>0</v>
      </c>
      <c r="Z52" s="33">
        <f t="shared" si="57"/>
        <v>0</v>
      </c>
      <c r="AA52" s="33">
        <f t="shared" si="58"/>
        <v>0</v>
      </c>
      <c r="AB52" s="246"/>
      <c r="AC52" s="247"/>
      <c r="AZ52" s="148" t="str">
        <f t="shared" si="60"/>
        <v>3.27</v>
      </c>
      <c r="BA52" s="149" t="s">
        <v>207</v>
      </c>
    </row>
    <row r="53" spans="1:53" ht="75" outlineLevel="1">
      <c r="A53" s="148" t="str">
        <f t="shared" si="59"/>
        <v>3.28</v>
      </c>
      <c r="B53" s="148" t="str">
        <f>INDEX('Standard working hours - CAE'!$A$1:$I$105,MATCH($C53,'Standard working hours - CAE'!$A$1:$A$105,0),MATCH(B$24,'Standard working hours - CAE'!$A$1:$I$1,0))</f>
        <v>LE</v>
      </c>
      <c r="C53" s="149" t="s">
        <v>209</v>
      </c>
      <c r="D53" s="153" t="str">
        <f>INDEX('Standard working hours - CAE'!$A$1:$I$105,MATCH($C53,'Standard working hours - CAE'!$A$1:$A$105,0),MATCH(D$24,'Standard working hours - CAE'!$A$1:$I$1,0))</f>
        <v>Cold end simple - mesh / 1G / 4G / Natural Frequency / components analysis</v>
      </c>
      <c r="E53" s="51" t="str">
        <f>IF('Project information'!$A$4="","",'Project information'!$A$4)</f>
        <v>China</v>
      </c>
      <c r="F53" s="149" t="str">
        <f>INDEX('Standard working hours - CAE'!$A$1:$I$105,MATCH($C53,'Standard working hours - CAE'!$A$1:$A$105,0),MATCH(F$24,'Standard working hours - CAE'!$A$1:$I$1,0))</f>
        <v>Faurecia</v>
      </c>
      <c r="G53" s="149" t="str">
        <f>INDEX('Standard working hours - CAE'!$A$1:$I$105,MATCH($C53,'Standard working hours - CAE'!$A$1:$A$105,0),MATCH(G$24,'Standard working hours - CAE'!$A$1:$I$1,0))</f>
        <v>FSE-I-DSE-P012
CHD-I-DSS-2804
CHD-I-DSS-2804
CHD-I-DSS-2805
CHD-I-DSS-2803
CHD-I-DSS-2806</v>
      </c>
      <c r="H53" s="46"/>
      <c r="I53" s="46"/>
      <c r="J53" s="46"/>
      <c r="K53" s="46"/>
      <c r="L53" s="46"/>
      <c r="M53" s="33">
        <f t="shared" si="51"/>
        <v>0</v>
      </c>
      <c r="N53" s="157">
        <f>IF(E53="","",IF(ISERROR(INDEX('Standard working hours - CAE'!$A$1:$I$105,MATCH($C53,'Standard working hours - CAE'!$A$1:$A$105,0),MATCH($E53,'Standard working hours - CAE'!$A$1:$I$1,0))*INDEX('Standard hourly rate'!$A$1:$E$14,MATCH("CAE",'Standard hourly rate'!$A$1:$A$14,0),MATCH($E53,'Standard hourly rate'!$A$1:$E$1,0))),"NA",INDEX('Standard working hours - CAE'!$A$1:$I$105,MATCH($C53,'Standard working hours - CAE'!$A$1:$A$105,0),MATCH($E53,'Standard working hours - CAE'!$A$1:$I$1,0))*INDEX('Standard hourly rate'!$A$1:$E$14,MATCH("CAE",'Standard hourly rate'!$A$1:$A$14,0),MATCH($E53,'Standard hourly rate'!$A$1:$E$1,0))))</f>
        <v>17290</v>
      </c>
      <c r="O53" s="45">
        <f>IF(OR(ISERROR($N53),$N53="",$N53="NA"),0,H53*$N53)*(1+INDEX('For Finance Control'!$B$27:$E$29,3,MATCH('Project information'!$A$4,'For Finance Control'!$B$27:$E$27,0)))</f>
        <v>0</v>
      </c>
      <c r="P53" s="45">
        <f>IF(OR(ISERROR($N53),$N53="",$N53="NA"),0,I53*$N53)*(1+INDEX('For Finance Control'!$B$27:$E$29,3,MATCH('Project information'!$A$4,'For Finance Control'!$B$27:$E$27,0)))</f>
        <v>0</v>
      </c>
      <c r="Q53" s="45">
        <f>IF(OR(ISERROR($N53),$N53="",$N53="NA"),0,J53*$N53)*(1+INDEX('For Finance Control'!$B$27:$E$29,3,MATCH('Project information'!$A$4,'For Finance Control'!$B$27:$E$27,0)))</f>
        <v>0</v>
      </c>
      <c r="R53" s="45">
        <f>IF(OR(ISERROR($N53),$N53="",$N53="NA"),0,K53*$N53)*(1+INDEX('For Finance Control'!$B$27:$E$29,3,MATCH('Project information'!$A$4,'For Finance Control'!$B$27:$E$27,0)))</f>
        <v>0</v>
      </c>
      <c r="S53" s="45">
        <f>IF(OR(ISERROR($N53),$N53="",$N53="NA"),0,L53*$N53)*(1+INDEX('For Finance Control'!$B$27:$E$29,3,MATCH('Project information'!$A$4,'For Finance Control'!$B$27:$E$27,0)))</f>
        <v>0</v>
      </c>
      <c r="T53" s="45">
        <f t="shared" si="52"/>
        <v>0</v>
      </c>
      <c r="U53" s="33" cm="1">
        <f t="array" ref="U53">IF($N53="NA","NA",$N53*INDEX('Exchange rate'!$A$1:$G$7,MATCH('Project information'!$A$13,'Exchange rate'!$A$1:$A$7,0),MATCH(LOOKUP(2,1/({"China";"Korea";"India";"Japan";"EUR";"NAO"}=$E53),{"CNY";"KRW";"INR";"JPY";"EUR";"USD"}),'Exchange rate'!$A$1:$G$1,0)))</f>
        <v>17290</v>
      </c>
      <c r="V53" s="33">
        <f t="shared" si="53"/>
        <v>0</v>
      </c>
      <c r="W53" s="33">
        <f t="shared" si="54"/>
        <v>0</v>
      </c>
      <c r="X53" s="33">
        <f t="shared" si="55"/>
        <v>0</v>
      </c>
      <c r="Y53" s="33">
        <f t="shared" si="56"/>
        <v>0</v>
      </c>
      <c r="Z53" s="33">
        <f t="shared" si="57"/>
        <v>0</v>
      </c>
      <c r="AA53" s="33">
        <f t="shared" si="58"/>
        <v>0</v>
      </c>
      <c r="AB53" s="246"/>
      <c r="AC53" s="247"/>
      <c r="AZ53" s="148" t="str">
        <f t="shared" si="60"/>
        <v>3.28</v>
      </c>
      <c r="BA53" s="149" t="s">
        <v>210</v>
      </c>
    </row>
    <row r="54" spans="1:53" ht="75" outlineLevel="1">
      <c r="A54" s="148" t="str">
        <f t="shared" si="59"/>
        <v>3.29</v>
      </c>
      <c r="B54" s="148" t="str">
        <f>INDEX('Standard working hours - CAE'!$A$1:$I$105,MATCH($C54,'Standard working hours - CAE'!$A$1:$A$105,0),MATCH(B$24,'Standard working hours - CAE'!$A$1:$I$1,0))</f>
        <v>LE</v>
      </c>
      <c r="C54" s="149" t="s">
        <v>211</v>
      </c>
      <c r="D54" s="153" t="str">
        <f>INDEX('Standard working hours - CAE'!$A$1:$I$105,MATCH($C54,'Standard working hours - CAE'!$A$1:$A$105,0),MATCH(D$24,'Standard working hours - CAE'!$A$1:$I$1,0))</f>
        <v>Cold end complex - mesh / 1G / 4G / Natural Frequency / components analysis</v>
      </c>
      <c r="E54" s="51" t="str">
        <f>IF('Project information'!$A$4="","",'Project information'!$A$4)</f>
        <v>China</v>
      </c>
      <c r="F54" s="149" t="str">
        <f>INDEX('Standard working hours - CAE'!$A$1:$I$105,MATCH($C54,'Standard working hours - CAE'!$A$1:$A$105,0),MATCH(F$24,'Standard working hours - CAE'!$A$1:$I$1,0))</f>
        <v>Faurecia</v>
      </c>
      <c r="G54" s="149" t="str">
        <f>INDEX('Standard working hours - CAE'!$A$1:$I$105,MATCH($C54,'Standard working hours - CAE'!$A$1:$A$105,0),MATCH(G$24,'Standard working hours - CAE'!$A$1:$I$1,0))</f>
        <v>FSE-I-DSE-P012
CHD-I-DSS-2804
CHD-I-DSS-2804
CHD-I-DSS-2805
CHD-I-DSS-2803
CHD-I-DSS-2806</v>
      </c>
      <c r="H54" s="46"/>
      <c r="I54" s="46"/>
      <c r="J54" s="46"/>
      <c r="K54" s="46"/>
      <c r="L54" s="46"/>
      <c r="M54" s="33">
        <f t="shared" si="51"/>
        <v>0</v>
      </c>
      <c r="N54" s="157">
        <f>IF(E54="","",IF(ISERROR(INDEX('Standard working hours - CAE'!$A$1:$I$105,MATCH($C54,'Standard working hours - CAE'!$A$1:$A$105,0),MATCH($E54,'Standard working hours - CAE'!$A$1:$I$1,0))*INDEX('Standard hourly rate'!$A$1:$E$14,MATCH("CAE",'Standard hourly rate'!$A$1:$A$14,0),MATCH($E54,'Standard hourly rate'!$A$1:$E$1,0))),"NA",INDEX('Standard working hours - CAE'!$A$1:$I$105,MATCH($C54,'Standard working hours - CAE'!$A$1:$A$105,0),MATCH($E54,'Standard working hours - CAE'!$A$1:$I$1,0))*INDEX('Standard hourly rate'!$A$1:$E$14,MATCH("CAE",'Standard hourly rate'!$A$1:$A$14,0),MATCH($E54,'Standard hourly rate'!$A$1:$E$1,0))))</f>
        <v>26676</v>
      </c>
      <c r="O54" s="45">
        <f>IF(OR(ISERROR($N54),$N54="",$N54="NA"),0,H54*$N54)*(1+INDEX('For Finance Control'!$B$27:$E$29,3,MATCH('Project information'!$A$4,'For Finance Control'!$B$27:$E$27,0)))</f>
        <v>0</v>
      </c>
      <c r="P54" s="45">
        <f>IF(OR(ISERROR($N54),$N54="",$N54="NA"),0,I54*$N54)*(1+INDEX('For Finance Control'!$B$27:$E$29,3,MATCH('Project information'!$A$4,'For Finance Control'!$B$27:$E$27,0)))</f>
        <v>0</v>
      </c>
      <c r="Q54" s="45">
        <f>IF(OR(ISERROR($N54),$N54="",$N54="NA"),0,J54*$N54)*(1+INDEX('For Finance Control'!$B$27:$E$29,3,MATCH('Project information'!$A$4,'For Finance Control'!$B$27:$E$27,0)))</f>
        <v>0</v>
      </c>
      <c r="R54" s="45">
        <f>IF(OR(ISERROR($N54),$N54="",$N54="NA"),0,K54*$N54)*(1+INDEX('For Finance Control'!$B$27:$E$29,3,MATCH('Project information'!$A$4,'For Finance Control'!$B$27:$E$27,0)))</f>
        <v>0</v>
      </c>
      <c r="S54" s="45">
        <f>IF(OR(ISERROR($N54),$N54="",$N54="NA"),0,L54*$N54)*(1+INDEX('For Finance Control'!$B$27:$E$29,3,MATCH('Project information'!$A$4,'For Finance Control'!$B$27:$E$27,0)))</f>
        <v>0</v>
      </c>
      <c r="T54" s="45">
        <f t="shared" si="52"/>
        <v>0</v>
      </c>
      <c r="U54" s="33" cm="1">
        <f t="array" ref="U54">IF($N54="NA","NA",$N54*INDEX('Exchange rate'!$A$1:$G$7,MATCH('Project information'!$A$13,'Exchange rate'!$A$1:$A$7,0),MATCH(LOOKUP(2,1/({"China";"Korea";"India";"Japan";"EUR";"NAO"}=$E54),{"CNY";"KRW";"INR";"JPY";"EUR";"USD"}),'Exchange rate'!$A$1:$G$1,0)))</f>
        <v>26676</v>
      </c>
      <c r="V54" s="33">
        <f t="shared" si="53"/>
        <v>0</v>
      </c>
      <c r="W54" s="33">
        <f t="shared" si="54"/>
        <v>0</v>
      </c>
      <c r="X54" s="33">
        <f t="shared" si="55"/>
        <v>0</v>
      </c>
      <c r="Y54" s="33">
        <f t="shared" si="56"/>
        <v>0</v>
      </c>
      <c r="Z54" s="33">
        <f t="shared" si="57"/>
        <v>0</v>
      </c>
      <c r="AA54" s="33">
        <f t="shared" si="58"/>
        <v>0</v>
      </c>
      <c r="AB54" s="246"/>
      <c r="AC54" s="247"/>
      <c r="AZ54" s="148" t="str">
        <f t="shared" si="60"/>
        <v>3.29</v>
      </c>
      <c r="BA54" s="149" t="s">
        <v>210</v>
      </c>
    </row>
    <row r="55" spans="1:53" outlineLevel="1">
      <c r="A55" s="148" t="str">
        <f t="shared" si="59"/>
        <v>3.30</v>
      </c>
      <c r="B55" s="148" t="str">
        <f>INDEX('Standard working hours - CAE'!$A$1:$I$105,MATCH($C55,'Standard working hours - CAE'!$A$1:$A$105,0),MATCH(B$24,'Standard working hours - CAE'!$A$1:$I$1,0))</f>
        <v>LE</v>
      </c>
      <c r="C55" s="149" t="s">
        <v>212</v>
      </c>
      <c r="D55" s="153" t="str">
        <f>INDEX('Standard working hours - CAE'!$A$1:$I$105,MATCH($C55,'Standard working hours - CAE'!$A$1:$A$105,0),MATCH(D$24,'Standard working hours - CAE'!$A$1:$I$1,0))</f>
        <v>Cold end - Force response</v>
      </c>
      <c r="E55" s="51" t="str">
        <f>IF('Project information'!$A$4="","",'Project information'!$A$4)</f>
        <v>China</v>
      </c>
      <c r="F55" s="149" t="str">
        <f>INDEX('Standard working hours - CAE'!$A$1:$I$105,MATCH($C55,'Standard working hours - CAE'!$A$1:$A$105,0),MATCH(F$24,'Standard working hours - CAE'!$A$1:$I$1,0))</f>
        <v>Faurecia</v>
      </c>
      <c r="G55" s="149" t="str">
        <f>INDEX('Standard working hours - CAE'!$A$1:$I$105,MATCH($C55,'Standard working hours - CAE'!$A$1:$A$105,0),MATCH(G$24,'Standard working hours - CAE'!$A$1:$I$1,0))</f>
        <v>FSE-I-DSE-L001</v>
      </c>
      <c r="H55" s="46"/>
      <c r="I55" s="46"/>
      <c r="J55" s="46"/>
      <c r="K55" s="46"/>
      <c r="L55" s="46"/>
      <c r="M55" s="33">
        <f t="shared" si="51"/>
        <v>0</v>
      </c>
      <c r="N55" s="157">
        <f>IF(E55="","",IF(ISERROR(INDEX('Standard working hours - CAE'!$A$1:$I$105,MATCH($C55,'Standard working hours - CAE'!$A$1:$A$105,0),MATCH($E55,'Standard working hours - CAE'!$A$1:$I$1,0))*INDEX('Standard hourly rate'!$A$1:$E$14,MATCH("CAE",'Standard hourly rate'!$A$1:$A$14,0),MATCH($E55,'Standard hourly rate'!$A$1:$E$1,0))),"NA",INDEX('Standard working hours - CAE'!$A$1:$I$105,MATCH($C55,'Standard working hours - CAE'!$A$1:$A$105,0),MATCH($E55,'Standard working hours - CAE'!$A$1:$I$1,0))*INDEX('Standard hourly rate'!$A$1:$E$14,MATCH("CAE",'Standard hourly rate'!$A$1:$A$14,0),MATCH($E55,'Standard hourly rate'!$A$1:$E$1,0))))</f>
        <v>3952</v>
      </c>
      <c r="O55" s="45">
        <f>IF(OR(ISERROR($N55),$N55="",$N55="NA"),0,H55*$N55)*(1+INDEX('For Finance Control'!$B$27:$E$29,3,MATCH('Project information'!$A$4,'For Finance Control'!$B$27:$E$27,0)))</f>
        <v>0</v>
      </c>
      <c r="P55" s="45">
        <f>IF(OR(ISERROR($N55),$N55="",$N55="NA"),0,I55*$N55)*(1+INDEX('For Finance Control'!$B$27:$E$29,3,MATCH('Project information'!$A$4,'For Finance Control'!$B$27:$E$27,0)))</f>
        <v>0</v>
      </c>
      <c r="Q55" s="45">
        <f>IF(OR(ISERROR($N55),$N55="",$N55="NA"),0,J55*$N55)*(1+INDEX('For Finance Control'!$B$27:$E$29,3,MATCH('Project information'!$A$4,'For Finance Control'!$B$27:$E$27,0)))</f>
        <v>0</v>
      </c>
      <c r="R55" s="45">
        <f>IF(OR(ISERROR($N55),$N55="",$N55="NA"),0,K55*$N55)*(1+INDEX('For Finance Control'!$B$27:$E$29,3,MATCH('Project information'!$A$4,'For Finance Control'!$B$27:$E$27,0)))</f>
        <v>0</v>
      </c>
      <c r="S55" s="45">
        <f>IF(OR(ISERROR($N55),$N55="",$N55="NA"),0,L55*$N55)*(1+INDEX('For Finance Control'!$B$27:$E$29,3,MATCH('Project information'!$A$4,'For Finance Control'!$B$27:$E$27,0)))</f>
        <v>0</v>
      </c>
      <c r="T55" s="45">
        <f t="shared" ref="T55" si="88">SUM(O55:S55)</f>
        <v>0</v>
      </c>
      <c r="U55" s="33" cm="1">
        <f t="array" ref="U55">IF($N55="NA","NA",$N55*INDEX('Exchange rate'!$A$1:$G$7,MATCH('Project information'!$A$13,'Exchange rate'!$A$1:$A$7,0),MATCH(LOOKUP(2,1/({"China";"Korea";"India";"Japan";"EUR";"NAO"}=$E55),{"CNY";"KRW";"INR";"JPY";"EUR";"USD"}),'Exchange rate'!$A$1:$G$1,0)))</f>
        <v>3952</v>
      </c>
      <c r="V55" s="33">
        <f t="shared" si="53"/>
        <v>0</v>
      </c>
      <c r="W55" s="33">
        <f t="shared" si="54"/>
        <v>0</v>
      </c>
      <c r="X55" s="33">
        <f t="shared" si="55"/>
        <v>0</v>
      </c>
      <c r="Y55" s="33">
        <f t="shared" si="56"/>
        <v>0</v>
      </c>
      <c r="Z55" s="33">
        <f t="shared" si="57"/>
        <v>0</v>
      </c>
      <c r="AA55" s="33">
        <f t="shared" ref="AA55" si="89">SUM(V55:Z55)</f>
        <v>0</v>
      </c>
      <c r="AB55" s="246"/>
      <c r="AC55" s="247"/>
      <c r="AZ55" s="148" t="str">
        <f t="shared" si="60"/>
        <v>3.30</v>
      </c>
      <c r="BA55" s="149" t="s">
        <v>205</v>
      </c>
    </row>
    <row r="56" spans="1:53" ht="25" outlineLevel="1">
      <c r="A56" s="148" t="str">
        <f t="shared" si="59"/>
        <v>3.31</v>
      </c>
      <c r="B56" s="148" t="str">
        <f>INDEX('Standard working hours - CAE'!$A$1:$I$105,MATCH($C56,'Standard working hours - CAE'!$A$1:$A$105,0),MATCH(B$24,'Standard working hours - CAE'!$A$1:$I$1,0))</f>
        <v>LE</v>
      </c>
      <c r="C56" s="149" t="s">
        <v>213</v>
      </c>
      <c r="D56" s="153" t="str">
        <f>INDEX('Standard working hours - CAE'!$A$1:$I$105,MATCH($C56,'Standard working hours - CAE'!$A$1:$A$105,0),MATCH(D$24,'Standard working hours - CAE'!$A$1:$I$1,0))</f>
        <v>Cold end - Hanger &amp; shell modal analysis</v>
      </c>
      <c r="E56" s="51" t="str">
        <f>IF('Project information'!$A$4="","",'Project information'!$A$4)</f>
        <v>China</v>
      </c>
      <c r="F56" s="149" t="str">
        <f>INDEX('Standard working hours - CAE'!$A$1:$I$105,MATCH($C56,'Standard working hours - CAE'!$A$1:$A$105,0),MATCH(F$24,'Standard working hours - CAE'!$A$1:$I$1,0))</f>
        <v>Faurecia</v>
      </c>
      <c r="G56" s="149" t="str">
        <f>INDEX('Standard working hours - CAE'!$A$1:$I$105,MATCH($C56,'Standard working hours - CAE'!$A$1:$A$105,0),MATCH(G$24,'Standard working hours - CAE'!$A$1:$I$1,0))</f>
        <v>CHD-I-DSE-2803</v>
      </c>
      <c r="H56" s="46"/>
      <c r="I56" s="46"/>
      <c r="J56" s="46"/>
      <c r="K56" s="46"/>
      <c r="L56" s="46"/>
      <c r="M56" s="33">
        <f t="shared" si="51"/>
        <v>0</v>
      </c>
      <c r="N56" s="157">
        <f>IF(E56="","",IF(ISERROR(INDEX('Standard working hours - CAE'!$A$1:$I$105,MATCH($C56,'Standard working hours - CAE'!$A$1:$A$105,0),MATCH($E56,'Standard working hours - CAE'!$A$1:$I$1,0))*INDEX('Standard hourly rate'!$A$1:$E$14,MATCH("CAE",'Standard hourly rate'!$A$1:$A$14,0),MATCH($E56,'Standard hourly rate'!$A$1:$E$1,0))),"NA",INDEX('Standard working hours - CAE'!$A$1:$I$105,MATCH($C56,'Standard working hours - CAE'!$A$1:$A$105,0),MATCH($E56,'Standard working hours - CAE'!$A$1:$I$1,0))*INDEX('Standard hourly rate'!$A$1:$E$14,MATCH("CAE",'Standard hourly rate'!$A$1:$A$14,0),MATCH($E56,'Standard hourly rate'!$A$1:$E$1,0))))</f>
        <v>988</v>
      </c>
      <c r="O56" s="45">
        <f>IF(OR(ISERROR($N56),$N56="",$N56="NA"),0,H56*$N56)*(1+INDEX('For Finance Control'!$B$27:$E$29,3,MATCH('Project information'!$A$4,'For Finance Control'!$B$27:$E$27,0)))</f>
        <v>0</v>
      </c>
      <c r="P56" s="45">
        <f>IF(OR(ISERROR($N56),$N56="",$N56="NA"),0,I56*$N56)*(1+INDEX('For Finance Control'!$B$27:$E$29,3,MATCH('Project information'!$A$4,'For Finance Control'!$B$27:$E$27,0)))</f>
        <v>0</v>
      </c>
      <c r="Q56" s="45">
        <f>IF(OR(ISERROR($N56),$N56="",$N56="NA"),0,J56*$N56)*(1+INDEX('For Finance Control'!$B$27:$E$29,3,MATCH('Project information'!$A$4,'For Finance Control'!$B$27:$E$27,0)))</f>
        <v>0</v>
      </c>
      <c r="R56" s="45">
        <f>IF(OR(ISERROR($N56),$N56="",$N56="NA"),0,K56*$N56)*(1+INDEX('For Finance Control'!$B$27:$E$29,3,MATCH('Project information'!$A$4,'For Finance Control'!$B$27:$E$27,0)))</f>
        <v>0</v>
      </c>
      <c r="S56" s="45">
        <f>IF(OR(ISERROR($N56),$N56="",$N56="NA"),0,L56*$N56)*(1+INDEX('For Finance Control'!$B$27:$E$29,3,MATCH('Project information'!$A$4,'For Finance Control'!$B$27:$E$27,0)))</f>
        <v>0</v>
      </c>
      <c r="T56" s="45">
        <f t="shared" si="52"/>
        <v>0</v>
      </c>
      <c r="U56" s="33" cm="1">
        <f t="array" ref="U56">IF($N56="NA","NA",$N56*INDEX('Exchange rate'!$A$1:$G$7,MATCH('Project information'!$A$13,'Exchange rate'!$A$1:$A$7,0),MATCH(LOOKUP(2,1/({"China";"Korea";"India";"Japan";"EUR";"NAO"}=$E56),{"CNY";"KRW";"INR";"JPY";"EUR";"USD"}),'Exchange rate'!$A$1:$G$1,0)))</f>
        <v>988</v>
      </c>
      <c r="V56" s="33">
        <f t="shared" si="53"/>
        <v>0</v>
      </c>
      <c r="W56" s="33">
        <f t="shared" si="54"/>
        <v>0</v>
      </c>
      <c r="X56" s="33">
        <f t="shared" si="55"/>
        <v>0</v>
      </c>
      <c r="Y56" s="33">
        <f t="shared" si="56"/>
        <v>0</v>
      </c>
      <c r="Z56" s="33">
        <f t="shared" si="57"/>
        <v>0</v>
      </c>
      <c r="AA56" s="33">
        <f t="shared" si="58"/>
        <v>0</v>
      </c>
      <c r="AB56" s="246"/>
      <c r="AC56" s="247"/>
      <c r="AZ56" s="148" t="str">
        <f t="shared" si="60"/>
        <v>3.31</v>
      </c>
      <c r="BA56" s="149" t="s">
        <v>214</v>
      </c>
    </row>
    <row r="57" spans="1:53" outlineLevel="1">
      <c r="A57" s="148" t="str">
        <f t="shared" si="59"/>
        <v>3.32</v>
      </c>
      <c r="B57" s="148" t="str">
        <f>INDEX('Standard working hours - CAE'!$A$1:$I$105,MATCH($C57,'Standard working hours - CAE'!$A$1:$A$105,0),MATCH(B$24,'Standard working hours - CAE'!$A$1:$I$1,0))</f>
        <v>LE</v>
      </c>
      <c r="C57" s="149" t="s">
        <v>215</v>
      </c>
      <c r="D57" s="153" t="str">
        <f>INDEX('Standard working hours - CAE'!$A$1:$I$105,MATCH($C57,'Standard working hours - CAE'!$A$1:$A$105,0),MATCH(D$24,'Standard working hours - CAE'!$A$1:$I$1,0))</f>
        <v>Cold end - Hanger DPDS (1 location)</v>
      </c>
      <c r="E57" s="51" t="str">
        <f>IF('Project information'!$A$4="","",'Project information'!$A$4)</f>
        <v>China</v>
      </c>
      <c r="F57" s="149" t="str">
        <f>INDEX('Standard working hours - CAE'!$A$1:$I$105,MATCH($C57,'Standard working hours - CAE'!$A$1:$A$105,0),MATCH(F$24,'Standard working hours - CAE'!$A$1:$I$1,0))</f>
        <v>GM</v>
      </c>
      <c r="G57" s="149" t="str">
        <f>INDEX('Standard working hours - CAE'!$A$1:$I$105,MATCH($C57,'Standard working hours - CAE'!$A$1:$A$105,0),MATCH(G$24,'Standard working hours - CAE'!$A$1:$I$1,0))</f>
        <v>45-CG1454</v>
      </c>
      <c r="H57" s="46"/>
      <c r="I57" s="46"/>
      <c r="J57" s="46"/>
      <c r="K57" s="46"/>
      <c r="L57" s="46"/>
      <c r="M57" s="33">
        <f t="shared" si="51"/>
        <v>0</v>
      </c>
      <c r="N57" s="157">
        <f>IF(E57="","",IF(ISERROR(INDEX('Standard working hours - CAE'!$A$1:$I$105,MATCH($C57,'Standard working hours - CAE'!$A$1:$A$105,0),MATCH($E57,'Standard working hours - CAE'!$A$1:$I$1,0))*INDEX('Standard hourly rate'!$A$1:$E$14,MATCH("CAE",'Standard hourly rate'!$A$1:$A$14,0),MATCH($E57,'Standard hourly rate'!$A$1:$E$1,0))),"NA",INDEX('Standard working hours - CAE'!$A$1:$I$105,MATCH($C57,'Standard working hours - CAE'!$A$1:$A$105,0),MATCH($E57,'Standard working hours - CAE'!$A$1:$I$1,0))*INDEX('Standard hourly rate'!$A$1:$E$14,MATCH("CAE",'Standard hourly rate'!$A$1:$A$14,0),MATCH($E57,'Standard hourly rate'!$A$1:$E$1,0))))</f>
        <v>1482</v>
      </c>
      <c r="O57" s="45">
        <f>IF(OR(ISERROR($N57),$N57="",$N57="NA"),0,H57*$N57)*(1+INDEX('For Finance Control'!$B$27:$E$29,3,MATCH('Project information'!$A$4,'For Finance Control'!$B$27:$E$27,0)))</f>
        <v>0</v>
      </c>
      <c r="P57" s="45">
        <f>IF(OR(ISERROR($N57),$N57="",$N57="NA"),0,I57*$N57)*(1+INDEX('For Finance Control'!$B$27:$E$29,3,MATCH('Project information'!$A$4,'For Finance Control'!$B$27:$E$27,0)))</f>
        <v>0</v>
      </c>
      <c r="Q57" s="45">
        <f>IF(OR(ISERROR($N57),$N57="",$N57="NA"),0,J57*$N57)*(1+INDEX('For Finance Control'!$B$27:$E$29,3,MATCH('Project information'!$A$4,'For Finance Control'!$B$27:$E$27,0)))</f>
        <v>0</v>
      </c>
      <c r="R57" s="45">
        <f>IF(OR(ISERROR($N57),$N57="",$N57="NA"),0,K57*$N57)*(1+INDEX('For Finance Control'!$B$27:$E$29,3,MATCH('Project information'!$A$4,'For Finance Control'!$B$27:$E$27,0)))</f>
        <v>0</v>
      </c>
      <c r="S57" s="45">
        <f>IF(OR(ISERROR($N57),$N57="",$N57="NA"),0,L57*$N57)*(1+INDEX('For Finance Control'!$B$27:$E$29,3,MATCH('Project information'!$A$4,'For Finance Control'!$B$27:$E$27,0)))</f>
        <v>0</v>
      </c>
      <c r="T57" s="45">
        <f t="shared" ref="T57" si="90">SUM(O57:S57)</f>
        <v>0</v>
      </c>
      <c r="U57" s="33" cm="1">
        <f t="array" ref="U57">IF($N57="NA","NA",$N57*INDEX('Exchange rate'!$A$1:$G$7,MATCH('Project information'!$A$13,'Exchange rate'!$A$1:$A$7,0),MATCH(LOOKUP(2,1/({"China";"Korea";"India";"Japan";"EUR";"NAO"}=$E57),{"CNY";"KRW";"INR";"JPY";"EUR";"USD"}),'Exchange rate'!$A$1:$G$1,0)))</f>
        <v>1482</v>
      </c>
      <c r="V57" s="33">
        <f t="shared" si="53"/>
        <v>0</v>
      </c>
      <c r="W57" s="33">
        <f t="shared" si="54"/>
        <v>0</v>
      </c>
      <c r="X57" s="33">
        <f t="shared" si="55"/>
        <v>0</v>
      </c>
      <c r="Y57" s="33">
        <f t="shared" si="56"/>
        <v>0</v>
      </c>
      <c r="Z57" s="33">
        <f t="shared" si="57"/>
        <v>0</v>
      </c>
      <c r="AA57" s="33">
        <f t="shared" ref="AA57" si="91">SUM(V57:Z57)</f>
        <v>0</v>
      </c>
      <c r="AB57" s="246"/>
      <c r="AC57" s="247"/>
      <c r="AZ57" s="148" t="str">
        <f t="shared" si="60"/>
        <v>3.32</v>
      </c>
      <c r="BA57" s="149" t="s">
        <v>216</v>
      </c>
    </row>
    <row r="58" spans="1:53" outlineLevel="1">
      <c r="A58" s="148" t="str">
        <f t="shared" si="59"/>
        <v>3.33</v>
      </c>
      <c r="B58" s="148" t="str">
        <f>INDEX('Standard working hours - CAE'!$A$1:$I$105,MATCH($C58,'Standard working hours - CAE'!$A$1:$A$105,0),MATCH(B$24,'Standard working hours - CAE'!$A$1:$I$1,0))</f>
        <v>LE</v>
      </c>
      <c r="C58" s="149" t="s">
        <v>217</v>
      </c>
      <c r="D58" s="153" t="str">
        <f>INDEX('Standard working hours - CAE'!$A$1:$I$105,MATCH($C58,'Standard working hours - CAE'!$A$1:$A$105,0),MATCH(D$24,'Standard working hours - CAE'!$A$1:$I$1,0))</f>
        <v>Cold end - NMD calculation</v>
      </c>
      <c r="E58" s="51" t="str">
        <f>IF('Project information'!$A$4="","",'Project information'!$A$4)</f>
        <v>China</v>
      </c>
      <c r="F58" s="149" t="str">
        <f>INDEX('Standard working hours - CAE'!$A$1:$I$105,MATCH($C58,'Standard working hours - CAE'!$A$1:$A$105,0),MATCH(F$24,'Standard working hours - CAE'!$A$1:$I$1,0))</f>
        <v>Faurecia</v>
      </c>
      <c r="G58" s="149" t="str">
        <f>INDEX('Standard working hours - CAE'!$A$1:$I$105,MATCH($C58,'Standard working hours - CAE'!$A$1:$A$105,0),MATCH(G$24,'Standard working hours - CAE'!$A$1:$I$1,0))</f>
        <v>CHD-I-DSS-2805</v>
      </c>
      <c r="H58" s="46"/>
      <c r="I58" s="46"/>
      <c r="J58" s="46"/>
      <c r="K58" s="46"/>
      <c r="L58" s="46"/>
      <c r="M58" s="33">
        <f t="shared" si="51"/>
        <v>0</v>
      </c>
      <c r="N58" s="157">
        <f>IF(E58="","",IF(ISERROR(INDEX('Standard working hours - CAE'!$A$1:$I$105,MATCH($C58,'Standard working hours - CAE'!$A$1:$A$105,0),MATCH($E58,'Standard working hours - CAE'!$A$1:$I$1,0))*INDEX('Standard hourly rate'!$A$1:$E$14,MATCH("CAE",'Standard hourly rate'!$A$1:$A$14,0),MATCH($E58,'Standard hourly rate'!$A$1:$E$1,0))),"NA",INDEX('Standard working hours - CAE'!$A$1:$I$105,MATCH($C58,'Standard working hours - CAE'!$A$1:$A$105,0),MATCH($E58,'Standard working hours - CAE'!$A$1:$I$1,0))*INDEX('Standard hourly rate'!$A$1:$E$14,MATCH("CAE",'Standard hourly rate'!$A$1:$A$14,0),MATCH($E58,'Standard hourly rate'!$A$1:$E$1,0))))</f>
        <v>988</v>
      </c>
      <c r="O58" s="45">
        <f>IF(OR(ISERROR($N58),$N58="",$N58="NA"),0,H58*$N58)*(1+INDEX('For Finance Control'!$B$27:$E$29,3,MATCH('Project information'!$A$4,'For Finance Control'!$B$27:$E$27,0)))</f>
        <v>0</v>
      </c>
      <c r="P58" s="45">
        <f>IF(OR(ISERROR($N58),$N58="",$N58="NA"),0,I58*$N58)*(1+INDEX('For Finance Control'!$B$27:$E$29,3,MATCH('Project information'!$A$4,'For Finance Control'!$B$27:$E$27,0)))</f>
        <v>0</v>
      </c>
      <c r="Q58" s="45">
        <f>IF(OR(ISERROR($N58),$N58="",$N58="NA"),0,J58*$N58)*(1+INDEX('For Finance Control'!$B$27:$E$29,3,MATCH('Project information'!$A$4,'For Finance Control'!$B$27:$E$27,0)))</f>
        <v>0</v>
      </c>
      <c r="R58" s="45">
        <f>IF(OR(ISERROR($N58),$N58="",$N58="NA"),0,K58*$N58)*(1+INDEX('For Finance Control'!$B$27:$E$29,3,MATCH('Project information'!$A$4,'For Finance Control'!$B$27:$E$27,0)))</f>
        <v>0</v>
      </c>
      <c r="S58" s="45">
        <f>IF(OR(ISERROR($N58),$N58="",$N58="NA"),0,L58*$N58)*(1+INDEX('For Finance Control'!$B$27:$E$29,3,MATCH('Project information'!$A$4,'For Finance Control'!$B$27:$E$27,0)))</f>
        <v>0</v>
      </c>
      <c r="T58" s="45">
        <f t="shared" si="52"/>
        <v>0</v>
      </c>
      <c r="U58" s="33" cm="1">
        <f t="array" ref="U58">IF($N58="NA","NA",$N58*INDEX('Exchange rate'!$A$1:$G$7,MATCH('Project information'!$A$13,'Exchange rate'!$A$1:$A$7,0),MATCH(LOOKUP(2,1/({"China";"Korea";"India";"Japan";"EUR";"NAO"}=$E58),{"CNY";"KRW";"INR";"JPY";"EUR";"USD"}),'Exchange rate'!$A$1:$G$1,0)))</f>
        <v>988</v>
      </c>
      <c r="V58" s="33">
        <f t="shared" si="53"/>
        <v>0</v>
      </c>
      <c r="W58" s="33">
        <f t="shared" si="54"/>
        <v>0</v>
      </c>
      <c r="X58" s="33">
        <f t="shared" si="55"/>
        <v>0</v>
      </c>
      <c r="Y58" s="33">
        <f t="shared" si="56"/>
        <v>0</v>
      </c>
      <c r="Z58" s="33">
        <f t="shared" si="57"/>
        <v>0</v>
      </c>
      <c r="AA58" s="33">
        <f t="shared" si="58"/>
        <v>0</v>
      </c>
      <c r="AB58" s="246"/>
      <c r="AC58" s="247"/>
      <c r="AZ58" s="148" t="str">
        <f t="shared" si="60"/>
        <v>3.33</v>
      </c>
      <c r="BA58" s="149" t="s">
        <v>218</v>
      </c>
    </row>
    <row r="59" spans="1:53" ht="25" outlineLevel="1">
      <c r="A59" s="148" t="str">
        <f t="shared" si="59"/>
        <v>3.34</v>
      </c>
      <c r="B59" s="148" t="str">
        <f>INDEX('Standard working hours - CAE'!$A$1:$I$105,MATCH($C59,'Standard working hours - CAE'!$A$1:$A$105,0),MATCH(B$24,'Standard working hours - CAE'!$A$1:$I$1,0))</f>
        <v>LE</v>
      </c>
      <c r="C59" s="149" t="s">
        <v>219</v>
      </c>
      <c r="D59" s="153" t="str">
        <f>INDEX('Standard working hours - CAE'!$A$1:$I$105,MATCH($C59,'Standard working hours - CAE'!$A$1:$A$105,0),MATCH(D$24,'Standard working hours - CAE'!$A$1:$I$1,0))</f>
        <v>Cold end - Optimization structure for stamp muffler</v>
      </c>
      <c r="E59" s="51" t="str">
        <f>IF('Project information'!$A$4="","",'Project information'!$A$4)</f>
        <v>China</v>
      </c>
      <c r="F59" s="149" t="str">
        <f>INDEX('Standard working hours - CAE'!$A$1:$I$105,MATCH($C59,'Standard working hours - CAE'!$A$1:$A$105,0),MATCH(F$24,'Standard working hours - CAE'!$A$1:$I$1,0))</f>
        <v>Faurecia</v>
      </c>
      <c r="G59" s="149" t="str">
        <f>INDEX('Standard working hours - CAE'!$A$1:$I$105,MATCH($C59,'Standard working hours - CAE'!$A$1:$A$105,0),MATCH(G$24,'Standard working hours - CAE'!$A$1:$I$1,0))</f>
        <v>CHD-I-DSS-2817</v>
      </c>
      <c r="H59" s="46"/>
      <c r="I59" s="46"/>
      <c r="J59" s="46"/>
      <c r="K59" s="46"/>
      <c r="L59" s="46"/>
      <c r="M59" s="33">
        <f t="shared" si="51"/>
        <v>0</v>
      </c>
      <c r="N59" s="157">
        <f>IF(E59="","",IF(ISERROR(INDEX('Standard working hours - CAE'!$A$1:$I$105,MATCH($C59,'Standard working hours - CAE'!$A$1:$A$105,0),MATCH($E59,'Standard working hours - CAE'!$A$1:$I$1,0))*INDEX('Standard hourly rate'!$A$1:$E$14,MATCH("CAE",'Standard hourly rate'!$A$1:$A$14,0),MATCH($E59,'Standard hourly rate'!$A$1:$E$1,0))),"NA",INDEX('Standard working hours - CAE'!$A$1:$I$105,MATCH($C59,'Standard working hours - CAE'!$A$1:$A$105,0),MATCH($E59,'Standard working hours - CAE'!$A$1:$I$1,0))*INDEX('Standard hourly rate'!$A$1:$E$14,MATCH("CAE",'Standard hourly rate'!$A$1:$A$14,0),MATCH($E59,'Standard hourly rate'!$A$1:$E$1,0))))</f>
        <v>3952</v>
      </c>
      <c r="O59" s="45">
        <f>IF(OR(ISERROR($N59),$N59="",$N59="NA"),0,H59*$N59)*(1+INDEX('For Finance Control'!$B$27:$E$29,3,MATCH('Project information'!$A$4,'For Finance Control'!$B$27:$E$27,0)))</f>
        <v>0</v>
      </c>
      <c r="P59" s="45">
        <f>IF(OR(ISERROR($N59),$N59="",$N59="NA"),0,I59*$N59)*(1+INDEX('For Finance Control'!$B$27:$E$29,3,MATCH('Project information'!$A$4,'For Finance Control'!$B$27:$E$27,0)))</f>
        <v>0</v>
      </c>
      <c r="Q59" s="45">
        <f>IF(OR(ISERROR($N59),$N59="",$N59="NA"),0,J59*$N59)*(1+INDEX('For Finance Control'!$B$27:$E$29,3,MATCH('Project information'!$A$4,'For Finance Control'!$B$27:$E$27,0)))</f>
        <v>0</v>
      </c>
      <c r="R59" s="45">
        <f>IF(OR(ISERROR($N59),$N59="",$N59="NA"),0,K59*$N59)*(1+INDEX('For Finance Control'!$B$27:$E$29,3,MATCH('Project information'!$A$4,'For Finance Control'!$B$27:$E$27,0)))</f>
        <v>0</v>
      </c>
      <c r="S59" s="45">
        <f>IF(OR(ISERROR($N59),$N59="",$N59="NA"),0,L59*$N59)*(1+INDEX('For Finance Control'!$B$27:$E$29,3,MATCH('Project information'!$A$4,'For Finance Control'!$B$27:$E$27,0)))</f>
        <v>0</v>
      </c>
      <c r="T59" s="45">
        <f t="shared" si="52"/>
        <v>0</v>
      </c>
      <c r="U59" s="33" cm="1">
        <f t="array" ref="U59">IF($N59="NA","NA",$N59*INDEX('Exchange rate'!$A$1:$G$7,MATCH('Project information'!$A$13,'Exchange rate'!$A$1:$A$7,0),MATCH(LOOKUP(2,1/({"China";"Korea";"India";"Japan";"EUR";"NAO"}=$E59),{"CNY";"KRW";"INR";"JPY";"EUR";"USD"}),'Exchange rate'!$A$1:$G$1,0)))</f>
        <v>3952</v>
      </c>
      <c r="V59" s="33">
        <f t="shared" si="53"/>
        <v>0</v>
      </c>
      <c r="W59" s="33">
        <f t="shared" si="54"/>
        <v>0</v>
      </c>
      <c r="X59" s="33">
        <f t="shared" si="55"/>
        <v>0</v>
      </c>
      <c r="Y59" s="33">
        <f t="shared" si="56"/>
        <v>0</v>
      </c>
      <c r="Z59" s="33">
        <f t="shared" si="57"/>
        <v>0</v>
      </c>
      <c r="AA59" s="33">
        <f t="shared" si="58"/>
        <v>0</v>
      </c>
      <c r="AB59" s="246"/>
      <c r="AC59" s="247"/>
      <c r="AZ59" s="148" t="str">
        <f t="shared" si="60"/>
        <v>3.34</v>
      </c>
      <c r="BA59" s="149" t="s">
        <v>220</v>
      </c>
    </row>
    <row r="60" spans="1:53" ht="62.5" outlineLevel="1">
      <c r="A60" s="148" t="str">
        <f t="shared" si="59"/>
        <v>3.35</v>
      </c>
      <c r="B60" s="148" t="str">
        <f>INDEX('Standard working hours - CAE'!$A$1:$I$105,MATCH($C60,'Standard working hours - CAE'!$A$1:$A$105,0),MATCH(B$24,'Standard working hours - CAE'!$A$1:$I$1,0))</f>
        <v>LE</v>
      </c>
      <c r="C60" s="149" t="s">
        <v>221</v>
      </c>
      <c r="D60" s="153" t="str">
        <f>INDEX('Standard working hours - CAE'!$A$1:$I$105,MATCH($C60,'Standard working hours - CAE'!$A$1:$A$105,0),MATCH(D$24,'Standard working hours - CAE'!$A$1:$I$1,0))</f>
        <v>Cold end - Package (NF,1G,4G,FR,38 cases motion,DPDS, Component Modal, Componet static &amp; stiffness, B1 Life, AoT, vRLDA, Heat transfer, TMF for heat shield, Thermal expansion)</v>
      </c>
      <c r="E60" s="51" t="str">
        <f>IF('Project information'!$A$4="","",'Project information'!$A$4)</f>
        <v>China</v>
      </c>
      <c r="F60" s="149" t="str">
        <f>INDEX('Standard working hours - CAE'!$A$1:$I$105,MATCH($C60,'Standard working hours - CAE'!$A$1:$A$105,0),MATCH(F$24,'Standard working hours - CAE'!$A$1:$I$1,0))</f>
        <v>GM</v>
      </c>
      <c r="G60" s="149" t="str">
        <f>INDEX('Standard working hours - CAE'!$A$1:$I$105,MATCH($C60,'Standard working hours - CAE'!$A$1:$A$105,0),MATCH(G$24,'Standard working hours - CAE'!$A$1:$I$1,0))</f>
        <v>45-CG1454</v>
      </c>
      <c r="H60" s="46"/>
      <c r="I60" s="46"/>
      <c r="J60" s="46"/>
      <c r="K60" s="46"/>
      <c r="L60" s="46"/>
      <c r="M60" s="33">
        <f t="shared" ref="M60:M61" si="92">SUM(H60:L60)</f>
        <v>0</v>
      </c>
      <c r="N60" s="157">
        <f>IF(E60="","",IF(ISERROR(INDEX('Standard working hours - CAE'!$A$1:$I$105,MATCH($C60,'Standard working hours - CAE'!$A$1:$A$105,0),MATCH($E60,'Standard working hours - CAE'!$A$1:$I$1,0))*INDEX('Standard hourly rate'!$A$1:$E$14,MATCH("CAE",'Standard hourly rate'!$A$1:$A$14,0),MATCH($E60,'Standard hourly rate'!$A$1:$E$1,0))),"NA",INDEX('Standard working hours - CAE'!$A$1:$I$105,MATCH($C60,'Standard working hours - CAE'!$A$1:$A$105,0),MATCH($E60,'Standard working hours - CAE'!$A$1:$I$1,0))*INDEX('Standard hourly rate'!$A$1:$E$14,MATCH("CAE",'Standard hourly rate'!$A$1:$A$14,0),MATCH($E60,'Standard hourly rate'!$A$1:$E$1,0))))</f>
        <v>43472</v>
      </c>
      <c r="O60" s="45">
        <f>IF(OR(ISERROR($N60),$N60="",$N60="NA"),0,H60*$N60)*(1+INDEX('For Finance Control'!$B$27:$E$29,3,MATCH('Project information'!$A$4,'For Finance Control'!$B$27:$E$27,0)))</f>
        <v>0</v>
      </c>
      <c r="P60" s="45">
        <f>IF(OR(ISERROR($N60),$N60="",$N60="NA"),0,I60*$N60)*(1+INDEX('For Finance Control'!$B$27:$E$29,3,MATCH('Project information'!$A$4,'For Finance Control'!$B$27:$E$27,0)))</f>
        <v>0</v>
      </c>
      <c r="Q60" s="45">
        <f>IF(OR(ISERROR($N60),$N60="",$N60="NA"),0,J60*$N60)*(1+INDEX('For Finance Control'!$B$27:$E$29,3,MATCH('Project information'!$A$4,'For Finance Control'!$B$27:$E$27,0)))</f>
        <v>0</v>
      </c>
      <c r="R60" s="45">
        <f>IF(OR(ISERROR($N60),$N60="",$N60="NA"),0,K60*$N60)*(1+INDEX('For Finance Control'!$B$27:$E$29,3,MATCH('Project information'!$A$4,'For Finance Control'!$B$27:$E$27,0)))</f>
        <v>0</v>
      </c>
      <c r="S60" s="45">
        <f>IF(OR(ISERROR($N60),$N60="",$N60="NA"),0,L60*$N60)*(1+INDEX('For Finance Control'!$B$27:$E$29,3,MATCH('Project information'!$A$4,'For Finance Control'!$B$27:$E$27,0)))</f>
        <v>0</v>
      </c>
      <c r="T60" s="45">
        <f t="shared" ref="T60:T61" si="93">SUM(O60:S60)</f>
        <v>0</v>
      </c>
      <c r="U60" s="33" cm="1">
        <f t="array" ref="U60">IF($N60="NA","NA",$N60*INDEX('Exchange rate'!$A$1:$G$7,MATCH('Project information'!$A$13,'Exchange rate'!$A$1:$A$7,0),MATCH(LOOKUP(2,1/({"China";"Korea";"India";"Japan";"EUR";"NAO"}=$E60),{"CNY";"KRW";"INR";"JPY";"EUR";"USD"}),'Exchange rate'!$A$1:$G$1,0)))</f>
        <v>43472</v>
      </c>
      <c r="V60" s="33">
        <f t="shared" ref="V60:V61" si="94">IF(OR(ISERROR($U60),$U60="",$U60="NA"),0,H60*$U60)</f>
        <v>0</v>
      </c>
      <c r="W60" s="33">
        <f t="shared" ref="W60:W61" si="95">IF(OR(ISERROR($U60),$U60="",$U60="NA"),0,I60*$U60)</f>
        <v>0</v>
      </c>
      <c r="X60" s="33">
        <f t="shared" ref="X60:X61" si="96">IF(OR(ISERROR($U60),$U60="",$U60="NA"),0,J60*$U60)</f>
        <v>0</v>
      </c>
      <c r="Y60" s="33">
        <f t="shared" ref="Y60:Y61" si="97">IF(OR(ISERROR($U60),$U60="",$U60="NA"),0,K60*$U60)</f>
        <v>0</v>
      </c>
      <c r="Z60" s="33">
        <f t="shared" ref="Z60:Z61" si="98">IF(OR(ISERROR($U60),$U60="",$U60="NA"),0,L60*$U60)</f>
        <v>0</v>
      </c>
      <c r="AA60" s="33">
        <f t="shared" ref="AA60:AA61" si="99">SUM(V60:Z60)</f>
        <v>0</v>
      </c>
      <c r="AB60" s="246"/>
      <c r="AC60" s="247"/>
      <c r="AZ60" s="148" t="str">
        <f t="shared" si="60"/>
        <v>3.35</v>
      </c>
      <c r="BA60" s="149" t="s">
        <v>216</v>
      </c>
    </row>
    <row r="61" spans="1:53" outlineLevel="1">
      <c r="A61" s="148" t="str">
        <f t="shared" si="59"/>
        <v>3.36</v>
      </c>
      <c r="B61" s="148" t="str">
        <f>INDEX('Standard working hours - CAE'!$A$1:$I$105,MATCH($C61,'Standard working hours - CAE'!$A$1:$A$105,0),MATCH(B$24,'Standard working hours - CAE'!$A$1:$I$1,0))</f>
        <v>LE</v>
      </c>
      <c r="C61" s="149" t="s">
        <v>222</v>
      </c>
      <c r="D61" s="153" t="str">
        <f>INDEX('Standard working hours - CAE'!$A$1:$I$105,MATCH($C61,'Standard working hours - CAE'!$A$1:$A$105,0),MATCH(D$24,'Standard working hours - CAE'!$A$1:$I$1,0))</f>
        <v>Cold end - PT motion simulation</v>
      </c>
      <c r="E61" s="51" t="str">
        <f>IF('Project information'!$A$4="","",'Project information'!$A$4)</f>
        <v>China</v>
      </c>
      <c r="F61" s="149" t="str">
        <f>INDEX('Standard working hours - CAE'!$A$1:$I$105,MATCH($C61,'Standard working hours - CAE'!$A$1:$A$105,0),MATCH(F$24,'Standard working hours - CAE'!$A$1:$I$1,0))</f>
        <v>GM</v>
      </c>
      <c r="G61" s="149" t="str">
        <f>INDEX('Standard working hours - CAE'!$A$1:$I$105,MATCH($C61,'Standard working hours - CAE'!$A$1:$A$105,0),MATCH(G$24,'Standard working hours - CAE'!$A$1:$I$1,0))</f>
        <v>45-CG1454</v>
      </c>
      <c r="H61" s="46"/>
      <c r="I61" s="46"/>
      <c r="J61" s="46"/>
      <c r="K61" s="46"/>
      <c r="L61" s="46"/>
      <c r="M61" s="33">
        <f t="shared" si="92"/>
        <v>0</v>
      </c>
      <c r="N61" s="157">
        <f>IF(E61="","",IF(ISERROR(INDEX('Standard working hours - CAE'!$A$1:$I$105,MATCH($C61,'Standard working hours - CAE'!$A$1:$A$105,0),MATCH($E61,'Standard working hours - CAE'!$A$1:$I$1,0))*INDEX('Standard hourly rate'!$A$1:$E$14,MATCH("CAE",'Standard hourly rate'!$A$1:$A$14,0),MATCH($E61,'Standard hourly rate'!$A$1:$E$1,0))),"NA",INDEX('Standard working hours - CAE'!$A$1:$I$105,MATCH($C61,'Standard working hours - CAE'!$A$1:$A$105,0),MATCH($E61,'Standard working hours - CAE'!$A$1:$I$1,0))*INDEX('Standard hourly rate'!$A$1:$E$14,MATCH("CAE",'Standard hourly rate'!$A$1:$A$14,0),MATCH($E61,'Standard hourly rate'!$A$1:$E$1,0))))</f>
        <v>11362</v>
      </c>
      <c r="O61" s="45">
        <f>IF(OR(ISERROR($N61),$N61="",$N61="NA"),0,H61*$N61)*(1+INDEX('For Finance Control'!$B$27:$E$29,3,MATCH('Project information'!$A$4,'For Finance Control'!$B$27:$E$27,0)))</f>
        <v>0</v>
      </c>
      <c r="P61" s="45">
        <f>IF(OR(ISERROR($N61),$N61="",$N61="NA"),0,I61*$N61)*(1+INDEX('For Finance Control'!$B$27:$E$29,3,MATCH('Project information'!$A$4,'For Finance Control'!$B$27:$E$27,0)))</f>
        <v>0</v>
      </c>
      <c r="Q61" s="45">
        <f>IF(OR(ISERROR($N61),$N61="",$N61="NA"),0,J61*$N61)*(1+INDEX('For Finance Control'!$B$27:$E$29,3,MATCH('Project information'!$A$4,'For Finance Control'!$B$27:$E$27,0)))</f>
        <v>0</v>
      </c>
      <c r="R61" s="45">
        <f>IF(OR(ISERROR($N61),$N61="",$N61="NA"),0,K61*$N61)*(1+INDEX('For Finance Control'!$B$27:$E$29,3,MATCH('Project information'!$A$4,'For Finance Control'!$B$27:$E$27,0)))</f>
        <v>0</v>
      </c>
      <c r="S61" s="45">
        <f>IF(OR(ISERROR($N61),$N61="",$N61="NA"),0,L61*$N61)*(1+INDEX('For Finance Control'!$B$27:$E$29,3,MATCH('Project information'!$A$4,'For Finance Control'!$B$27:$E$27,0)))</f>
        <v>0</v>
      </c>
      <c r="T61" s="45">
        <f t="shared" si="93"/>
        <v>0</v>
      </c>
      <c r="U61" s="33" cm="1">
        <f t="array" ref="U61">IF($N61="NA","NA",$N61*INDEX('Exchange rate'!$A$1:$G$7,MATCH('Project information'!$A$13,'Exchange rate'!$A$1:$A$7,0),MATCH(LOOKUP(2,1/({"China";"Korea";"India";"Japan";"EUR";"NAO"}=$E61),{"CNY";"KRW";"INR";"JPY";"EUR";"USD"}),'Exchange rate'!$A$1:$G$1,0)))</f>
        <v>11362</v>
      </c>
      <c r="V61" s="33">
        <f t="shared" si="94"/>
        <v>0</v>
      </c>
      <c r="W61" s="33">
        <f t="shared" si="95"/>
        <v>0</v>
      </c>
      <c r="X61" s="33">
        <f t="shared" si="96"/>
        <v>0</v>
      </c>
      <c r="Y61" s="33">
        <f t="shared" si="97"/>
        <v>0</v>
      </c>
      <c r="Z61" s="33">
        <f t="shared" si="98"/>
        <v>0</v>
      </c>
      <c r="AA61" s="33">
        <f t="shared" si="99"/>
        <v>0</v>
      </c>
      <c r="AB61" s="246"/>
      <c r="AC61" s="247"/>
      <c r="AZ61" s="148" t="str">
        <f t="shared" si="60"/>
        <v>3.36</v>
      </c>
      <c r="BA61" s="149" t="s">
        <v>216</v>
      </c>
    </row>
    <row r="62" spans="1:53" outlineLevel="1">
      <c r="A62" s="148" t="str">
        <f t="shared" si="59"/>
        <v>3.37</v>
      </c>
      <c r="B62" s="148" t="str">
        <f>INDEX('Standard working hours - CAE'!$A$1:$I$105,MATCH($C62,'Standard working hours - CAE'!$A$1:$A$105,0),MATCH(B$24,'Standard working hours - CAE'!$A$1:$I$1,0))</f>
        <v>LE</v>
      </c>
      <c r="C62" s="149" t="s">
        <v>223</v>
      </c>
      <c r="D62" s="153" t="str">
        <f>INDEX('Standard working hours - CAE'!$A$1:$I$105,MATCH($C62,'Standard working hours - CAE'!$A$1:$A$105,0),MATCH(D$24,'Standard working hours - CAE'!$A$1:$I$1,0))</f>
        <v>Cold end - Static analysis (1 location)</v>
      </c>
      <c r="E62" s="51" t="str">
        <f>IF('Project information'!$A$4="","",'Project information'!$A$4)</f>
        <v>China</v>
      </c>
      <c r="F62" s="149" t="str">
        <f>INDEX('Standard working hours - CAE'!$A$1:$I$105,MATCH($C62,'Standard working hours - CAE'!$A$1:$A$105,0),MATCH(F$24,'Standard working hours - CAE'!$A$1:$I$1,0))</f>
        <v>Faurecia</v>
      </c>
      <c r="G62" s="149" t="str">
        <f>INDEX('Standard working hours - CAE'!$A$1:$I$105,MATCH($C62,'Standard working hours - CAE'!$A$1:$A$105,0),MATCH(G$24,'Standard working hours - CAE'!$A$1:$I$1,0))</f>
        <v>CHD-I-DSS-2806</v>
      </c>
      <c r="H62" s="46"/>
      <c r="I62" s="46"/>
      <c r="J62" s="46"/>
      <c r="K62" s="46"/>
      <c r="L62" s="46"/>
      <c r="M62" s="33">
        <f t="shared" si="51"/>
        <v>0</v>
      </c>
      <c r="N62" s="157">
        <f>IF(E62="","",IF(ISERROR(INDEX('Standard working hours - CAE'!$A$1:$I$105,MATCH($C62,'Standard working hours - CAE'!$A$1:$A$105,0),MATCH($E62,'Standard working hours - CAE'!$A$1:$I$1,0))*INDEX('Standard hourly rate'!$A$1:$E$14,MATCH("CAE",'Standard hourly rate'!$A$1:$A$14,0),MATCH($E62,'Standard hourly rate'!$A$1:$E$1,0))),"NA",INDEX('Standard working hours - CAE'!$A$1:$I$105,MATCH($C62,'Standard working hours - CAE'!$A$1:$A$105,0),MATCH($E62,'Standard working hours - CAE'!$A$1:$I$1,0))*INDEX('Standard hourly rate'!$A$1:$E$14,MATCH("CAE",'Standard hourly rate'!$A$1:$A$14,0),MATCH($E62,'Standard hourly rate'!$A$1:$E$1,0))))</f>
        <v>1482</v>
      </c>
      <c r="O62" s="45">
        <f>IF(OR(ISERROR($N62),$N62="",$N62="NA"),0,H62*$N62)*(1+INDEX('For Finance Control'!$B$27:$E$29,3,MATCH('Project information'!$A$4,'For Finance Control'!$B$27:$E$27,0)))</f>
        <v>0</v>
      </c>
      <c r="P62" s="45">
        <f>IF(OR(ISERROR($N62),$N62="",$N62="NA"),0,I62*$N62)*(1+INDEX('For Finance Control'!$B$27:$E$29,3,MATCH('Project information'!$A$4,'For Finance Control'!$B$27:$E$27,0)))</f>
        <v>0</v>
      </c>
      <c r="Q62" s="45">
        <f>IF(OR(ISERROR($N62),$N62="",$N62="NA"),0,J62*$N62)*(1+INDEX('For Finance Control'!$B$27:$E$29,3,MATCH('Project information'!$A$4,'For Finance Control'!$B$27:$E$27,0)))</f>
        <v>0</v>
      </c>
      <c r="R62" s="45">
        <f>IF(OR(ISERROR($N62),$N62="",$N62="NA"),0,K62*$N62)*(1+INDEX('For Finance Control'!$B$27:$E$29,3,MATCH('Project information'!$A$4,'For Finance Control'!$B$27:$E$27,0)))</f>
        <v>0</v>
      </c>
      <c r="S62" s="45">
        <f>IF(OR(ISERROR($N62),$N62="",$N62="NA"),0,L62*$N62)*(1+INDEX('For Finance Control'!$B$27:$E$29,3,MATCH('Project information'!$A$4,'For Finance Control'!$B$27:$E$27,0)))</f>
        <v>0</v>
      </c>
      <c r="T62" s="45">
        <f t="shared" si="52"/>
        <v>0</v>
      </c>
      <c r="U62" s="33" cm="1">
        <f t="array" ref="U62">IF($N62="NA","NA",$N62*INDEX('Exchange rate'!$A$1:$G$7,MATCH('Project information'!$A$13,'Exchange rate'!$A$1:$A$7,0),MATCH(LOOKUP(2,1/({"China";"Korea";"India";"Japan";"EUR";"NAO"}=$E62),{"CNY";"KRW";"INR";"JPY";"EUR";"USD"}),'Exchange rate'!$A$1:$G$1,0)))</f>
        <v>1482</v>
      </c>
      <c r="V62" s="33">
        <f t="shared" si="53"/>
        <v>0</v>
      </c>
      <c r="W62" s="33">
        <f t="shared" si="54"/>
        <v>0</v>
      </c>
      <c r="X62" s="33">
        <f t="shared" si="55"/>
        <v>0</v>
      </c>
      <c r="Y62" s="33">
        <f t="shared" si="56"/>
        <v>0</v>
      </c>
      <c r="Z62" s="33">
        <f t="shared" si="57"/>
        <v>0</v>
      </c>
      <c r="AA62" s="33">
        <f t="shared" si="58"/>
        <v>0</v>
      </c>
      <c r="AB62" s="246"/>
      <c r="AC62" s="247"/>
      <c r="AZ62" s="148" t="str">
        <f t="shared" si="60"/>
        <v>3.37</v>
      </c>
      <c r="BA62" s="149" t="s">
        <v>224</v>
      </c>
    </row>
    <row r="63" spans="1:53" ht="25" outlineLevel="1">
      <c r="A63" s="148" t="str">
        <f t="shared" si="59"/>
        <v>3.38</v>
      </c>
      <c r="B63" s="148" t="str">
        <f>INDEX('Standard working hours - CAE'!$A$1:$I$105,MATCH($C63,'Standard working hours - CAE'!$A$1:$A$105,0),MATCH(B$24,'Standard working hours - CAE'!$A$1:$I$1,0))</f>
        <v>LE</v>
      </c>
      <c r="C63" s="149" t="s">
        <v>225</v>
      </c>
      <c r="D63" s="153" t="str">
        <f>INDEX('Standard working hours - CAE'!$A$1:$I$105,MATCH($C63,'Standard working hours - CAE'!$A$1:$A$105,0),MATCH(D$24,'Standard working hours - CAE'!$A$1:$I$1,0))</f>
        <v>Cold end - Transient simulation (Road surface)</v>
      </c>
      <c r="E63" s="51" t="str">
        <f>IF('Project information'!$A$4="","",'Project information'!$A$4)</f>
        <v>China</v>
      </c>
      <c r="F63" s="149" t="str">
        <f>INDEX('Standard working hours - CAE'!$A$1:$I$105,MATCH($C63,'Standard working hours - CAE'!$A$1:$A$105,0),MATCH(F$24,'Standard working hours - CAE'!$A$1:$I$1,0))</f>
        <v>Nissan</v>
      </c>
      <c r="G63" s="149" t="str">
        <f>INDEX('Standard working hours - CAE'!$A$1:$I$105,MATCH($C63,'Standard working hours - CAE'!$A$1:$A$105,0),MATCH(G$24,'Standard working hours - CAE'!$A$1:$I$1,0))</f>
        <v>RNDS</v>
      </c>
      <c r="H63" s="46"/>
      <c r="I63" s="46"/>
      <c r="J63" s="46"/>
      <c r="K63" s="46"/>
      <c r="L63" s="46"/>
      <c r="M63" s="33">
        <f t="shared" ref="M63" si="100">SUM(H63:L63)</f>
        <v>0</v>
      </c>
      <c r="N63" s="157">
        <f>IF(E63="","",IF(ISERROR(INDEX('Standard working hours - CAE'!$A$1:$I$105,MATCH($C63,'Standard working hours - CAE'!$A$1:$A$105,0),MATCH($E63,'Standard working hours - CAE'!$A$1:$I$1,0))*INDEX('Standard hourly rate'!$A$1:$E$14,MATCH("CAE",'Standard hourly rate'!$A$1:$A$14,0),MATCH($E63,'Standard hourly rate'!$A$1:$E$1,0))),"NA",INDEX('Standard working hours - CAE'!$A$1:$I$105,MATCH($C63,'Standard working hours - CAE'!$A$1:$A$105,0),MATCH($E63,'Standard working hours - CAE'!$A$1:$I$1,0))*INDEX('Standard hourly rate'!$A$1:$E$14,MATCH("CAE",'Standard hourly rate'!$A$1:$A$14,0),MATCH($E63,'Standard hourly rate'!$A$1:$E$1,0))))</f>
        <v>7904</v>
      </c>
      <c r="O63" s="45">
        <f>IF(OR(ISERROR($N63),$N63="",$N63="NA"),0,H63*$N63)*(1+INDEX('For Finance Control'!$B$27:$E$29,3,MATCH('Project information'!$A$4,'For Finance Control'!$B$27:$E$27,0)))</f>
        <v>0</v>
      </c>
      <c r="P63" s="45">
        <f>IF(OR(ISERROR($N63),$N63="",$N63="NA"),0,I63*$N63)*(1+INDEX('For Finance Control'!$B$27:$E$29,3,MATCH('Project information'!$A$4,'For Finance Control'!$B$27:$E$27,0)))</f>
        <v>0</v>
      </c>
      <c r="Q63" s="45">
        <f>IF(OR(ISERROR($N63),$N63="",$N63="NA"),0,J63*$N63)*(1+INDEX('For Finance Control'!$B$27:$E$29,3,MATCH('Project information'!$A$4,'For Finance Control'!$B$27:$E$27,0)))</f>
        <v>0</v>
      </c>
      <c r="R63" s="45">
        <f>IF(OR(ISERROR($N63),$N63="",$N63="NA"),0,K63*$N63)*(1+INDEX('For Finance Control'!$B$27:$E$29,3,MATCH('Project information'!$A$4,'For Finance Control'!$B$27:$E$27,0)))</f>
        <v>0</v>
      </c>
      <c r="S63" s="45">
        <f>IF(OR(ISERROR($N63),$N63="",$N63="NA"),0,L63*$N63)*(1+INDEX('For Finance Control'!$B$27:$E$29,3,MATCH('Project information'!$A$4,'For Finance Control'!$B$27:$E$27,0)))</f>
        <v>0</v>
      </c>
      <c r="T63" s="45">
        <f t="shared" ref="T63:T100" si="101">SUM(O63:S63)</f>
        <v>0</v>
      </c>
      <c r="U63" s="33" cm="1">
        <f t="array" ref="U63">IF($N63="NA","NA",$N63*INDEX('Exchange rate'!$A$1:$G$7,MATCH('Project information'!$A$13,'Exchange rate'!$A$1:$A$7,0),MATCH(LOOKUP(2,1/({"China";"Korea";"India";"Japan";"EUR";"NAO"}=$E63),{"CNY";"KRW";"INR";"JPY";"EUR";"USD"}),'Exchange rate'!$A$1:$G$1,0)))</f>
        <v>7904</v>
      </c>
      <c r="V63" s="33">
        <f t="shared" ref="V63:V100" si="102">IF(OR(ISERROR($U63),$U63="",$U63="NA"),0,H63*$U63)</f>
        <v>0</v>
      </c>
      <c r="W63" s="33">
        <f t="shared" ref="W63:W100" si="103">IF(OR(ISERROR($U63),$U63="",$U63="NA"),0,I63*$U63)</f>
        <v>0</v>
      </c>
      <c r="X63" s="33">
        <f t="shared" ref="X63:X100" si="104">IF(OR(ISERROR($U63),$U63="",$U63="NA"),0,J63*$U63)</f>
        <v>0</v>
      </c>
      <c r="Y63" s="33">
        <f t="shared" ref="Y63:Y100" si="105">IF(OR(ISERROR($U63),$U63="",$U63="NA"),0,K63*$U63)</f>
        <v>0</v>
      </c>
      <c r="Z63" s="33">
        <f t="shared" ref="Z63:Z100" si="106">IF(OR(ISERROR($U63),$U63="",$U63="NA"),0,L63*$U63)</f>
        <v>0</v>
      </c>
      <c r="AA63" s="33">
        <f t="shared" ref="AA63:AA100" si="107">SUM(V63:Z63)</f>
        <v>0</v>
      </c>
      <c r="AB63" s="246"/>
      <c r="AC63" s="247"/>
      <c r="AZ63" s="148" t="str">
        <f t="shared" si="60"/>
        <v>3.38</v>
      </c>
      <c r="BA63" s="149" t="s">
        <v>226</v>
      </c>
    </row>
    <row r="64" spans="1:53" ht="125" outlineLevel="1">
      <c r="A64" s="148" t="str">
        <f t="shared" si="59"/>
        <v>3.39</v>
      </c>
      <c r="B64" s="148" t="str">
        <f>INDEX('Standard working hours - CAE'!$A$1:$I$105,MATCH($C64,'Standard working hours - CAE'!$A$1:$A$105,0),MATCH(B$24,'Standard working hours - CAE'!$A$1:$I$1,0))</f>
        <v>CVI</v>
      </c>
      <c r="C64" s="149" t="s">
        <v>227</v>
      </c>
      <c r="D64" s="153" t="str">
        <f>INDEX('Standard working hours - CAE'!$A$1:$I$105,MATCH($C64,'Standard working hours - CAE'!$A$1:$A$105,0),MATCH(D$24,'Standard working hours - CAE'!$A$1:$I$1,0))</f>
        <v>BOX / Switch back / U-Shape - G loading / Modal analysis / Heat transfer / Thermal mechanic</v>
      </c>
      <c r="E64" s="51" t="str">
        <f>IF('Project information'!$A$4="","",'Project information'!$A$4)</f>
        <v>China</v>
      </c>
      <c r="F64" s="149" t="str">
        <f>INDEX('Standard working hours - CAE'!$A$1:$I$105,MATCH($C64,'Standard working hours - CAE'!$A$1:$A$105,0),MATCH(F$24,'Standard working hours - CAE'!$A$1:$I$1,0))</f>
        <v>Faurecia</v>
      </c>
      <c r="G64" s="149" t="str">
        <f>INDEX('Standard working hours - CAE'!$A$1:$I$105,MATCH($C64,'Standard working hours - CAE'!$A$1:$A$105,0),MATCH(G$24,'Standard working hours - CAE'!$A$1:$I$1,0))</f>
        <v>FSE-I-DSE-P012
FSE-I-DSE-P013
FSE-P-DSE-U023
FSE-S-DSE-L024
FSE-S-DSE-L025
FSE-S-DSE-L026
FSE-S-DSE-G049
FSE-S-DSE-G050
ESA-I-DSE-F031
CHD-I-DSS-2807</v>
      </c>
      <c r="H64" s="46"/>
      <c r="I64" s="46"/>
      <c r="J64" s="46"/>
      <c r="K64" s="46"/>
      <c r="L64" s="46"/>
      <c r="M64" s="33">
        <f t="shared" ref="M64" si="108">SUM(H64:L64)</f>
        <v>0</v>
      </c>
      <c r="N64" s="157">
        <f>IF(E64="","",IF(ISERROR(INDEX('Standard working hours - CAE'!$A$1:$I$105,MATCH($C64,'Standard working hours - CAE'!$A$1:$A$105,0),MATCH($E64,'Standard working hours - CAE'!$A$1:$I$1,0))*INDEX('Standard hourly rate'!$A$1:$E$14,MATCH("CAE",'Standard hourly rate'!$A$1:$A$14,0),MATCH($E64,'Standard hourly rate'!$A$1:$E$1,0))),"NA",INDEX('Standard working hours - CAE'!$A$1:$I$105,MATCH($C64,'Standard working hours - CAE'!$A$1:$A$105,0),MATCH($E64,'Standard working hours - CAE'!$A$1:$I$1,0))*INDEX('Standard hourly rate'!$A$1:$E$14,MATCH("CAE",'Standard hourly rate'!$A$1:$A$14,0),MATCH($E64,'Standard hourly rate'!$A$1:$E$1,0))))</f>
        <v>79040</v>
      </c>
      <c r="O64" s="45">
        <f>IF(OR(ISERROR($N64),$N64="",$N64="NA"),0,H64*$N64)*(1+INDEX('For Finance Control'!$B$27:$E$29,3,MATCH('Project information'!$A$4,'For Finance Control'!$B$27:$E$27,0)))</f>
        <v>0</v>
      </c>
      <c r="P64" s="45">
        <f>IF(OR(ISERROR($N64),$N64="",$N64="NA"),0,I64*$N64)*(1+INDEX('For Finance Control'!$B$27:$E$29,3,MATCH('Project information'!$A$4,'For Finance Control'!$B$27:$E$27,0)))</f>
        <v>0</v>
      </c>
      <c r="Q64" s="45">
        <f>IF(OR(ISERROR($N64),$N64="",$N64="NA"),0,J64*$N64)*(1+INDEX('For Finance Control'!$B$27:$E$29,3,MATCH('Project information'!$A$4,'For Finance Control'!$B$27:$E$27,0)))</f>
        <v>0</v>
      </c>
      <c r="R64" s="45">
        <f>IF(OR(ISERROR($N64),$N64="",$N64="NA"),0,K64*$N64)*(1+INDEX('For Finance Control'!$B$27:$E$29,3,MATCH('Project information'!$A$4,'For Finance Control'!$B$27:$E$27,0)))</f>
        <v>0</v>
      </c>
      <c r="S64" s="45">
        <f>IF(OR(ISERROR($N64),$N64="",$N64="NA"),0,L64*$N64)*(1+INDEX('For Finance Control'!$B$27:$E$29,3,MATCH('Project information'!$A$4,'For Finance Control'!$B$27:$E$27,0)))</f>
        <v>0</v>
      </c>
      <c r="T64" s="45">
        <f t="shared" si="101"/>
        <v>0</v>
      </c>
      <c r="U64" s="33" cm="1">
        <f t="array" ref="U64">IF($N64="NA","NA",$N64*INDEX('Exchange rate'!$A$1:$G$7,MATCH('Project information'!$A$13,'Exchange rate'!$A$1:$A$7,0),MATCH(LOOKUP(2,1/({"China";"Korea";"India";"Japan";"EUR";"NAO"}=$E64),{"CNY";"KRW";"INR";"JPY";"EUR";"USD"}),'Exchange rate'!$A$1:$G$1,0)))</f>
        <v>79040</v>
      </c>
      <c r="V64" s="33">
        <f t="shared" si="102"/>
        <v>0</v>
      </c>
      <c r="W64" s="33">
        <f t="shared" si="103"/>
        <v>0</v>
      </c>
      <c r="X64" s="33">
        <f t="shared" si="104"/>
        <v>0</v>
      </c>
      <c r="Y64" s="33">
        <f t="shared" si="105"/>
        <v>0</v>
      </c>
      <c r="Z64" s="33">
        <f t="shared" si="106"/>
        <v>0</v>
      </c>
      <c r="AA64" s="33">
        <f t="shared" si="107"/>
        <v>0</v>
      </c>
      <c r="AB64" s="246"/>
      <c r="AC64" s="247"/>
      <c r="AZ64" s="148" t="str">
        <f t="shared" si="60"/>
        <v>3.39</v>
      </c>
      <c r="BA64" s="149" t="s">
        <v>228</v>
      </c>
    </row>
    <row r="65" spans="1:53" ht="125" outlineLevel="1">
      <c r="A65" s="148" t="str">
        <f t="shared" si="59"/>
        <v>3.40</v>
      </c>
      <c r="B65" s="148" t="str">
        <f>INDEX('Standard working hours - CAE'!$A$1:$I$105,MATCH($C65,'Standard working hours - CAE'!$A$1:$A$105,0),MATCH(B$24,'Standard working hours - CAE'!$A$1:$I$1,0))</f>
        <v>CVI</v>
      </c>
      <c r="C65" s="149" t="s">
        <v>229</v>
      </c>
      <c r="D65" s="153" t="str">
        <f>INDEX('Standard working hours - CAE'!$A$1:$I$105,MATCH($C65,'Standard working hours - CAE'!$A$1:$A$105,0),MATCH(D$24,'Standard working hours - CAE'!$A$1:$I$1,0))</f>
        <v>Inline - G loading / Modal analysis / Heat transfer / Thermal mechanic</v>
      </c>
      <c r="E65" s="51" t="str">
        <f>IF('Project information'!$A$4="","",'Project information'!$A$4)</f>
        <v>China</v>
      </c>
      <c r="F65" s="149" t="str">
        <f>INDEX('Standard working hours - CAE'!$A$1:$I$105,MATCH($C65,'Standard working hours - CAE'!$A$1:$A$105,0),MATCH(F$24,'Standard working hours - CAE'!$A$1:$I$1,0))</f>
        <v>Faurecia</v>
      </c>
      <c r="G65" s="149" t="str">
        <f>INDEX('Standard working hours - CAE'!$A$1:$I$105,MATCH($C65,'Standard working hours - CAE'!$A$1:$A$105,0),MATCH(G$24,'Standard working hours - CAE'!$A$1:$I$1,0))</f>
        <v>FSE-I-DSE-P012
FSE-I-DSE-P013
FSE-P-DSE-U023
FSE-S-DSE-L024
FSE-S-DSE-L025
FSE-S-DSE-L026
FSE-S-DSE-G049
FSE-S-DSE-G050
ESA-I-DSE-F031
CHD-I-DSS-2807</v>
      </c>
      <c r="H65" s="46"/>
      <c r="I65" s="46"/>
      <c r="J65" s="46"/>
      <c r="K65" s="46"/>
      <c r="L65" s="46"/>
      <c r="M65" s="33">
        <f t="shared" ref="M65" si="109">SUM(H65:L65)</f>
        <v>0</v>
      </c>
      <c r="N65" s="157">
        <f>IF(E65="","",IF(ISERROR(INDEX('Standard working hours - CAE'!$A$1:$I$105,MATCH($C65,'Standard working hours - CAE'!$A$1:$A$105,0),MATCH($E65,'Standard working hours - CAE'!$A$1:$I$1,0))*INDEX('Standard hourly rate'!$A$1:$E$14,MATCH("CAE",'Standard hourly rate'!$A$1:$A$14,0),MATCH($E65,'Standard hourly rate'!$A$1:$E$1,0))),"NA",INDEX('Standard working hours - CAE'!$A$1:$I$105,MATCH($C65,'Standard working hours - CAE'!$A$1:$A$105,0),MATCH($E65,'Standard working hours - CAE'!$A$1:$I$1,0))*INDEX('Standard hourly rate'!$A$1:$E$14,MATCH("CAE",'Standard hourly rate'!$A$1:$A$14,0),MATCH($E65,'Standard hourly rate'!$A$1:$E$1,0))))</f>
        <v>67184</v>
      </c>
      <c r="O65" s="45">
        <f>IF(OR(ISERROR($N65),$N65="",$N65="NA"),0,H65*$N65)*(1+INDEX('For Finance Control'!$B$27:$E$29,3,MATCH('Project information'!$A$4,'For Finance Control'!$B$27:$E$27,0)))</f>
        <v>0</v>
      </c>
      <c r="P65" s="45">
        <f>IF(OR(ISERROR($N65),$N65="",$N65="NA"),0,I65*$N65)*(1+INDEX('For Finance Control'!$B$27:$E$29,3,MATCH('Project information'!$A$4,'For Finance Control'!$B$27:$E$27,0)))</f>
        <v>0</v>
      </c>
      <c r="Q65" s="45">
        <f>IF(OR(ISERROR($N65),$N65="",$N65="NA"),0,J65*$N65)*(1+INDEX('For Finance Control'!$B$27:$E$29,3,MATCH('Project information'!$A$4,'For Finance Control'!$B$27:$E$27,0)))</f>
        <v>0</v>
      </c>
      <c r="R65" s="45">
        <f>IF(OR(ISERROR($N65),$N65="",$N65="NA"),0,K65*$N65)*(1+INDEX('For Finance Control'!$B$27:$E$29,3,MATCH('Project information'!$A$4,'For Finance Control'!$B$27:$E$27,0)))</f>
        <v>0</v>
      </c>
      <c r="S65" s="45">
        <f>IF(OR(ISERROR($N65),$N65="",$N65="NA"),0,L65*$N65)*(1+INDEX('For Finance Control'!$B$27:$E$29,3,MATCH('Project information'!$A$4,'For Finance Control'!$B$27:$E$27,0)))</f>
        <v>0</v>
      </c>
      <c r="T65" s="45">
        <f t="shared" si="101"/>
        <v>0</v>
      </c>
      <c r="U65" s="33" cm="1">
        <f t="array" ref="U65">IF($N65="NA","NA",$N65*INDEX('Exchange rate'!$A$1:$G$7,MATCH('Project information'!$A$13,'Exchange rate'!$A$1:$A$7,0),MATCH(LOOKUP(2,1/({"China";"Korea";"India";"Japan";"EUR";"NAO"}=$E65),{"CNY";"KRW";"INR";"JPY";"EUR";"USD"}),'Exchange rate'!$A$1:$G$1,0)))</f>
        <v>67184</v>
      </c>
      <c r="V65" s="33">
        <f t="shared" si="102"/>
        <v>0</v>
      </c>
      <c r="W65" s="33">
        <f t="shared" si="103"/>
        <v>0</v>
      </c>
      <c r="X65" s="33">
        <f t="shared" si="104"/>
        <v>0</v>
      </c>
      <c r="Y65" s="33">
        <f t="shared" si="105"/>
        <v>0</v>
      </c>
      <c r="Z65" s="33">
        <f t="shared" si="106"/>
        <v>0</v>
      </c>
      <c r="AA65" s="33">
        <f t="shared" si="107"/>
        <v>0</v>
      </c>
      <c r="AB65" s="246"/>
      <c r="AC65" s="247"/>
      <c r="AZ65" s="148" t="str">
        <f t="shared" si="60"/>
        <v>3.40</v>
      </c>
      <c r="BA65" s="149" t="s">
        <v>228</v>
      </c>
    </row>
    <row r="66" spans="1:53" ht="62.5" outlineLevel="1">
      <c r="A66" s="148" t="str">
        <f t="shared" si="59"/>
        <v>3.41</v>
      </c>
      <c r="B66" s="148" t="str">
        <f>INDEX('Standard working hours - CAE'!$A$1:$I$105,MATCH($C66,'Standard working hours - CAE'!$A$1:$A$105,0),MATCH(B$24,'Standard working hours - CAE'!$A$1:$I$1,0))</f>
        <v>LE</v>
      </c>
      <c r="C66" s="149" t="s">
        <v>230</v>
      </c>
      <c r="D66" s="153" t="str">
        <f>INDEX('Standard working hours - CAE'!$A$1:$I$105,MATCH($C66,'Standard working hours - CAE'!$A$1:$A$105,0),MATCH(D$24,'Standard working hours - CAE'!$A$1:$I$1,0))</f>
        <v>G loading / Modal analysis / 1G Loading / Component Modal / Component static &amp; stiffness / Engine Roll / Force response / Transient (Road surface) / Engine Vibration</v>
      </c>
      <c r="E66" s="51" t="str">
        <f>IF('Project information'!$A$4="","",'Project information'!$A$4)</f>
        <v>China</v>
      </c>
      <c r="F66" s="149" t="str">
        <f>INDEX('Standard working hours - CAE'!$A$1:$I$105,MATCH($C66,'Standard working hours - CAE'!$A$1:$A$105,0),MATCH(F$24,'Standard working hours - CAE'!$A$1:$I$1,0))</f>
        <v>Nissan</v>
      </c>
      <c r="G66" s="149" t="str">
        <f>INDEX('Standard working hours - CAE'!$A$1:$I$105,MATCH($C66,'Standard working hours - CAE'!$A$1:$A$105,0),MATCH(G$24,'Standard working hours - CAE'!$A$1:$I$1,0))</f>
        <v>RNDS</v>
      </c>
      <c r="H66" s="46"/>
      <c r="I66" s="46"/>
      <c r="J66" s="46"/>
      <c r="K66" s="46"/>
      <c r="L66" s="46"/>
      <c r="M66" s="33">
        <f t="shared" ref="M66" si="110">SUM(H66:L66)</f>
        <v>0</v>
      </c>
      <c r="N66" s="157">
        <f>IF(E66="","",IF(ISERROR(INDEX('Standard working hours - CAE'!$A$1:$I$105,MATCH($C66,'Standard working hours - CAE'!$A$1:$A$105,0),MATCH($E66,'Standard working hours - CAE'!$A$1:$I$1,0))*INDEX('Standard hourly rate'!$A$1:$E$14,MATCH("CAE",'Standard hourly rate'!$A$1:$A$14,0),MATCH($E66,'Standard hourly rate'!$A$1:$E$1,0))),"NA",INDEX('Standard working hours - CAE'!$A$1:$I$105,MATCH($C66,'Standard working hours - CAE'!$A$1:$A$105,0),MATCH($E66,'Standard working hours - CAE'!$A$1:$I$1,0))*INDEX('Standard hourly rate'!$A$1:$E$14,MATCH("CAE",'Standard hourly rate'!$A$1:$A$14,0),MATCH($E66,'Standard hourly rate'!$A$1:$E$1,0))))</f>
        <v>31616</v>
      </c>
      <c r="O66" s="45">
        <f>IF(OR(ISERROR($N66),$N66="",$N66="NA"),0,H66*$N66)*(1+INDEX('For Finance Control'!$B$27:$E$29,3,MATCH('Project information'!$A$4,'For Finance Control'!$B$27:$E$27,0)))</f>
        <v>0</v>
      </c>
      <c r="P66" s="45">
        <f>IF(OR(ISERROR($N66),$N66="",$N66="NA"),0,I66*$N66)*(1+INDEX('For Finance Control'!$B$27:$E$29,3,MATCH('Project information'!$A$4,'For Finance Control'!$B$27:$E$27,0)))</f>
        <v>0</v>
      </c>
      <c r="Q66" s="45">
        <f>IF(OR(ISERROR($N66),$N66="",$N66="NA"),0,J66*$N66)*(1+INDEX('For Finance Control'!$B$27:$E$29,3,MATCH('Project information'!$A$4,'For Finance Control'!$B$27:$E$27,0)))</f>
        <v>0</v>
      </c>
      <c r="R66" s="45">
        <f>IF(OR(ISERROR($N66),$N66="",$N66="NA"),0,K66*$N66)*(1+INDEX('For Finance Control'!$B$27:$E$29,3,MATCH('Project information'!$A$4,'For Finance Control'!$B$27:$E$27,0)))</f>
        <v>0</v>
      </c>
      <c r="S66" s="45">
        <f>IF(OR(ISERROR($N66),$N66="",$N66="NA"),0,L66*$N66)*(1+INDEX('For Finance Control'!$B$27:$E$29,3,MATCH('Project information'!$A$4,'For Finance Control'!$B$27:$E$27,0)))</f>
        <v>0</v>
      </c>
      <c r="T66" s="45">
        <f t="shared" ref="T66:T69" si="111">SUM(O66:S66)</f>
        <v>0</v>
      </c>
      <c r="U66" s="33" cm="1">
        <f t="array" ref="U66">IF($N66="NA","NA",$N66*INDEX('Exchange rate'!$A$1:$G$7,MATCH('Project information'!$A$13,'Exchange rate'!$A$1:$A$7,0),MATCH(LOOKUP(2,1/({"China";"Korea";"India";"Japan";"EUR";"NAO"}=$E66),{"CNY";"KRW";"INR";"JPY";"EUR";"USD"}),'Exchange rate'!$A$1:$G$1,0)))</f>
        <v>31616</v>
      </c>
      <c r="V66" s="33">
        <f t="shared" ref="V66:V69" si="112">IF(OR(ISERROR($U66),$U66="",$U66="NA"),0,H66*$U66)</f>
        <v>0</v>
      </c>
      <c r="W66" s="33">
        <f t="shared" ref="W66:W69" si="113">IF(OR(ISERROR($U66),$U66="",$U66="NA"),0,I66*$U66)</f>
        <v>0</v>
      </c>
      <c r="X66" s="33">
        <f t="shared" ref="X66:X69" si="114">IF(OR(ISERROR($U66),$U66="",$U66="NA"),0,J66*$U66)</f>
        <v>0</v>
      </c>
      <c r="Y66" s="33">
        <f t="shared" ref="Y66:Y69" si="115">IF(OR(ISERROR($U66),$U66="",$U66="NA"),0,K66*$U66)</f>
        <v>0</v>
      </c>
      <c r="Z66" s="33">
        <f t="shared" ref="Z66:Z69" si="116">IF(OR(ISERROR($U66),$U66="",$U66="NA"),0,L66*$U66)</f>
        <v>0</v>
      </c>
      <c r="AA66" s="33">
        <f t="shared" ref="AA66:AA69" si="117">SUM(V66:Z66)</f>
        <v>0</v>
      </c>
      <c r="AB66" s="246"/>
      <c r="AC66" s="247"/>
      <c r="AZ66" s="148" t="str">
        <f t="shared" si="60"/>
        <v>3.41</v>
      </c>
      <c r="BA66" s="149" t="s">
        <v>226</v>
      </c>
    </row>
    <row r="67" spans="1:53" ht="112.5" outlineLevel="1">
      <c r="A67" s="148" t="str">
        <f t="shared" si="59"/>
        <v>3.42</v>
      </c>
      <c r="B67" s="148" t="str">
        <f>INDEX('Standard working hours - CAE'!$A$1:$I$105,MATCH($C67,'Standard working hours - CAE'!$A$1:$A$105,0),MATCH(B$24,'Standard working hours - CAE'!$A$1:$I$1,0))</f>
        <v>CVI</v>
      </c>
      <c r="C67" s="149" t="s">
        <v>231</v>
      </c>
      <c r="D67" s="153" t="str">
        <f>INDEX('Standard working hours - CAE'!$A$1:$I$105,MATCH($C67,'Standard working hours - CAE'!$A$1:$A$105,0),MATCH(D$24,'Standard working hours - CAE'!$A$1:$I$1,0))</f>
        <v>Inline mixer -  G loading / Modal analysis / Heat transfer / Thermal mechanic / Inlet/Outlet fatigue analysis</v>
      </c>
      <c r="E67" s="51" t="str">
        <f>IF('Project information'!$A$4="","",'Project information'!$A$4)</f>
        <v>China</v>
      </c>
      <c r="F67" s="149" t="str">
        <f>INDEX('Standard working hours - CAE'!$A$1:$I$105,MATCH($C67,'Standard working hours - CAE'!$A$1:$A$105,0),MATCH(F$24,'Standard working hours - CAE'!$A$1:$I$1,0))</f>
        <v>Faurecia</v>
      </c>
      <c r="G67" s="149" t="str">
        <f>INDEX('Standard working hours - CAE'!$A$1:$I$105,MATCH($C67,'Standard working hours - CAE'!$A$1:$A$105,0),MATCH(G$24,'Standard working hours - CAE'!$A$1:$I$1,0))</f>
        <v>FSE-I-DSE-P012
FSE-I-DSE-P013
FSE-I-DSE-U023
FSE-S-DSE-L024
FSE-S-DSE-L025
FSE-S-DSE-L026
FSE-S-DSE-G049
FSE-I-DSE-L001
FSE-S-DSE-L049</v>
      </c>
      <c r="H67" s="46"/>
      <c r="I67" s="46"/>
      <c r="J67" s="46"/>
      <c r="K67" s="46"/>
      <c r="L67" s="46"/>
      <c r="M67" s="33">
        <f t="shared" ref="M67" si="118">SUM(H67:L67)</f>
        <v>0</v>
      </c>
      <c r="N67" s="157">
        <f>IF(E67="","",IF(ISERROR(INDEX('Standard working hours - CAE'!$A$1:$I$105,MATCH($C67,'Standard working hours - CAE'!$A$1:$A$105,0),MATCH($E67,'Standard working hours - CAE'!$A$1:$I$1,0))*INDEX('Standard hourly rate'!$A$1:$E$14,MATCH("CAE",'Standard hourly rate'!$A$1:$A$14,0),MATCH($E67,'Standard hourly rate'!$A$1:$E$1,0))),"NA",INDEX('Standard working hours - CAE'!$A$1:$I$105,MATCH($C67,'Standard working hours - CAE'!$A$1:$A$105,0),MATCH($E67,'Standard working hours - CAE'!$A$1:$I$1,0))*INDEX('Standard hourly rate'!$A$1:$E$14,MATCH("CAE",'Standard hourly rate'!$A$1:$A$14,0),MATCH($E67,'Standard hourly rate'!$A$1:$E$1,0))))</f>
        <v>13832</v>
      </c>
      <c r="O67" s="45">
        <f>IF(OR(ISERROR($N67),$N67="",$N67="NA"),0,H67*$N67)*(1+INDEX('For Finance Control'!$B$27:$E$29,3,MATCH('Project information'!$A$4,'For Finance Control'!$B$27:$E$27,0)))</f>
        <v>0</v>
      </c>
      <c r="P67" s="45">
        <f>IF(OR(ISERROR($N67),$N67="",$N67="NA"),0,I67*$N67)*(1+INDEX('For Finance Control'!$B$27:$E$29,3,MATCH('Project information'!$A$4,'For Finance Control'!$B$27:$E$27,0)))</f>
        <v>0</v>
      </c>
      <c r="Q67" s="45">
        <f>IF(OR(ISERROR($N67),$N67="",$N67="NA"),0,J67*$N67)*(1+INDEX('For Finance Control'!$B$27:$E$29,3,MATCH('Project information'!$A$4,'For Finance Control'!$B$27:$E$27,0)))</f>
        <v>0</v>
      </c>
      <c r="R67" s="45">
        <f>IF(OR(ISERROR($N67),$N67="",$N67="NA"),0,K67*$N67)*(1+INDEX('For Finance Control'!$B$27:$E$29,3,MATCH('Project information'!$A$4,'For Finance Control'!$B$27:$E$27,0)))</f>
        <v>0</v>
      </c>
      <c r="S67" s="45">
        <f>IF(OR(ISERROR($N67),$N67="",$N67="NA"),0,L67*$N67)*(1+INDEX('For Finance Control'!$B$27:$E$29,3,MATCH('Project information'!$A$4,'For Finance Control'!$B$27:$E$27,0)))</f>
        <v>0</v>
      </c>
      <c r="T67" s="45">
        <f t="shared" si="111"/>
        <v>0</v>
      </c>
      <c r="U67" s="33" cm="1">
        <f t="array" ref="U67">IF($N67="NA","NA",$N67*INDEX('Exchange rate'!$A$1:$G$7,MATCH('Project information'!$A$13,'Exchange rate'!$A$1:$A$7,0),MATCH(LOOKUP(2,1/({"China";"Korea";"India";"Japan";"EUR";"NAO"}=$E67),{"CNY";"KRW";"INR";"JPY";"EUR";"USD"}),'Exchange rate'!$A$1:$G$1,0)))</f>
        <v>13832</v>
      </c>
      <c r="V67" s="33">
        <f t="shared" si="112"/>
        <v>0</v>
      </c>
      <c r="W67" s="33">
        <f t="shared" si="113"/>
        <v>0</v>
      </c>
      <c r="X67" s="33">
        <f t="shared" si="114"/>
        <v>0</v>
      </c>
      <c r="Y67" s="33">
        <f t="shared" si="115"/>
        <v>0</v>
      </c>
      <c r="Z67" s="33">
        <f t="shared" si="116"/>
        <v>0</v>
      </c>
      <c r="AA67" s="33">
        <f t="shared" si="117"/>
        <v>0</v>
      </c>
      <c r="AB67" s="246"/>
      <c r="AC67" s="247"/>
      <c r="AZ67" s="148" t="str">
        <f t="shared" si="60"/>
        <v>3.42</v>
      </c>
      <c r="BA67" s="149" t="s">
        <v>232</v>
      </c>
    </row>
    <row r="68" spans="1:53" ht="112.5" outlineLevel="1">
      <c r="A68" s="148" t="str">
        <f t="shared" si="59"/>
        <v>3.43</v>
      </c>
      <c r="B68" s="148" t="str">
        <f>INDEX('Standard working hours - CAE'!$A$1:$I$105,MATCH($C68,'Standard working hours - CAE'!$A$1:$A$105,0),MATCH(B$24,'Standard working hours - CAE'!$A$1:$I$1,0))</f>
        <v>CVI</v>
      </c>
      <c r="C68" s="149" t="s">
        <v>233</v>
      </c>
      <c r="D68" s="153" t="str">
        <f>INDEX('Standard working hours - CAE'!$A$1:$I$105,MATCH($C68,'Standard working hours - CAE'!$A$1:$A$105,0),MATCH(D$24,'Standard working hours - CAE'!$A$1:$I$1,0))</f>
        <v>U-Mixer -  G loading / Modal analysis / Heat transfer / Thermal mechanic / Inlet/Outlet fatigue analysis</v>
      </c>
      <c r="E68" s="51" t="str">
        <f>IF('Project information'!$A$4="","",'Project information'!$A$4)</f>
        <v>China</v>
      </c>
      <c r="F68" s="149" t="str">
        <f>INDEX('Standard working hours - CAE'!$A$1:$I$105,MATCH($C68,'Standard working hours - CAE'!$A$1:$A$105,0),MATCH(F$24,'Standard working hours - CAE'!$A$1:$I$1,0))</f>
        <v>Faurecia</v>
      </c>
      <c r="G68" s="149" t="str">
        <f>INDEX('Standard working hours - CAE'!$A$1:$I$105,MATCH($C68,'Standard working hours - CAE'!$A$1:$A$105,0),MATCH(G$24,'Standard working hours - CAE'!$A$1:$I$1,0))</f>
        <v>FSE-I-DSE-P012
FSE-I-DSE-P013
FSE-I-DSE-U023
FSE-S-DSE-L024
FSE-S-DSE-L025
FSE-S-DSE-L026
FSE-S-DSE-G049
FSE-I-DSE-L001
FSE-S-DSE-L049</v>
      </c>
      <c r="H68" s="46"/>
      <c r="I68" s="46"/>
      <c r="J68" s="46"/>
      <c r="K68" s="46"/>
      <c r="L68" s="46"/>
      <c r="M68" s="33">
        <f t="shared" ref="M68" si="119">SUM(H68:L68)</f>
        <v>0</v>
      </c>
      <c r="N68" s="157">
        <f>IF(E68="","",IF(ISERROR(INDEX('Standard working hours - CAE'!$A$1:$I$105,MATCH($C68,'Standard working hours - CAE'!$A$1:$A$105,0),MATCH($E68,'Standard working hours - CAE'!$A$1:$I$1,0))*INDEX('Standard hourly rate'!$A$1:$E$14,MATCH("CAE",'Standard hourly rate'!$A$1:$A$14,0),MATCH($E68,'Standard hourly rate'!$A$1:$E$1,0))),"NA",INDEX('Standard working hours - CAE'!$A$1:$I$105,MATCH($C68,'Standard working hours - CAE'!$A$1:$A$105,0),MATCH($E68,'Standard working hours - CAE'!$A$1:$I$1,0))*INDEX('Standard hourly rate'!$A$1:$E$14,MATCH("CAE",'Standard hourly rate'!$A$1:$A$14,0),MATCH($E68,'Standard hourly rate'!$A$1:$E$1,0))))</f>
        <v>16796</v>
      </c>
      <c r="O68" s="45">
        <f>IF(OR(ISERROR($N68),$N68="",$N68="NA"),0,H68*$N68)*(1+INDEX('For Finance Control'!$B$27:$E$29,3,MATCH('Project information'!$A$4,'For Finance Control'!$B$27:$E$27,0)))</f>
        <v>0</v>
      </c>
      <c r="P68" s="45">
        <f>IF(OR(ISERROR($N68),$N68="",$N68="NA"),0,I68*$N68)*(1+INDEX('For Finance Control'!$B$27:$E$29,3,MATCH('Project information'!$A$4,'For Finance Control'!$B$27:$E$27,0)))</f>
        <v>0</v>
      </c>
      <c r="Q68" s="45">
        <f>IF(OR(ISERROR($N68),$N68="",$N68="NA"),0,J68*$N68)*(1+INDEX('For Finance Control'!$B$27:$E$29,3,MATCH('Project information'!$A$4,'For Finance Control'!$B$27:$E$27,0)))</f>
        <v>0</v>
      </c>
      <c r="R68" s="45">
        <f>IF(OR(ISERROR($N68),$N68="",$N68="NA"),0,K68*$N68)*(1+INDEX('For Finance Control'!$B$27:$E$29,3,MATCH('Project information'!$A$4,'For Finance Control'!$B$27:$E$27,0)))</f>
        <v>0</v>
      </c>
      <c r="S68" s="45">
        <f>IF(OR(ISERROR($N68),$N68="",$N68="NA"),0,L68*$N68)*(1+INDEX('For Finance Control'!$B$27:$E$29,3,MATCH('Project information'!$A$4,'For Finance Control'!$B$27:$E$27,0)))</f>
        <v>0</v>
      </c>
      <c r="T68" s="45">
        <f t="shared" si="111"/>
        <v>0</v>
      </c>
      <c r="U68" s="33" cm="1">
        <f t="array" ref="U68">IF($N68="NA","NA",$N68*INDEX('Exchange rate'!$A$1:$G$7,MATCH('Project information'!$A$13,'Exchange rate'!$A$1:$A$7,0),MATCH(LOOKUP(2,1/({"China";"Korea";"India";"Japan";"EUR";"NAO"}=$E68),{"CNY";"KRW";"INR";"JPY";"EUR";"USD"}),'Exchange rate'!$A$1:$G$1,0)))</f>
        <v>16796</v>
      </c>
      <c r="V68" s="33">
        <f t="shared" si="112"/>
        <v>0</v>
      </c>
      <c r="W68" s="33">
        <f t="shared" si="113"/>
        <v>0</v>
      </c>
      <c r="X68" s="33">
        <f t="shared" si="114"/>
        <v>0</v>
      </c>
      <c r="Y68" s="33">
        <f t="shared" si="115"/>
        <v>0</v>
      </c>
      <c r="Z68" s="33">
        <f t="shared" si="116"/>
        <v>0</v>
      </c>
      <c r="AA68" s="33">
        <f t="shared" si="117"/>
        <v>0</v>
      </c>
      <c r="AB68" s="246"/>
      <c r="AC68" s="247"/>
      <c r="AZ68" s="148" t="str">
        <f t="shared" si="60"/>
        <v>3.43</v>
      </c>
      <c r="BA68" s="149" t="s">
        <v>232</v>
      </c>
    </row>
    <row r="69" spans="1:53" outlineLevel="1">
      <c r="A69" s="148" t="str">
        <f t="shared" si="59"/>
        <v>3.44</v>
      </c>
      <c r="B69" s="148" t="str">
        <f>INDEX('Standard working hours - CAE'!$A$1:$I$105,MATCH($C69,'Standard working hours - CAE'!$A$1:$A$105,0),MATCH(B$24,'Standard working hours - CAE'!$A$1:$I$1,0))</f>
        <v>CVI</v>
      </c>
      <c r="C69" s="149" t="s">
        <v>234</v>
      </c>
      <c r="D69" s="153" t="str">
        <f>INDEX('Standard working hours - CAE'!$A$1:$I$105,MATCH($C69,'Standard working hours - CAE'!$A$1:$A$105,0),MATCH(D$24,'Standard working hours - CAE'!$A$1:$I$1,0))</f>
        <v>Mixer - PSD simulation</v>
      </c>
      <c r="E69" s="51" t="str">
        <f>IF('Project information'!$A$4="","",'Project information'!$A$4)</f>
        <v>China</v>
      </c>
      <c r="F69" s="149" t="str">
        <f>INDEX('Standard working hours - CAE'!$A$1:$I$105,MATCH($C69,'Standard working hours - CAE'!$A$1:$A$105,0),MATCH(F$24,'Standard working hours - CAE'!$A$1:$I$1,0))</f>
        <v>Faurecia</v>
      </c>
      <c r="G69" s="149" t="str">
        <f>INDEX('Standard working hours - CAE'!$A$1:$I$105,MATCH($C69,'Standard working hours - CAE'!$A$1:$A$105,0),MATCH(G$24,'Standard working hours - CAE'!$A$1:$I$1,0))</f>
        <v>ESA-I-DSE-F031</v>
      </c>
      <c r="H69" s="46"/>
      <c r="I69" s="46"/>
      <c r="J69" s="46"/>
      <c r="K69" s="46"/>
      <c r="L69" s="46"/>
      <c r="M69" s="33">
        <f t="shared" ref="M69" si="120">SUM(H69:L69)</f>
        <v>0</v>
      </c>
      <c r="N69" s="157">
        <f>IF(E69="","",IF(ISERROR(INDEX('Standard working hours - CAE'!$A$1:$I$105,MATCH($C69,'Standard working hours - CAE'!$A$1:$A$105,0),MATCH($E69,'Standard working hours - CAE'!$A$1:$I$1,0))*INDEX('Standard hourly rate'!$A$1:$E$14,MATCH("CAE",'Standard hourly rate'!$A$1:$A$14,0),MATCH($E69,'Standard hourly rate'!$A$1:$E$1,0))),"NA",INDEX('Standard working hours - CAE'!$A$1:$I$105,MATCH($C69,'Standard working hours - CAE'!$A$1:$A$105,0),MATCH($E69,'Standard working hours - CAE'!$A$1:$I$1,0))*INDEX('Standard hourly rate'!$A$1:$E$14,MATCH("CAE",'Standard hourly rate'!$A$1:$A$14,0),MATCH($E69,'Standard hourly rate'!$A$1:$E$1,0))))</f>
        <v>7904</v>
      </c>
      <c r="O69" s="45">
        <f>IF(OR(ISERROR($N69),$N69="",$N69="NA"),0,H69*$N69)*(1+INDEX('For Finance Control'!$B$27:$E$29,3,MATCH('Project information'!$A$4,'For Finance Control'!$B$27:$E$27,0)))</f>
        <v>0</v>
      </c>
      <c r="P69" s="45">
        <f>IF(OR(ISERROR($N69),$N69="",$N69="NA"),0,I69*$N69)*(1+INDEX('For Finance Control'!$B$27:$E$29,3,MATCH('Project information'!$A$4,'For Finance Control'!$B$27:$E$27,0)))</f>
        <v>0</v>
      </c>
      <c r="Q69" s="45">
        <f>IF(OR(ISERROR($N69),$N69="",$N69="NA"),0,J69*$N69)*(1+INDEX('For Finance Control'!$B$27:$E$29,3,MATCH('Project information'!$A$4,'For Finance Control'!$B$27:$E$27,0)))</f>
        <v>0</v>
      </c>
      <c r="R69" s="45">
        <f>IF(OR(ISERROR($N69),$N69="",$N69="NA"),0,K69*$N69)*(1+INDEX('For Finance Control'!$B$27:$E$29,3,MATCH('Project information'!$A$4,'For Finance Control'!$B$27:$E$27,0)))</f>
        <v>0</v>
      </c>
      <c r="S69" s="45">
        <f>IF(OR(ISERROR($N69),$N69="",$N69="NA"),0,L69*$N69)*(1+INDEX('For Finance Control'!$B$27:$E$29,3,MATCH('Project information'!$A$4,'For Finance Control'!$B$27:$E$27,0)))</f>
        <v>0</v>
      </c>
      <c r="T69" s="45">
        <f t="shared" si="111"/>
        <v>0</v>
      </c>
      <c r="U69" s="33" cm="1">
        <f t="array" ref="U69">IF($N69="NA","NA",$N69*INDEX('Exchange rate'!$A$1:$G$7,MATCH('Project information'!$A$13,'Exchange rate'!$A$1:$A$7,0),MATCH(LOOKUP(2,1/({"China";"Korea";"India";"Japan";"EUR";"NAO"}=$E69),{"CNY";"KRW";"INR";"JPY";"EUR";"USD"}),'Exchange rate'!$A$1:$G$1,0)))</f>
        <v>7904</v>
      </c>
      <c r="V69" s="33">
        <f t="shared" si="112"/>
        <v>0</v>
      </c>
      <c r="W69" s="33">
        <f t="shared" si="113"/>
        <v>0</v>
      </c>
      <c r="X69" s="33">
        <f t="shared" si="114"/>
        <v>0</v>
      </c>
      <c r="Y69" s="33">
        <f t="shared" si="115"/>
        <v>0</v>
      </c>
      <c r="Z69" s="33">
        <f t="shared" si="116"/>
        <v>0</v>
      </c>
      <c r="AA69" s="33">
        <f t="shared" si="117"/>
        <v>0</v>
      </c>
      <c r="AB69" s="246"/>
      <c r="AC69" s="247"/>
      <c r="AZ69" s="148" t="str">
        <f t="shared" si="60"/>
        <v>3.44</v>
      </c>
      <c r="BA69" s="149" t="s">
        <v>235</v>
      </c>
    </row>
    <row r="70" spans="1:53" outlineLevel="1">
      <c r="A70" s="148" t="str">
        <f t="shared" si="59"/>
        <v>3.45</v>
      </c>
      <c r="B70" s="148" t="str">
        <f>INDEX('Standard working hours - CAE'!$A$1:$I$105,MATCH($C70,'Standard working hours - CAE'!$A$1:$A$105,0),MATCH(B$24,'Standard working hours - CAE'!$A$1:$I$1,0))</f>
        <v>CVI</v>
      </c>
      <c r="C70" s="149" t="s">
        <v>236</v>
      </c>
      <c r="D70" s="153" t="str">
        <f>INDEX('Standard working hours - CAE'!$A$1:$I$105,MATCH($C70,'Standard working hours - CAE'!$A$1:$A$105,0),MATCH(D$24,'Standard working hours - CAE'!$A$1:$I$1,0))</f>
        <v>Inline - PSD simulation</v>
      </c>
      <c r="E70" s="51" t="str">
        <f>IF('Project information'!$A$4="","",'Project information'!$A$4)</f>
        <v>China</v>
      </c>
      <c r="F70" s="149" t="str">
        <f>INDEX('Standard working hours - CAE'!$A$1:$I$105,MATCH($C70,'Standard working hours - CAE'!$A$1:$A$105,0),MATCH(F$24,'Standard working hours - CAE'!$A$1:$I$1,0))</f>
        <v>Faurecia</v>
      </c>
      <c r="G70" s="149" t="str">
        <f>INDEX('Standard working hours - CAE'!$A$1:$I$105,MATCH($C70,'Standard working hours - CAE'!$A$1:$A$105,0),MATCH(G$24,'Standard working hours - CAE'!$A$1:$I$1,0))</f>
        <v>ESA-I-DSE-F032</v>
      </c>
      <c r="H70" s="46"/>
      <c r="I70" s="46"/>
      <c r="J70" s="46"/>
      <c r="K70" s="46"/>
      <c r="L70" s="46"/>
      <c r="M70" s="33">
        <f t="shared" ref="M70" si="121">SUM(H70:L70)</f>
        <v>0</v>
      </c>
      <c r="N70" s="157">
        <f>IF(E70="","",IF(ISERROR(INDEX('Standard working hours - CAE'!$A$1:$I$105,MATCH($C70,'Standard working hours - CAE'!$A$1:$A$105,0),MATCH($E70,'Standard working hours - CAE'!$A$1:$I$1,0))*INDEX('Standard hourly rate'!$A$1:$E$14,MATCH("CAE",'Standard hourly rate'!$A$1:$A$14,0),MATCH($E70,'Standard hourly rate'!$A$1:$E$1,0))),"NA",INDEX('Standard working hours - CAE'!$A$1:$I$105,MATCH($C70,'Standard working hours - CAE'!$A$1:$A$105,0),MATCH($E70,'Standard working hours - CAE'!$A$1:$I$1,0))*INDEX('Standard hourly rate'!$A$1:$E$14,MATCH("CAE",'Standard hourly rate'!$A$1:$A$14,0),MATCH($E70,'Standard hourly rate'!$A$1:$E$1,0))))</f>
        <v>17784</v>
      </c>
      <c r="O70" s="45">
        <f>IF(OR(ISERROR($N70),$N70="",$N70="NA"),0,H70*$N70)*(1+INDEX('For Finance Control'!$B$27:$E$29,3,MATCH('Project information'!$A$4,'For Finance Control'!$B$27:$E$27,0)))</f>
        <v>0</v>
      </c>
      <c r="P70" s="45">
        <f>IF(OR(ISERROR($N70),$N70="",$N70="NA"),0,I70*$N70)*(1+INDEX('For Finance Control'!$B$27:$E$29,3,MATCH('Project information'!$A$4,'For Finance Control'!$B$27:$E$27,0)))</f>
        <v>0</v>
      </c>
      <c r="Q70" s="45">
        <f>IF(OR(ISERROR($N70),$N70="",$N70="NA"),0,J70*$N70)*(1+INDEX('For Finance Control'!$B$27:$E$29,3,MATCH('Project information'!$A$4,'For Finance Control'!$B$27:$E$27,0)))</f>
        <v>0</v>
      </c>
      <c r="R70" s="45">
        <f>IF(OR(ISERROR($N70),$N70="",$N70="NA"),0,K70*$N70)*(1+INDEX('For Finance Control'!$B$27:$E$29,3,MATCH('Project information'!$A$4,'For Finance Control'!$B$27:$E$27,0)))</f>
        <v>0</v>
      </c>
      <c r="S70" s="45">
        <f>IF(OR(ISERROR($N70),$N70="",$N70="NA"),0,L70*$N70)*(1+INDEX('For Finance Control'!$B$27:$E$29,3,MATCH('Project information'!$A$4,'For Finance Control'!$B$27:$E$27,0)))</f>
        <v>0</v>
      </c>
      <c r="T70" s="45">
        <f t="shared" si="101"/>
        <v>0</v>
      </c>
      <c r="U70" s="33" cm="1">
        <f t="array" ref="U70">IF($N70="NA","NA",$N70*INDEX('Exchange rate'!$A$1:$G$7,MATCH('Project information'!$A$13,'Exchange rate'!$A$1:$A$7,0),MATCH(LOOKUP(2,1/({"China";"Korea";"India";"Japan";"EUR";"NAO"}=$E70),{"CNY";"KRW";"INR";"JPY";"EUR";"USD"}),'Exchange rate'!$A$1:$G$1,0)))</f>
        <v>17784</v>
      </c>
      <c r="V70" s="33">
        <f t="shared" si="102"/>
        <v>0</v>
      </c>
      <c r="W70" s="33">
        <f t="shared" si="103"/>
        <v>0</v>
      </c>
      <c r="X70" s="33">
        <f t="shared" si="104"/>
        <v>0</v>
      </c>
      <c r="Y70" s="33">
        <f t="shared" si="105"/>
        <v>0</v>
      </c>
      <c r="Z70" s="33">
        <f t="shared" si="106"/>
        <v>0</v>
      </c>
      <c r="AA70" s="33">
        <f t="shared" si="107"/>
        <v>0</v>
      </c>
      <c r="AB70" s="246"/>
      <c r="AC70" s="247"/>
      <c r="AZ70" s="148" t="str">
        <f t="shared" si="60"/>
        <v>3.45</v>
      </c>
      <c r="BA70" s="149" t="s">
        <v>237</v>
      </c>
    </row>
    <row r="71" spans="1:53" outlineLevel="1">
      <c r="A71" s="148" t="str">
        <f t="shared" si="59"/>
        <v>3.46</v>
      </c>
      <c r="B71" s="148" t="str">
        <f>INDEX('Standard working hours - CAE'!$A$1:$I$105,MATCH($C71,'Standard working hours - CAE'!$A$1:$A$105,0),MATCH(B$24,'Standard working hours - CAE'!$A$1:$I$1,0))</f>
        <v>CVI</v>
      </c>
      <c r="C71" s="149" t="s">
        <v>238</v>
      </c>
      <c r="D71" s="153" t="str">
        <f>INDEX('Standard working hours - CAE'!$A$1:$I$105,MATCH($C71,'Standard working hours - CAE'!$A$1:$A$105,0),MATCH(D$24,'Standard working hours - CAE'!$A$1:$I$1,0))</f>
        <v>Switch back / U-shape - PSD simulation</v>
      </c>
      <c r="E71" s="51" t="str">
        <f>IF('Project information'!$A$4="","",'Project information'!$A$4)</f>
        <v>China</v>
      </c>
      <c r="F71" s="149" t="str">
        <f>INDEX('Standard working hours - CAE'!$A$1:$I$105,MATCH($C71,'Standard working hours - CAE'!$A$1:$A$105,0),MATCH(F$24,'Standard working hours - CAE'!$A$1:$I$1,0))</f>
        <v>Faurecia</v>
      </c>
      <c r="G71" s="149" t="str">
        <f>INDEX('Standard working hours - CAE'!$A$1:$I$105,MATCH($C71,'Standard working hours - CAE'!$A$1:$A$105,0),MATCH(G$24,'Standard working hours - CAE'!$A$1:$I$1,0))</f>
        <v>ESA-I-DSE-F033</v>
      </c>
      <c r="H71" s="46"/>
      <c r="I71" s="46"/>
      <c r="J71" s="46"/>
      <c r="K71" s="46"/>
      <c r="L71" s="46"/>
      <c r="M71" s="33">
        <f t="shared" ref="M71:M90" si="122">SUM(H71:L71)</f>
        <v>0</v>
      </c>
      <c r="N71" s="157">
        <f>IF(E71="","",IF(ISERROR(INDEX('Standard working hours - CAE'!$A$1:$I$105,MATCH($C71,'Standard working hours - CAE'!$A$1:$A$105,0),MATCH($E71,'Standard working hours - CAE'!$A$1:$I$1,0))*INDEX('Standard hourly rate'!$A$1:$E$14,MATCH("CAE",'Standard hourly rate'!$A$1:$A$14,0),MATCH($E71,'Standard hourly rate'!$A$1:$E$1,0))),"NA",INDEX('Standard working hours - CAE'!$A$1:$I$105,MATCH($C71,'Standard working hours - CAE'!$A$1:$A$105,0),MATCH($E71,'Standard working hours - CAE'!$A$1:$I$1,0))*INDEX('Standard hourly rate'!$A$1:$E$14,MATCH("CAE",'Standard hourly rate'!$A$1:$A$14,0),MATCH($E71,'Standard hourly rate'!$A$1:$E$1,0))))</f>
        <v>17784</v>
      </c>
      <c r="O71" s="45">
        <f>IF(OR(ISERROR($N71),$N71="",$N71="NA"),0,H71*$N71)*(1+INDEX('For Finance Control'!$B$27:$E$29,3,MATCH('Project information'!$A$4,'For Finance Control'!$B$27:$E$27,0)))</f>
        <v>0</v>
      </c>
      <c r="P71" s="45">
        <f>IF(OR(ISERROR($N71),$N71="",$N71="NA"),0,I71*$N71)*(1+INDEX('For Finance Control'!$B$27:$E$29,3,MATCH('Project information'!$A$4,'For Finance Control'!$B$27:$E$27,0)))</f>
        <v>0</v>
      </c>
      <c r="Q71" s="45">
        <f>IF(OR(ISERROR($N71),$N71="",$N71="NA"),0,J71*$N71)*(1+INDEX('For Finance Control'!$B$27:$E$29,3,MATCH('Project information'!$A$4,'For Finance Control'!$B$27:$E$27,0)))</f>
        <v>0</v>
      </c>
      <c r="R71" s="45">
        <f>IF(OR(ISERROR($N71),$N71="",$N71="NA"),0,K71*$N71)*(1+INDEX('For Finance Control'!$B$27:$E$29,3,MATCH('Project information'!$A$4,'For Finance Control'!$B$27:$E$27,0)))</f>
        <v>0</v>
      </c>
      <c r="S71" s="45">
        <f>IF(OR(ISERROR($N71),$N71="",$N71="NA"),0,L71*$N71)*(1+INDEX('For Finance Control'!$B$27:$E$29,3,MATCH('Project information'!$A$4,'For Finance Control'!$B$27:$E$27,0)))</f>
        <v>0</v>
      </c>
      <c r="T71" s="45">
        <f t="shared" si="101"/>
        <v>0</v>
      </c>
      <c r="U71" s="33" cm="1">
        <f t="array" ref="U71">IF($N71="NA","NA",$N71*INDEX('Exchange rate'!$A$1:$G$7,MATCH('Project information'!$A$13,'Exchange rate'!$A$1:$A$7,0),MATCH(LOOKUP(2,1/({"China";"Korea";"India";"Japan";"EUR";"NAO"}=$E71),{"CNY";"KRW";"INR";"JPY";"EUR";"USD"}),'Exchange rate'!$A$1:$G$1,0)))</f>
        <v>17784</v>
      </c>
      <c r="V71" s="33">
        <f t="shared" si="102"/>
        <v>0</v>
      </c>
      <c r="W71" s="33">
        <f t="shared" si="103"/>
        <v>0</v>
      </c>
      <c r="X71" s="33">
        <f t="shared" si="104"/>
        <v>0</v>
      </c>
      <c r="Y71" s="33">
        <f t="shared" si="105"/>
        <v>0</v>
      </c>
      <c r="Z71" s="33">
        <f t="shared" si="106"/>
        <v>0</v>
      </c>
      <c r="AA71" s="33">
        <f t="shared" si="107"/>
        <v>0</v>
      </c>
      <c r="AB71" s="246"/>
      <c r="AC71" s="247"/>
      <c r="AZ71" s="148" t="str">
        <f t="shared" si="60"/>
        <v>3.46</v>
      </c>
      <c r="BA71" s="149" t="s">
        <v>239</v>
      </c>
    </row>
    <row r="72" spans="1:53" outlineLevel="1">
      <c r="A72" s="148" t="str">
        <f t="shared" si="59"/>
        <v>3.47</v>
      </c>
      <c r="B72" s="148" t="str">
        <f>INDEX('Standard working hours - CAE'!$A$1:$I$105,MATCH($C72,'Standard working hours - CAE'!$A$1:$A$105,0),MATCH(B$24,'Standard working hours - CAE'!$A$1:$I$1,0))</f>
        <v>CVI</v>
      </c>
      <c r="C72" s="149" t="s">
        <v>240</v>
      </c>
      <c r="D72" s="153" t="str">
        <f>INDEX('Standard working hours - CAE'!$A$1:$I$105,MATCH($C72,'Standard working hours - CAE'!$A$1:$A$105,0),MATCH(D$24,'Standard working hours - CAE'!$A$1:$I$1,0))</f>
        <v>BOX - PSD simulation</v>
      </c>
      <c r="E72" s="51" t="str">
        <f>IF('Project information'!$A$4="","",'Project information'!$A$4)</f>
        <v>China</v>
      </c>
      <c r="F72" s="149" t="str">
        <f>INDEX('Standard working hours - CAE'!$A$1:$I$105,MATCH($C72,'Standard working hours - CAE'!$A$1:$A$105,0),MATCH(F$24,'Standard working hours - CAE'!$A$1:$I$1,0))</f>
        <v>Faurecia</v>
      </c>
      <c r="G72" s="149" t="str">
        <f>INDEX('Standard working hours - CAE'!$A$1:$I$105,MATCH($C72,'Standard working hours - CAE'!$A$1:$A$105,0),MATCH(G$24,'Standard working hours - CAE'!$A$1:$I$1,0))</f>
        <v>ESA-I-DSE-F034</v>
      </c>
      <c r="H72" s="46"/>
      <c r="I72" s="46"/>
      <c r="J72" s="46"/>
      <c r="K72" s="46"/>
      <c r="L72" s="46"/>
      <c r="M72" s="33">
        <f t="shared" ref="M72" si="123">SUM(H72:L72)</f>
        <v>0</v>
      </c>
      <c r="N72" s="157">
        <f>IF(E72="","",IF(ISERROR(INDEX('Standard working hours - CAE'!$A$1:$I$105,MATCH($C72,'Standard working hours - CAE'!$A$1:$A$105,0),MATCH($E72,'Standard working hours - CAE'!$A$1:$I$1,0))*INDEX('Standard hourly rate'!$A$1:$E$14,MATCH("CAE",'Standard hourly rate'!$A$1:$A$14,0),MATCH($E72,'Standard hourly rate'!$A$1:$E$1,0))),"NA",INDEX('Standard working hours - CAE'!$A$1:$I$105,MATCH($C72,'Standard working hours - CAE'!$A$1:$A$105,0),MATCH($E72,'Standard working hours - CAE'!$A$1:$I$1,0))*INDEX('Standard hourly rate'!$A$1:$E$14,MATCH("CAE",'Standard hourly rate'!$A$1:$A$14,0),MATCH($E72,'Standard hourly rate'!$A$1:$E$1,0))))</f>
        <v>27664</v>
      </c>
      <c r="O72" s="45">
        <f>IF(OR(ISERROR($N72),$N72="",$N72="NA"),0,H72*$N72)*(1+INDEX('For Finance Control'!$B$27:$E$29,3,MATCH('Project information'!$A$4,'For Finance Control'!$B$27:$E$27,0)))</f>
        <v>0</v>
      </c>
      <c r="P72" s="45">
        <f>IF(OR(ISERROR($N72),$N72="",$N72="NA"),0,I72*$N72)*(1+INDEX('For Finance Control'!$B$27:$E$29,3,MATCH('Project information'!$A$4,'For Finance Control'!$B$27:$E$27,0)))</f>
        <v>0</v>
      </c>
      <c r="Q72" s="45">
        <f>IF(OR(ISERROR($N72),$N72="",$N72="NA"),0,J72*$N72)*(1+INDEX('For Finance Control'!$B$27:$E$29,3,MATCH('Project information'!$A$4,'For Finance Control'!$B$27:$E$27,0)))</f>
        <v>0</v>
      </c>
      <c r="R72" s="45">
        <f>IF(OR(ISERROR($N72),$N72="",$N72="NA"),0,K72*$N72)*(1+INDEX('For Finance Control'!$B$27:$E$29,3,MATCH('Project information'!$A$4,'For Finance Control'!$B$27:$E$27,0)))</f>
        <v>0</v>
      </c>
      <c r="S72" s="45">
        <f>IF(OR(ISERROR($N72),$N72="",$N72="NA"),0,L72*$N72)*(1+INDEX('For Finance Control'!$B$27:$E$29,3,MATCH('Project information'!$A$4,'For Finance Control'!$B$27:$E$27,0)))</f>
        <v>0</v>
      </c>
      <c r="T72" s="45">
        <f t="shared" ref="T72" si="124">SUM(O72:S72)</f>
        <v>0</v>
      </c>
      <c r="U72" s="33" cm="1">
        <f t="array" ref="U72">IF($N72="NA","NA",$N72*INDEX('Exchange rate'!$A$1:$G$7,MATCH('Project information'!$A$13,'Exchange rate'!$A$1:$A$7,0),MATCH(LOOKUP(2,1/({"China";"Korea";"India";"Japan";"EUR";"NAO"}=$E72),{"CNY";"KRW";"INR";"JPY";"EUR";"USD"}),'Exchange rate'!$A$1:$G$1,0)))</f>
        <v>27664</v>
      </c>
      <c r="V72" s="33">
        <f t="shared" ref="V72" si="125">IF(OR(ISERROR($U72),$U72="",$U72="NA"),0,H72*$U72)</f>
        <v>0</v>
      </c>
      <c r="W72" s="33">
        <f t="shared" ref="W72" si="126">IF(OR(ISERROR($U72),$U72="",$U72="NA"),0,I72*$U72)</f>
        <v>0</v>
      </c>
      <c r="X72" s="33">
        <f t="shared" ref="X72" si="127">IF(OR(ISERROR($U72),$U72="",$U72="NA"),0,J72*$U72)</f>
        <v>0</v>
      </c>
      <c r="Y72" s="33">
        <f t="shared" ref="Y72" si="128">IF(OR(ISERROR($U72),$U72="",$U72="NA"),0,K72*$U72)</f>
        <v>0</v>
      </c>
      <c r="Z72" s="33">
        <f t="shared" ref="Z72" si="129">IF(OR(ISERROR($U72),$U72="",$U72="NA"),0,L72*$U72)</f>
        <v>0</v>
      </c>
      <c r="AA72" s="33">
        <f t="shared" ref="AA72" si="130">SUM(V72:Z72)</f>
        <v>0</v>
      </c>
      <c r="AB72" s="246"/>
      <c r="AC72" s="247"/>
      <c r="AZ72" s="148" t="str">
        <f t="shared" si="60"/>
        <v>3.47</v>
      </c>
      <c r="BA72" s="149" t="s">
        <v>241</v>
      </c>
    </row>
    <row r="73" spans="1:53" ht="25" outlineLevel="1">
      <c r="A73" s="148" t="str">
        <f t="shared" si="59"/>
        <v>3.48</v>
      </c>
      <c r="B73" s="148" t="str">
        <f>INDEX('Standard working hours - CAE'!$A$1:$I$105,MATCH($C73,'Standard working hours - CAE'!$A$1:$A$105,0),MATCH(B$24,'Standard working hours - CAE'!$A$1:$I$1,0))</f>
        <v>LE</v>
      </c>
      <c r="C73" s="149" t="s">
        <v>242</v>
      </c>
      <c r="D73" s="153" t="str">
        <f>INDEX('Standard working hours - CAE'!$A$1:$I$105,MATCH($C73,'Standard working hours - CAE'!$A$1:$A$105,0),MATCH(D$24,'Standard working hours - CAE'!$A$1:$I$1,0))</f>
        <v>TMF Correlation for engineless - customer engine bench method</v>
      </c>
      <c r="E73" s="51" t="str">
        <f>IF('Project information'!$A$4="","",'Project information'!$A$4)</f>
        <v>China</v>
      </c>
      <c r="F73" s="149" t="str">
        <f>INDEX('Standard working hours - CAE'!$A$1:$I$105,MATCH($C73,'Standard working hours - CAE'!$A$1:$A$105,0),MATCH(F$24,'Standard working hours - CAE'!$A$1:$I$1,0))</f>
        <v>Faurecia</v>
      </c>
      <c r="G73" s="149" t="str">
        <f>INDEX('Standard working hours - CAE'!$A$1:$I$105,MATCH($C73,'Standard working hours - CAE'!$A$1:$A$105,0),MATCH(G$24,'Standard working hours - CAE'!$A$1:$I$1,0))</f>
        <v>CHD-P-DSE-U189</v>
      </c>
      <c r="H73" s="46"/>
      <c r="I73" s="46"/>
      <c r="J73" s="46"/>
      <c r="K73" s="46"/>
      <c r="L73" s="46"/>
      <c r="M73" s="33">
        <f t="shared" ref="M73:M74" si="131">SUM(H73:L73)</f>
        <v>0</v>
      </c>
      <c r="N73" s="157">
        <f>IF(E73="","",IF(ISERROR(INDEX('Standard working hours - CAE'!$A$1:$I$105,MATCH($C73,'Standard working hours - CAE'!$A$1:$A$105,0),MATCH($E73,'Standard working hours - CAE'!$A$1:$I$1,0))*INDEX('Standard hourly rate'!$A$1:$E$14,MATCH("CAE",'Standard hourly rate'!$A$1:$A$14,0),MATCH($E73,'Standard hourly rate'!$A$1:$E$1,0))),"NA",INDEX('Standard working hours - CAE'!$A$1:$I$105,MATCH($C73,'Standard working hours - CAE'!$A$1:$A$105,0),MATCH($E73,'Standard working hours - CAE'!$A$1:$I$1,0))*INDEX('Standard hourly rate'!$A$1:$E$14,MATCH("CAE",'Standard hourly rate'!$A$1:$A$14,0),MATCH($E73,'Standard hourly rate'!$A$1:$E$1,0))))</f>
        <v>102752</v>
      </c>
      <c r="O73" s="45">
        <f>IF(OR(ISERROR($N73),$N73="",$N73="NA"),0,H73*$N73)*(1+INDEX('For Finance Control'!$B$27:$E$29,3,MATCH('Project information'!$A$4,'For Finance Control'!$B$27:$E$27,0)))</f>
        <v>0</v>
      </c>
      <c r="P73" s="45">
        <f>IF(OR(ISERROR($N73),$N73="",$N73="NA"),0,I73*$N73)*(1+INDEX('For Finance Control'!$B$27:$E$29,3,MATCH('Project information'!$A$4,'For Finance Control'!$B$27:$E$27,0)))</f>
        <v>0</v>
      </c>
      <c r="Q73" s="45">
        <f>IF(OR(ISERROR($N73),$N73="",$N73="NA"),0,J73*$N73)*(1+INDEX('For Finance Control'!$B$27:$E$29,3,MATCH('Project information'!$A$4,'For Finance Control'!$B$27:$E$27,0)))</f>
        <v>0</v>
      </c>
      <c r="R73" s="45">
        <f>IF(OR(ISERROR($N73),$N73="",$N73="NA"),0,K73*$N73)*(1+INDEX('For Finance Control'!$B$27:$E$29,3,MATCH('Project information'!$A$4,'For Finance Control'!$B$27:$E$27,0)))</f>
        <v>0</v>
      </c>
      <c r="S73" s="45">
        <f>IF(OR(ISERROR($N73),$N73="",$N73="NA"),0,L73*$N73)*(1+INDEX('For Finance Control'!$B$27:$E$29,3,MATCH('Project information'!$A$4,'For Finance Control'!$B$27:$E$27,0)))</f>
        <v>0</v>
      </c>
      <c r="T73" s="45">
        <f t="shared" ref="T73:T74" si="132">SUM(O73:S73)</f>
        <v>0</v>
      </c>
      <c r="U73" s="33" cm="1">
        <f t="array" ref="U73">IF($N73="NA","NA",$N73*INDEX('Exchange rate'!$A$1:$G$7,MATCH('Project information'!$A$13,'Exchange rate'!$A$1:$A$7,0),MATCH(LOOKUP(2,1/({"China";"Korea";"India";"Japan";"EUR";"NAO"}=$E73),{"CNY";"KRW";"INR";"JPY";"EUR";"USD"}),'Exchange rate'!$A$1:$G$1,0)))</f>
        <v>102752</v>
      </c>
      <c r="V73" s="33">
        <f t="shared" ref="V73:V74" si="133">IF(OR(ISERROR($U73),$U73="",$U73="NA"),0,H73*$U73)</f>
        <v>0</v>
      </c>
      <c r="W73" s="33">
        <f t="shared" ref="W73:W74" si="134">IF(OR(ISERROR($U73),$U73="",$U73="NA"),0,I73*$U73)</f>
        <v>0</v>
      </c>
      <c r="X73" s="33">
        <f t="shared" ref="X73:X74" si="135">IF(OR(ISERROR($U73),$U73="",$U73="NA"),0,J73*$U73)</f>
        <v>0</v>
      </c>
      <c r="Y73" s="33">
        <f t="shared" ref="Y73:Y74" si="136">IF(OR(ISERROR($U73),$U73="",$U73="NA"),0,K73*$U73)</f>
        <v>0</v>
      </c>
      <c r="Z73" s="33">
        <f t="shared" ref="Z73:Z74" si="137">IF(OR(ISERROR($U73),$U73="",$U73="NA"),0,L73*$U73)</f>
        <v>0</v>
      </c>
      <c r="AA73" s="33">
        <f t="shared" ref="AA73:AA74" si="138">SUM(V73:Z73)</f>
        <v>0</v>
      </c>
      <c r="AB73" s="164"/>
      <c r="AC73" s="165"/>
      <c r="AZ73" s="148"/>
      <c r="BA73" s="149"/>
    </row>
    <row r="74" spans="1:53" ht="25" outlineLevel="1">
      <c r="A74" s="148" t="str">
        <f t="shared" si="59"/>
        <v>3.49</v>
      </c>
      <c r="B74" s="148" t="str">
        <f>INDEX('Standard working hours - CAE'!$A$1:$I$105,MATCH($C74,'Standard working hours - CAE'!$A$1:$A$105,0),MATCH(B$24,'Standard working hours - CAE'!$A$1:$I$1,0))</f>
        <v>LE</v>
      </c>
      <c r="C74" s="149" t="s">
        <v>243</v>
      </c>
      <c r="D74" s="153" t="str">
        <f>INDEX('Standard working hours - CAE'!$A$1:$I$105,MATCH($C74,'Standard working hours - CAE'!$A$1:$A$105,0),MATCH(D$24,'Standard working hours - CAE'!$A$1:$I$1,0))</f>
        <v>Cold end - Static analysis and fatigue limit prediction(1 location)</v>
      </c>
      <c r="E74" s="51" t="str">
        <f>IF('Project information'!$A$4="","",'Project information'!$A$4)</f>
        <v>China</v>
      </c>
      <c r="F74" s="149" t="str">
        <f>INDEX('Standard working hours - CAE'!$A$1:$I$105,MATCH($C74,'Standard working hours - CAE'!$A$1:$A$105,0),MATCH(F$24,'Standard working hours - CAE'!$A$1:$I$1,0))</f>
        <v>Faurecia</v>
      </c>
      <c r="G74" s="149" t="str">
        <f>INDEX('Standard working hours - CAE'!$A$1:$I$105,MATCH($C74,'Standard working hours - CAE'!$A$1:$A$105,0),MATCH(G$24,'Standard working hours - CAE'!$A$1:$I$1,0))</f>
        <v>CHD-I-DSS-2806
CHD-I-DSE-F040</v>
      </c>
      <c r="H74" s="46"/>
      <c r="I74" s="46"/>
      <c r="J74" s="46"/>
      <c r="K74" s="46"/>
      <c r="L74" s="46"/>
      <c r="M74" s="33">
        <f t="shared" si="131"/>
        <v>0</v>
      </c>
      <c r="N74" s="157">
        <f>IF(E74="","",IF(ISERROR(INDEX('Standard working hours - CAE'!$A$1:$I$105,MATCH($C74,'Standard working hours - CAE'!$A$1:$A$105,0),MATCH($E74,'Standard working hours - CAE'!$A$1:$I$1,0))*INDEX('Standard hourly rate'!$A$1:$E$14,MATCH("CAE",'Standard hourly rate'!$A$1:$A$14,0),MATCH($E74,'Standard hourly rate'!$A$1:$E$1,0))),"NA",INDEX('Standard working hours - CAE'!$A$1:$I$105,MATCH($C74,'Standard working hours - CAE'!$A$1:$A$105,0),MATCH($E74,'Standard working hours - CAE'!$A$1:$I$1,0))*INDEX('Standard hourly rate'!$A$1:$E$14,MATCH("CAE",'Standard hourly rate'!$A$1:$A$14,0),MATCH($E74,'Standard hourly rate'!$A$1:$E$1,0))))</f>
        <v>5928</v>
      </c>
      <c r="O74" s="45">
        <f>IF(OR(ISERROR($N74),$N74="",$N74="NA"),0,H74*$N74)*(1+INDEX('For Finance Control'!$B$27:$E$29,3,MATCH('Project information'!$A$4,'For Finance Control'!$B$27:$E$27,0)))</f>
        <v>0</v>
      </c>
      <c r="P74" s="45">
        <f>IF(OR(ISERROR($N74),$N74="",$N74="NA"),0,I74*$N74)*(1+INDEX('For Finance Control'!$B$27:$E$29,3,MATCH('Project information'!$A$4,'For Finance Control'!$B$27:$E$27,0)))</f>
        <v>0</v>
      </c>
      <c r="Q74" s="45">
        <f>IF(OR(ISERROR($N74),$N74="",$N74="NA"),0,J74*$N74)*(1+INDEX('For Finance Control'!$B$27:$E$29,3,MATCH('Project information'!$A$4,'For Finance Control'!$B$27:$E$27,0)))</f>
        <v>0</v>
      </c>
      <c r="R74" s="45">
        <f>IF(OR(ISERROR($N74),$N74="",$N74="NA"),0,K74*$N74)*(1+INDEX('For Finance Control'!$B$27:$E$29,3,MATCH('Project information'!$A$4,'For Finance Control'!$B$27:$E$27,0)))</f>
        <v>0</v>
      </c>
      <c r="S74" s="45">
        <f>IF(OR(ISERROR($N74),$N74="",$N74="NA"),0,L74*$N74)*(1+INDEX('For Finance Control'!$B$27:$E$29,3,MATCH('Project information'!$A$4,'For Finance Control'!$B$27:$E$27,0)))</f>
        <v>0</v>
      </c>
      <c r="T74" s="45">
        <f t="shared" si="132"/>
        <v>0</v>
      </c>
      <c r="U74" s="33" cm="1">
        <f t="array" ref="U74">IF($N74="NA","NA",$N74*INDEX('Exchange rate'!$A$1:$G$7,MATCH('Project information'!$A$13,'Exchange rate'!$A$1:$A$7,0),MATCH(LOOKUP(2,1/({"China";"Korea";"India";"Japan";"EUR";"NAO"}=$E74),{"CNY";"KRW";"INR";"JPY";"EUR";"USD"}),'Exchange rate'!$A$1:$G$1,0)))</f>
        <v>5928</v>
      </c>
      <c r="V74" s="33">
        <f t="shared" si="133"/>
        <v>0</v>
      </c>
      <c r="W74" s="33">
        <f t="shared" si="134"/>
        <v>0</v>
      </c>
      <c r="X74" s="33">
        <f t="shared" si="135"/>
        <v>0</v>
      </c>
      <c r="Y74" s="33">
        <f t="shared" si="136"/>
        <v>0</v>
      </c>
      <c r="Z74" s="33">
        <f t="shared" si="137"/>
        <v>0</v>
      </c>
      <c r="AA74" s="33">
        <f t="shared" si="138"/>
        <v>0</v>
      </c>
      <c r="AB74" s="164"/>
      <c r="AC74" s="165"/>
      <c r="AZ74" s="148"/>
      <c r="BA74" s="149"/>
    </row>
    <row r="75" spans="1:53" ht="100" outlineLevel="1">
      <c r="A75" s="148" t="str">
        <f t="shared" si="59"/>
        <v>3.50</v>
      </c>
      <c r="B75" s="148" t="str">
        <f>INDEX('Standard working hours - CAE'!$A$1:$I$105,MATCH($C75,'Standard working hours - CAE'!$A$1:$A$105,0),MATCH(B$24,'Standard working hours - CAE'!$A$1:$I$1,0))</f>
        <v>LE</v>
      </c>
      <c r="C75" s="149" t="s">
        <v>244</v>
      </c>
      <c r="D75" s="153" t="str">
        <f>INDEX('Standard working hours - CAE'!$A$1:$I$105,MATCH($C75,'Standard working hours - CAE'!$A$1:$A$105,0),MATCH(D$24,'Standard working hours - CAE'!$A$1:$I$1,0))</f>
        <v>Turbo HE /CC-GPF -  Heat transfer / Modal analysis / Thermal mechanical analysis - Major loop</v>
      </c>
      <c r="E75" s="51" t="str">
        <f>IF('Project information'!$A$4="","",'Project information'!$A$4)</f>
        <v>China</v>
      </c>
      <c r="F75" s="149" t="str">
        <f>INDEX('Standard working hours - CAE'!$A$1:$I$105,MATCH($C75,'Standard working hours - CAE'!$A$1:$A$105,0),MATCH(F$24,'Standard working hours - CAE'!$A$1:$I$1,0))</f>
        <v>Faurecia</v>
      </c>
      <c r="G75" s="149" t="str">
        <f>INDEX('Standard working hours - CAE'!$A$1:$I$105,MATCH($C75,'Standard working hours - CAE'!$A$1:$A$105,0),MATCH(G$24,'Standard working hours - CAE'!$A$1:$I$1,0))</f>
        <v>FSE-I-DSE-P012
FSE-S-DSE-L023
FSE-S-DSE-L024
FSE-S-DSE-L025
FSE-S-DSE-L026
FSE-S-DSE-G049
FSE-S-DSE-G050
FSE-I-DSE-L001</v>
      </c>
      <c r="H75" s="46"/>
      <c r="I75" s="46"/>
      <c r="J75" s="46"/>
      <c r="K75" s="46"/>
      <c r="L75" s="46"/>
      <c r="M75" s="33">
        <f t="shared" ref="M75" si="139">SUM(H75:L75)</f>
        <v>0</v>
      </c>
      <c r="N75" s="157">
        <f>IF(E75="","",IF(ISERROR(INDEX('Standard working hours - CAE'!$A$1:$I$105,MATCH($C75,'Standard working hours - CAE'!$A$1:$A$105,0),MATCH($E75,'Standard working hours - CAE'!$A$1:$I$1,0))*INDEX('Standard hourly rate'!$A$1:$E$14,MATCH("CAE",'Standard hourly rate'!$A$1:$A$14,0),MATCH($E75,'Standard hourly rate'!$A$1:$E$1,0))),"NA",INDEX('Standard working hours - CAE'!$A$1:$I$105,MATCH($C75,'Standard working hours - CAE'!$A$1:$A$105,0),MATCH($E75,'Standard working hours - CAE'!$A$1:$I$1,0))*INDEX('Standard hourly rate'!$A$1:$E$14,MATCH("CAE",'Standard hourly rate'!$A$1:$A$14,0),MATCH($E75,'Standard hourly rate'!$A$1:$E$1,0))))</f>
        <v>29640</v>
      </c>
      <c r="O75" s="45">
        <f>IF(OR(ISERROR($N75),$N75="",$N75="NA"),0,H75*$N75)*(1+INDEX('For Finance Control'!$B$27:$E$29,3,MATCH('Project information'!$A$4,'For Finance Control'!$B$27:$E$27,0)))</f>
        <v>0</v>
      </c>
      <c r="P75" s="45">
        <f>IF(OR(ISERROR($N75),$N75="",$N75="NA"),0,I75*$N75)*(1+INDEX('For Finance Control'!$B$27:$E$29,3,MATCH('Project information'!$A$4,'For Finance Control'!$B$27:$E$27,0)))</f>
        <v>0</v>
      </c>
      <c r="Q75" s="45">
        <f>IF(OR(ISERROR($N75),$N75="",$N75="NA"),0,J75*$N75)*(1+INDEX('For Finance Control'!$B$27:$E$29,3,MATCH('Project information'!$A$4,'For Finance Control'!$B$27:$E$27,0)))</f>
        <v>0</v>
      </c>
      <c r="R75" s="45">
        <f>IF(OR(ISERROR($N75),$N75="",$N75="NA"),0,K75*$N75)*(1+INDEX('For Finance Control'!$B$27:$E$29,3,MATCH('Project information'!$A$4,'For Finance Control'!$B$27:$E$27,0)))</f>
        <v>0</v>
      </c>
      <c r="S75" s="45">
        <f>IF(OR(ISERROR($N75),$N75="",$N75="NA"),0,L75*$N75)*(1+INDEX('For Finance Control'!$B$27:$E$29,3,MATCH('Project information'!$A$4,'For Finance Control'!$B$27:$E$27,0)))</f>
        <v>0</v>
      </c>
      <c r="T75" s="45">
        <f t="shared" ref="T75" si="140">SUM(O75:S75)</f>
        <v>0</v>
      </c>
      <c r="U75" s="33" cm="1">
        <f t="array" ref="U75">IF($N75="NA","NA",$N75*INDEX('Exchange rate'!$A$1:$G$7,MATCH('Project information'!$A$13,'Exchange rate'!$A$1:$A$7,0),MATCH(LOOKUP(2,1/({"China";"Korea";"India";"Japan";"EUR";"NAO"}=$E75),{"CNY";"KRW";"INR";"JPY";"EUR";"USD"}),'Exchange rate'!$A$1:$G$1,0)))</f>
        <v>29640</v>
      </c>
      <c r="V75" s="33">
        <f t="shared" ref="V75" si="141">IF(OR(ISERROR($U75),$U75="",$U75="NA"),0,H75*$U75)</f>
        <v>0</v>
      </c>
      <c r="W75" s="33">
        <f t="shared" ref="W75" si="142">IF(OR(ISERROR($U75),$U75="",$U75="NA"),0,I75*$U75)</f>
        <v>0</v>
      </c>
      <c r="X75" s="33">
        <f t="shared" ref="X75" si="143">IF(OR(ISERROR($U75),$U75="",$U75="NA"),0,J75*$U75)</f>
        <v>0</v>
      </c>
      <c r="Y75" s="33">
        <f t="shared" ref="Y75" si="144">IF(OR(ISERROR($U75),$U75="",$U75="NA"),0,K75*$U75)</f>
        <v>0</v>
      </c>
      <c r="Z75" s="33">
        <f t="shared" ref="Z75" si="145">IF(OR(ISERROR($U75),$U75="",$U75="NA"),0,L75*$U75)</f>
        <v>0</v>
      </c>
      <c r="AA75" s="33">
        <f t="shared" ref="AA75" si="146">SUM(V75:Z75)</f>
        <v>0</v>
      </c>
      <c r="AB75" s="164"/>
      <c r="AC75" s="165"/>
      <c r="AZ75" s="148"/>
      <c r="BA75" s="149"/>
    </row>
    <row r="76" spans="1:53" outlineLevel="1">
      <c r="A76" s="148" t="str">
        <f t="shared" si="59"/>
        <v>3.51</v>
      </c>
      <c r="B76" s="148" t="str">
        <f>INDEX('Standard working hours - CAE'!$A$1:$I$105,MATCH($C76,'Standard working hours - CAE'!$A$1:$A$105,0),MATCH(B$24,'Standard working hours - CAE'!$A$1:$I$1,0))</f>
        <v>LE</v>
      </c>
      <c r="C76" s="149" t="s">
        <v>245</v>
      </c>
      <c r="D76" s="153" t="str">
        <f>INDEX('Standard working hours - CAE'!$A$1:$I$105,MATCH($C76,'Standard working hours - CAE'!$A$1:$A$105,0),MATCH(D$24,'Standard working hours - CAE'!$A$1:$I$1,0))</f>
        <v>Digital Factory - Manifold</v>
      </c>
      <c r="E76" s="51" t="str">
        <f>IF('Project information'!$A$4="","",'Project information'!$A$4)</f>
        <v>China</v>
      </c>
      <c r="F76" s="149" t="str">
        <f>INDEX('Standard working hours - CAE'!$A$1:$I$105,MATCH($C76,'Standard working hours - CAE'!$A$1:$A$105,0),MATCH(F$24,'Standard working hours - CAE'!$A$1:$I$1,0))</f>
        <v>Faurecia</v>
      </c>
      <c r="G76" s="149">
        <f>INDEX('Standard working hours - CAE'!$A$1:$I$105,MATCH($C76,'Standard working hours - CAE'!$A$1:$A$105,0),MATCH(G$24,'Standard working hours - CAE'!$A$1:$I$1,0))</f>
        <v>0</v>
      </c>
      <c r="H76" s="46"/>
      <c r="I76" s="46"/>
      <c r="J76" s="46"/>
      <c r="K76" s="46"/>
      <c r="L76" s="46"/>
      <c r="M76" s="33">
        <f t="shared" si="122"/>
        <v>0</v>
      </c>
      <c r="N76" s="157">
        <f>IF(E76="","",IF(ISERROR(INDEX('Standard working hours - CAE'!$A$1:$I$105,MATCH($C76,'Standard working hours - CAE'!$A$1:$A$105,0),MATCH($E76,'Standard working hours - CAE'!$A$1:$I$1,0))*INDEX('Standard hourly rate'!$A$1:$E$14,MATCH("CAE",'Standard hourly rate'!$A$1:$A$14,0),MATCH($E76,'Standard hourly rate'!$A$1:$E$1,0))),"NA",INDEX('Standard working hours - CAE'!$A$1:$I$105,MATCH($C76,'Standard working hours - CAE'!$A$1:$A$105,0),MATCH($E76,'Standard working hours - CAE'!$A$1:$I$1,0))*INDEX('Standard hourly rate'!$A$1:$E$14,MATCH("CAE",'Standard hourly rate'!$A$1:$A$14,0),MATCH($E76,'Standard hourly rate'!$A$1:$E$1,0))))</f>
        <v>15808</v>
      </c>
      <c r="O76" s="45">
        <f>IF(OR(ISERROR($N76),$N76="",$N76="NA"),0,H76*$N76)*(1+INDEX('For Finance Control'!$B$27:$E$29,3,MATCH('Project information'!$A$4,'For Finance Control'!$B$27:$E$27,0)))</f>
        <v>0</v>
      </c>
      <c r="P76" s="45">
        <f>IF(OR(ISERROR($N76),$N76="",$N76="NA"),0,I76*$N76)*(1+INDEX('For Finance Control'!$B$27:$E$29,3,MATCH('Project information'!$A$4,'For Finance Control'!$B$27:$E$27,0)))</f>
        <v>0</v>
      </c>
      <c r="Q76" s="45">
        <f>IF(OR(ISERROR($N76),$N76="",$N76="NA"),0,J76*$N76)*(1+INDEX('For Finance Control'!$B$27:$E$29,3,MATCH('Project information'!$A$4,'For Finance Control'!$B$27:$E$27,0)))</f>
        <v>0</v>
      </c>
      <c r="R76" s="45">
        <f>IF(OR(ISERROR($N76),$N76="",$N76="NA"),0,K76*$N76)*(1+INDEX('For Finance Control'!$B$27:$E$29,3,MATCH('Project information'!$A$4,'For Finance Control'!$B$27:$E$27,0)))</f>
        <v>0</v>
      </c>
      <c r="S76" s="45">
        <f>IF(OR(ISERROR($N76),$N76="",$N76="NA"),0,L76*$N76)*(1+INDEX('For Finance Control'!$B$27:$E$29,3,MATCH('Project information'!$A$4,'For Finance Control'!$B$27:$E$27,0)))</f>
        <v>0</v>
      </c>
      <c r="T76" s="45">
        <f t="shared" si="101"/>
        <v>0</v>
      </c>
      <c r="U76" s="33" cm="1">
        <f t="array" ref="U76">IF($N76="NA","NA",$N76*INDEX('Exchange rate'!$A$1:$G$7,MATCH('Project information'!$A$13,'Exchange rate'!$A$1:$A$7,0),MATCH(LOOKUP(2,1/({"China";"Korea";"India";"Japan";"EUR";"NAO"}=$E76),{"CNY";"KRW";"INR";"JPY";"EUR";"USD"}),'Exchange rate'!$A$1:$G$1,0)))</f>
        <v>15808</v>
      </c>
      <c r="V76" s="33">
        <f t="shared" si="102"/>
        <v>0</v>
      </c>
      <c r="W76" s="33">
        <f t="shared" si="103"/>
        <v>0</v>
      </c>
      <c r="X76" s="33">
        <f t="shared" si="104"/>
        <v>0</v>
      </c>
      <c r="Y76" s="33">
        <f t="shared" si="105"/>
        <v>0</v>
      </c>
      <c r="Z76" s="33">
        <f t="shared" si="106"/>
        <v>0</v>
      </c>
      <c r="AA76" s="33">
        <f t="shared" si="107"/>
        <v>0</v>
      </c>
      <c r="AB76" s="246"/>
      <c r="AC76" s="247"/>
      <c r="AZ76" s="148" t="str">
        <f t="shared" si="60"/>
        <v>3.51</v>
      </c>
      <c r="BA76" s="149">
        <v>0</v>
      </c>
    </row>
    <row r="77" spans="1:53" outlineLevel="1">
      <c r="A77" s="148" t="str">
        <f t="shared" si="59"/>
        <v>3.52</v>
      </c>
      <c r="B77" s="148" t="str">
        <f>INDEX('Standard working hours - CAE'!$A$1:$I$105,MATCH($C77,'Standard working hours - CAE'!$A$1:$A$105,0),MATCH(B$24,'Standard working hours - CAE'!$A$1:$I$1,0))</f>
        <v>LE</v>
      </c>
      <c r="C77" s="149" t="s">
        <v>246</v>
      </c>
      <c r="D77" s="153" t="str">
        <f>INDEX('Standard working hours - CAE'!$A$1:$I$105,MATCH($C77,'Standard working hours - CAE'!$A$1:$A$105,0),MATCH(D$24,'Standard working hours - CAE'!$A$1:$I$1,0))</f>
        <v>Digital Factory - Maniverter</v>
      </c>
      <c r="E77" s="51" t="str">
        <f>IF('Project information'!$A$4="","",'Project information'!$A$4)</f>
        <v>China</v>
      </c>
      <c r="F77" s="149" t="str">
        <f>INDEX('Standard working hours - CAE'!$A$1:$I$105,MATCH($C77,'Standard working hours - CAE'!$A$1:$A$105,0),MATCH(F$24,'Standard working hours - CAE'!$A$1:$I$1,0))</f>
        <v>Faurecia</v>
      </c>
      <c r="G77" s="149">
        <f>INDEX('Standard working hours - CAE'!$A$1:$I$105,MATCH($C77,'Standard working hours - CAE'!$A$1:$A$105,0),MATCH(G$24,'Standard working hours - CAE'!$A$1:$I$1,0))</f>
        <v>0</v>
      </c>
      <c r="H77" s="46"/>
      <c r="I77" s="46"/>
      <c r="J77" s="46"/>
      <c r="K77" s="46"/>
      <c r="L77" s="46"/>
      <c r="M77" s="33">
        <f t="shared" si="122"/>
        <v>0</v>
      </c>
      <c r="N77" s="157">
        <f>IF(E77="","",IF(ISERROR(INDEX('Standard working hours - CAE'!$A$1:$I$105,MATCH($C77,'Standard working hours - CAE'!$A$1:$A$105,0),MATCH($E77,'Standard working hours - CAE'!$A$1:$I$1,0))*INDEX('Standard hourly rate'!$A$1:$E$14,MATCH("CAE",'Standard hourly rate'!$A$1:$A$14,0),MATCH($E77,'Standard hourly rate'!$A$1:$E$1,0))),"NA",INDEX('Standard working hours - CAE'!$A$1:$I$105,MATCH($C77,'Standard working hours - CAE'!$A$1:$A$105,0),MATCH($E77,'Standard working hours - CAE'!$A$1:$I$1,0))*INDEX('Standard hourly rate'!$A$1:$E$14,MATCH("CAE",'Standard hourly rate'!$A$1:$A$14,0),MATCH($E77,'Standard hourly rate'!$A$1:$E$1,0))))</f>
        <v>19760</v>
      </c>
      <c r="O77" s="45">
        <f>IF(OR(ISERROR($N77),$N77="",$N77="NA"),0,H77*$N77)*(1+INDEX('For Finance Control'!$B$27:$E$29,3,MATCH('Project information'!$A$4,'For Finance Control'!$B$27:$E$27,0)))</f>
        <v>0</v>
      </c>
      <c r="P77" s="45">
        <f>IF(OR(ISERROR($N77),$N77="",$N77="NA"),0,I77*$N77)*(1+INDEX('For Finance Control'!$B$27:$E$29,3,MATCH('Project information'!$A$4,'For Finance Control'!$B$27:$E$27,0)))</f>
        <v>0</v>
      </c>
      <c r="Q77" s="45">
        <f>IF(OR(ISERROR($N77),$N77="",$N77="NA"),0,J77*$N77)*(1+INDEX('For Finance Control'!$B$27:$E$29,3,MATCH('Project information'!$A$4,'For Finance Control'!$B$27:$E$27,0)))</f>
        <v>0</v>
      </c>
      <c r="R77" s="45">
        <f>IF(OR(ISERROR($N77),$N77="",$N77="NA"),0,K77*$N77)*(1+INDEX('For Finance Control'!$B$27:$E$29,3,MATCH('Project information'!$A$4,'For Finance Control'!$B$27:$E$27,0)))</f>
        <v>0</v>
      </c>
      <c r="S77" s="45">
        <f>IF(OR(ISERROR($N77),$N77="",$N77="NA"),0,L77*$N77)*(1+INDEX('For Finance Control'!$B$27:$E$29,3,MATCH('Project information'!$A$4,'For Finance Control'!$B$27:$E$27,0)))</f>
        <v>0</v>
      </c>
      <c r="T77" s="45">
        <f t="shared" si="101"/>
        <v>0</v>
      </c>
      <c r="U77" s="33" cm="1">
        <f t="array" ref="U77">IF($N77="NA","NA",$N77*INDEX('Exchange rate'!$A$1:$G$7,MATCH('Project information'!$A$13,'Exchange rate'!$A$1:$A$7,0),MATCH(LOOKUP(2,1/({"China";"Korea";"India";"Japan";"EUR";"NAO"}=$E77),{"CNY";"KRW";"INR";"JPY";"EUR";"USD"}),'Exchange rate'!$A$1:$G$1,0)))</f>
        <v>19760</v>
      </c>
      <c r="V77" s="33">
        <f t="shared" si="102"/>
        <v>0</v>
      </c>
      <c r="W77" s="33">
        <f t="shared" si="103"/>
        <v>0</v>
      </c>
      <c r="X77" s="33">
        <f t="shared" si="104"/>
        <v>0</v>
      </c>
      <c r="Y77" s="33">
        <f t="shared" si="105"/>
        <v>0</v>
      </c>
      <c r="Z77" s="33">
        <f t="shared" si="106"/>
        <v>0</v>
      </c>
      <c r="AA77" s="33">
        <f t="shared" si="107"/>
        <v>0</v>
      </c>
      <c r="AB77" s="246"/>
      <c r="AC77" s="247"/>
      <c r="AZ77" s="148" t="str">
        <f t="shared" si="60"/>
        <v>3.52</v>
      </c>
      <c r="BA77" s="149">
        <v>0</v>
      </c>
    </row>
    <row r="78" spans="1:53" outlineLevel="1">
      <c r="A78" s="148" t="str">
        <f t="shared" si="59"/>
        <v>3.53</v>
      </c>
      <c r="B78" s="148" t="str">
        <f>INDEX('Standard working hours - CAE'!$A$1:$I$105,MATCH($C78,'Standard working hours - CAE'!$A$1:$A$105,0),MATCH(B$24,'Standard working hours - CAE'!$A$1:$I$1,0))</f>
        <v>LE</v>
      </c>
      <c r="C78" s="149" t="s">
        <v>247</v>
      </c>
      <c r="D78" s="153" t="str">
        <f>INDEX('Standard working hours - CAE'!$A$1:$I$105,MATCH($C78,'Standard working hours - CAE'!$A$1:$A$105,0),MATCH(D$24,'Standard working hours - CAE'!$A$1:$I$1,0))</f>
        <v>Digital Factory - Turbo HE</v>
      </c>
      <c r="E78" s="51" t="str">
        <f>IF('Project information'!$A$4="","",'Project information'!$A$4)</f>
        <v>China</v>
      </c>
      <c r="F78" s="149" t="str">
        <f>INDEX('Standard working hours - CAE'!$A$1:$I$105,MATCH($C78,'Standard working hours - CAE'!$A$1:$A$105,0),MATCH(F$24,'Standard working hours - CAE'!$A$1:$I$1,0))</f>
        <v>Faurecia</v>
      </c>
      <c r="G78" s="149">
        <f>INDEX('Standard working hours - CAE'!$A$1:$I$105,MATCH($C78,'Standard working hours - CAE'!$A$1:$A$105,0),MATCH(G$24,'Standard working hours - CAE'!$A$1:$I$1,0))</f>
        <v>0</v>
      </c>
      <c r="H78" s="46"/>
      <c r="I78" s="46"/>
      <c r="J78" s="46"/>
      <c r="K78" s="46"/>
      <c r="L78" s="46"/>
      <c r="M78" s="33">
        <f t="shared" si="122"/>
        <v>0</v>
      </c>
      <c r="N78" s="157">
        <f>IF(E78="","",IF(ISERROR(INDEX('Standard working hours - CAE'!$A$1:$I$105,MATCH($C78,'Standard working hours - CAE'!$A$1:$A$105,0),MATCH($E78,'Standard working hours - CAE'!$A$1:$I$1,0))*INDEX('Standard hourly rate'!$A$1:$E$14,MATCH("CAE",'Standard hourly rate'!$A$1:$A$14,0),MATCH($E78,'Standard hourly rate'!$A$1:$E$1,0))),"NA",INDEX('Standard working hours - CAE'!$A$1:$I$105,MATCH($C78,'Standard working hours - CAE'!$A$1:$A$105,0),MATCH($E78,'Standard working hours - CAE'!$A$1:$I$1,0))*INDEX('Standard hourly rate'!$A$1:$E$14,MATCH("CAE",'Standard hourly rate'!$A$1:$A$14,0),MATCH($E78,'Standard hourly rate'!$A$1:$E$1,0))))</f>
        <v>19760</v>
      </c>
      <c r="O78" s="45">
        <f>IF(OR(ISERROR($N78),$N78="",$N78="NA"),0,H78*$N78)*(1+INDEX('For Finance Control'!$B$27:$E$29,3,MATCH('Project information'!$A$4,'For Finance Control'!$B$27:$E$27,0)))</f>
        <v>0</v>
      </c>
      <c r="P78" s="45">
        <f>IF(OR(ISERROR($N78),$N78="",$N78="NA"),0,I78*$N78)*(1+INDEX('For Finance Control'!$B$27:$E$29,3,MATCH('Project information'!$A$4,'For Finance Control'!$B$27:$E$27,0)))</f>
        <v>0</v>
      </c>
      <c r="Q78" s="45">
        <f>IF(OR(ISERROR($N78),$N78="",$N78="NA"),0,J78*$N78)*(1+INDEX('For Finance Control'!$B$27:$E$29,3,MATCH('Project information'!$A$4,'For Finance Control'!$B$27:$E$27,0)))</f>
        <v>0</v>
      </c>
      <c r="R78" s="45">
        <f>IF(OR(ISERROR($N78),$N78="",$N78="NA"),0,K78*$N78)*(1+INDEX('For Finance Control'!$B$27:$E$29,3,MATCH('Project information'!$A$4,'For Finance Control'!$B$27:$E$27,0)))</f>
        <v>0</v>
      </c>
      <c r="S78" s="45">
        <f>IF(OR(ISERROR($N78),$N78="",$N78="NA"),0,L78*$N78)*(1+INDEX('For Finance Control'!$B$27:$E$29,3,MATCH('Project information'!$A$4,'For Finance Control'!$B$27:$E$27,0)))</f>
        <v>0</v>
      </c>
      <c r="T78" s="45">
        <f t="shared" si="101"/>
        <v>0</v>
      </c>
      <c r="U78" s="33" cm="1">
        <f t="array" ref="U78">IF($N78="NA","NA",$N78*INDEX('Exchange rate'!$A$1:$G$7,MATCH('Project information'!$A$13,'Exchange rate'!$A$1:$A$7,0),MATCH(LOOKUP(2,1/({"China";"Korea";"India";"Japan";"EUR";"NAO"}=$E78),{"CNY";"KRW";"INR";"JPY";"EUR";"USD"}),'Exchange rate'!$A$1:$G$1,0)))</f>
        <v>19760</v>
      </c>
      <c r="V78" s="33">
        <f t="shared" si="102"/>
        <v>0</v>
      </c>
      <c r="W78" s="33">
        <f t="shared" si="103"/>
        <v>0</v>
      </c>
      <c r="X78" s="33">
        <f t="shared" si="104"/>
        <v>0</v>
      </c>
      <c r="Y78" s="33">
        <f t="shared" si="105"/>
        <v>0</v>
      </c>
      <c r="Z78" s="33">
        <f t="shared" si="106"/>
        <v>0</v>
      </c>
      <c r="AA78" s="33">
        <f t="shared" si="107"/>
        <v>0</v>
      </c>
      <c r="AB78" s="246"/>
      <c r="AC78" s="247"/>
      <c r="AZ78" s="148" t="str">
        <f t="shared" si="60"/>
        <v>3.53</v>
      </c>
      <c r="BA78" s="149">
        <v>0</v>
      </c>
    </row>
    <row r="79" spans="1:53" outlineLevel="1">
      <c r="A79" s="148" t="str">
        <f t="shared" si="59"/>
        <v>3.54</v>
      </c>
      <c r="B79" s="148" t="str">
        <f>INDEX('Standard working hours - CAE'!$A$1:$I$105,MATCH($C79,'Standard working hours - CAE'!$A$1:$A$105,0),MATCH(B$24,'Standard working hours - CAE'!$A$1:$I$1,0))</f>
        <v>LE</v>
      </c>
      <c r="C79" s="149" t="s">
        <v>248</v>
      </c>
      <c r="D79" s="153" t="str">
        <f>INDEX('Standard working hours - CAE'!$A$1:$I$105,MATCH($C79,'Standard working hours - CAE'!$A$1:$A$105,0),MATCH(D$24,'Standard working hours - CAE'!$A$1:$I$1,0))</f>
        <v>Digital Factory - Diesel (DOC+DPF)</v>
      </c>
      <c r="E79" s="51" t="str">
        <f>IF('Project information'!$A$4="","",'Project information'!$A$4)</f>
        <v>China</v>
      </c>
      <c r="F79" s="149" t="str">
        <f>INDEX('Standard working hours - CAE'!$A$1:$I$105,MATCH($C79,'Standard working hours - CAE'!$A$1:$A$105,0),MATCH(F$24,'Standard working hours - CAE'!$A$1:$I$1,0))</f>
        <v>Faurecia</v>
      </c>
      <c r="G79" s="149">
        <f>INDEX('Standard working hours - CAE'!$A$1:$I$105,MATCH($C79,'Standard working hours - CAE'!$A$1:$A$105,0),MATCH(G$24,'Standard working hours - CAE'!$A$1:$I$1,0))</f>
        <v>0</v>
      </c>
      <c r="H79" s="46"/>
      <c r="I79" s="46"/>
      <c r="J79" s="46"/>
      <c r="K79" s="46"/>
      <c r="L79" s="46"/>
      <c r="M79" s="33">
        <f t="shared" si="122"/>
        <v>0</v>
      </c>
      <c r="N79" s="157">
        <f>IF(E79="","",IF(ISERROR(INDEX('Standard working hours - CAE'!$A$1:$I$105,MATCH($C79,'Standard working hours - CAE'!$A$1:$A$105,0),MATCH($E79,'Standard working hours - CAE'!$A$1:$I$1,0))*INDEX('Standard hourly rate'!$A$1:$E$14,MATCH("CAE",'Standard hourly rate'!$A$1:$A$14,0),MATCH($E79,'Standard hourly rate'!$A$1:$E$1,0))),"NA",INDEX('Standard working hours - CAE'!$A$1:$I$105,MATCH($C79,'Standard working hours - CAE'!$A$1:$A$105,0),MATCH($E79,'Standard working hours - CAE'!$A$1:$I$1,0))*INDEX('Standard hourly rate'!$A$1:$E$14,MATCH("CAE",'Standard hourly rate'!$A$1:$A$14,0),MATCH($E79,'Standard hourly rate'!$A$1:$E$1,0))))</f>
        <v>19760</v>
      </c>
      <c r="O79" s="45">
        <f>IF(OR(ISERROR($N79),$N79="",$N79="NA"),0,H79*$N79)*(1+INDEX('For Finance Control'!$B$27:$E$29,3,MATCH('Project information'!$A$4,'For Finance Control'!$B$27:$E$27,0)))</f>
        <v>0</v>
      </c>
      <c r="P79" s="45">
        <f>IF(OR(ISERROR($N79),$N79="",$N79="NA"),0,I79*$N79)*(1+INDEX('For Finance Control'!$B$27:$E$29,3,MATCH('Project information'!$A$4,'For Finance Control'!$B$27:$E$27,0)))</f>
        <v>0</v>
      </c>
      <c r="Q79" s="45">
        <f>IF(OR(ISERROR($N79),$N79="",$N79="NA"),0,J79*$N79)*(1+INDEX('For Finance Control'!$B$27:$E$29,3,MATCH('Project information'!$A$4,'For Finance Control'!$B$27:$E$27,0)))</f>
        <v>0</v>
      </c>
      <c r="R79" s="45">
        <f>IF(OR(ISERROR($N79),$N79="",$N79="NA"),0,K79*$N79)*(1+INDEX('For Finance Control'!$B$27:$E$29,3,MATCH('Project information'!$A$4,'For Finance Control'!$B$27:$E$27,0)))</f>
        <v>0</v>
      </c>
      <c r="S79" s="45">
        <f>IF(OR(ISERROR($N79),$N79="",$N79="NA"),0,L79*$N79)*(1+INDEX('For Finance Control'!$B$27:$E$29,3,MATCH('Project information'!$A$4,'For Finance Control'!$B$27:$E$27,0)))</f>
        <v>0</v>
      </c>
      <c r="T79" s="45">
        <f t="shared" si="101"/>
        <v>0</v>
      </c>
      <c r="U79" s="33" cm="1">
        <f t="array" ref="U79">IF($N79="NA","NA",$N79*INDEX('Exchange rate'!$A$1:$G$7,MATCH('Project information'!$A$13,'Exchange rate'!$A$1:$A$7,0),MATCH(LOOKUP(2,1/({"China";"Korea";"India";"Japan";"EUR";"NAO"}=$E79),{"CNY";"KRW";"INR";"JPY";"EUR";"USD"}),'Exchange rate'!$A$1:$G$1,0)))</f>
        <v>19760</v>
      </c>
      <c r="V79" s="33">
        <f t="shared" si="102"/>
        <v>0</v>
      </c>
      <c r="W79" s="33">
        <f t="shared" si="103"/>
        <v>0</v>
      </c>
      <c r="X79" s="33">
        <f t="shared" si="104"/>
        <v>0</v>
      </c>
      <c r="Y79" s="33">
        <f t="shared" si="105"/>
        <v>0</v>
      </c>
      <c r="Z79" s="33">
        <f t="shared" si="106"/>
        <v>0</v>
      </c>
      <c r="AA79" s="33">
        <f t="shared" si="107"/>
        <v>0</v>
      </c>
      <c r="AB79" s="246"/>
      <c r="AC79" s="247"/>
      <c r="AZ79" s="148" t="str">
        <f t="shared" si="60"/>
        <v>3.54</v>
      </c>
      <c r="BA79" s="149">
        <v>0</v>
      </c>
    </row>
    <row r="80" spans="1:53" outlineLevel="1">
      <c r="A80" s="148" t="str">
        <f t="shared" si="59"/>
        <v>3.55</v>
      </c>
      <c r="B80" s="148" t="str">
        <f>INDEX('Standard working hours - CAE'!$A$1:$I$105,MATCH($C80,'Standard working hours - CAE'!$A$1:$A$105,0),MATCH(B$24,'Standard working hours - CAE'!$A$1:$I$1,0))</f>
        <v>LE</v>
      </c>
      <c r="C80" s="149" t="s">
        <v>249</v>
      </c>
      <c r="D80" s="153" t="str">
        <f>INDEX('Standard working hours - CAE'!$A$1:$I$105,MATCH($C80,'Standard working hours - CAE'!$A$1:$A$105,0),MATCH(D$24,'Standard working hours - CAE'!$A$1:$I$1,0))</f>
        <v>Digital Factory - UCC</v>
      </c>
      <c r="E80" s="51" t="str">
        <f>IF('Project information'!$A$4="","",'Project information'!$A$4)</f>
        <v>China</v>
      </c>
      <c r="F80" s="149" t="str">
        <f>INDEX('Standard working hours - CAE'!$A$1:$I$105,MATCH($C80,'Standard working hours - CAE'!$A$1:$A$105,0),MATCH(F$24,'Standard working hours - CAE'!$A$1:$I$1,0))</f>
        <v>Faurecia</v>
      </c>
      <c r="G80" s="149">
        <f>INDEX('Standard working hours - CAE'!$A$1:$I$105,MATCH($C80,'Standard working hours - CAE'!$A$1:$A$105,0),MATCH(G$24,'Standard working hours - CAE'!$A$1:$I$1,0))</f>
        <v>0</v>
      </c>
      <c r="H80" s="46"/>
      <c r="I80" s="46"/>
      <c r="J80" s="46"/>
      <c r="K80" s="46"/>
      <c r="L80" s="46"/>
      <c r="M80" s="33">
        <f t="shared" si="122"/>
        <v>0</v>
      </c>
      <c r="N80" s="157">
        <f>IF(E80="","",IF(ISERROR(INDEX('Standard working hours - CAE'!$A$1:$I$105,MATCH($C80,'Standard working hours - CAE'!$A$1:$A$105,0),MATCH($E80,'Standard working hours - CAE'!$A$1:$I$1,0))*INDEX('Standard hourly rate'!$A$1:$E$14,MATCH("CAE",'Standard hourly rate'!$A$1:$A$14,0),MATCH($E80,'Standard hourly rate'!$A$1:$E$1,0))),"NA",INDEX('Standard working hours - CAE'!$A$1:$I$105,MATCH($C80,'Standard working hours - CAE'!$A$1:$A$105,0),MATCH($E80,'Standard working hours - CAE'!$A$1:$I$1,0))*INDEX('Standard hourly rate'!$A$1:$E$14,MATCH("CAE",'Standard hourly rate'!$A$1:$A$14,0),MATCH($E80,'Standard hourly rate'!$A$1:$E$1,0))))</f>
        <v>15808</v>
      </c>
      <c r="O80" s="45">
        <f>IF(OR(ISERROR($N80),$N80="",$N80="NA"),0,H80*$N80)*(1+INDEX('For Finance Control'!$B$27:$E$29,3,MATCH('Project information'!$A$4,'For Finance Control'!$B$27:$E$27,0)))</f>
        <v>0</v>
      </c>
      <c r="P80" s="45">
        <f>IF(OR(ISERROR($N80),$N80="",$N80="NA"),0,I80*$N80)*(1+INDEX('For Finance Control'!$B$27:$E$29,3,MATCH('Project information'!$A$4,'For Finance Control'!$B$27:$E$27,0)))</f>
        <v>0</v>
      </c>
      <c r="Q80" s="45">
        <f>IF(OR(ISERROR($N80),$N80="",$N80="NA"),0,J80*$N80)*(1+INDEX('For Finance Control'!$B$27:$E$29,3,MATCH('Project information'!$A$4,'For Finance Control'!$B$27:$E$27,0)))</f>
        <v>0</v>
      </c>
      <c r="R80" s="45">
        <f>IF(OR(ISERROR($N80),$N80="",$N80="NA"),0,K80*$N80)*(1+INDEX('For Finance Control'!$B$27:$E$29,3,MATCH('Project information'!$A$4,'For Finance Control'!$B$27:$E$27,0)))</f>
        <v>0</v>
      </c>
      <c r="S80" s="45">
        <f>IF(OR(ISERROR($N80),$N80="",$N80="NA"),0,L80*$N80)*(1+INDEX('For Finance Control'!$B$27:$E$29,3,MATCH('Project information'!$A$4,'For Finance Control'!$B$27:$E$27,0)))</f>
        <v>0</v>
      </c>
      <c r="T80" s="45">
        <f t="shared" si="101"/>
        <v>0</v>
      </c>
      <c r="U80" s="33" cm="1">
        <f t="array" ref="U80">IF($N80="NA","NA",$N80*INDEX('Exchange rate'!$A$1:$G$7,MATCH('Project information'!$A$13,'Exchange rate'!$A$1:$A$7,0),MATCH(LOOKUP(2,1/({"China";"Korea";"India";"Japan";"EUR";"NAO"}=$E80),{"CNY";"KRW";"INR";"JPY";"EUR";"USD"}),'Exchange rate'!$A$1:$G$1,0)))</f>
        <v>15808</v>
      </c>
      <c r="V80" s="33">
        <f t="shared" si="102"/>
        <v>0</v>
      </c>
      <c r="W80" s="33">
        <f t="shared" si="103"/>
        <v>0</v>
      </c>
      <c r="X80" s="33">
        <f t="shared" si="104"/>
        <v>0</v>
      </c>
      <c r="Y80" s="33">
        <f t="shared" si="105"/>
        <v>0</v>
      </c>
      <c r="Z80" s="33">
        <f t="shared" si="106"/>
        <v>0</v>
      </c>
      <c r="AA80" s="33">
        <f t="shared" si="107"/>
        <v>0</v>
      </c>
      <c r="AB80" s="246"/>
      <c r="AC80" s="247"/>
      <c r="AZ80" s="148" t="str">
        <f t="shared" si="60"/>
        <v>3.55</v>
      </c>
      <c r="BA80" s="149">
        <v>0</v>
      </c>
    </row>
    <row r="81" spans="1:53" outlineLevel="1">
      <c r="A81" s="148" t="str">
        <f t="shared" si="59"/>
        <v>3.56</v>
      </c>
      <c r="B81" s="148" t="str">
        <f>INDEX('Standard working hours - CAE'!$A$1:$I$105,MATCH($C81,'Standard working hours - CAE'!$A$1:$A$105,0),MATCH(B$24,'Standard working hours - CAE'!$A$1:$I$1,0))</f>
        <v>LE</v>
      </c>
      <c r="C81" s="149" t="s">
        <v>250</v>
      </c>
      <c r="D81" s="153" t="str">
        <f>INDEX('Standard working hours - CAE'!$A$1:$I$105,MATCH($C81,'Standard working hours - CAE'!$A$1:$A$105,0),MATCH(D$24,'Standard working hours - CAE'!$A$1:$I$1,0))</f>
        <v>Digital Factory - Turbo HE + UCC</v>
      </c>
      <c r="E81" s="51" t="str">
        <f>IF('Project information'!$A$4="","",'Project information'!$A$4)</f>
        <v>China</v>
      </c>
      <c r="F81" s="149" t="str">
        <f>INDEX('Standard working hours - CAE'!$A$1:$I$105,MATCH($C81,'Standard working hours - CAE'!$A$1:$A$105,0),MATCH(F$24,'Standard working hours - CAE'!$A$1:$I$1,0))</f>
        <v>Faurecia</v>
      </c>
      <c r="G81" s="149">
        <f>INDEX('Standard working hours - CAE'!$A$1:$I$105,MATCH($C81,'Standard working hours - CAE'!$A$1:$A$105,0),MATCH(G$24,'Standard working hours - CAE'!$A$1:$I$1,0))</f>
        <v>0</v>
      </c>
      <c r="H81" s="46"/>
      <c r="I81" s="46"/>
      <c r="J81" s="46"/>
      <c r="K81" s="46"/>
      <c r="L81" s="46"/>
      <c r="M81" s="33">
        <f t="shared" si="122"/>
        <v>0</v>
      </c>
      <c r="N81" s="157">
        <f>IF(E81="","",IF(ISERROR(INDEX('Standard working hours - CAE'!$A$1:$I$105,MATCH($C81,'Standard working hours - CAE'!$A$1:$A$105,0),MATCH($E81,'Standard working hours - CAE'!$A$1:$I$1,0))*INDEX('Standard hourly rate'!$A$1:$E$14,MATCH("CAE",'Standard hourly rate'!$A$1:$A$14,0),MATCH($E81,'Standard hourly rate'!$A$1:$E$1,0))),"NA",INDEX('Standard working hours - CAE'!$A$1:$I$105,MATCH($C81,'Standard working hours - CAE'!$A$1:$A$105,0),MATCH($E81,'Standard working hours - CAE'!$A$1:$I$1,0))*INDEX('Standard hourly rate'!$A$1:$E$14,MATCH("CAE",'Standard hourly rate'!$A$1:$A$14,0),MATCH($E81,'Standard hourly rate'!$A$1:$E$1,0))))</f>
        <v>19760</v>
      </c>
      <c r="O81" s="45">
        <f>IF(OR(ISERROR($N81),$N81="",$N81="NA"),0,H81*$N81)*(1+INDEX('For Finance Control'!$B$27:$E$29,3,MATCH('Project information'!$A$4,'For Finance Control'!$B$27:$E$27,0)))</f>
        <v>0</v>
      </c>
      <c r="P81" s="45">
        <f>IF(OR(ISERROR($N81),$N81="",$N81="NA"),0,I81*$N81)*(1+INDEX('For Finance Control'!$B$27:$E$29,3,MATCH('Project information'!$A$4,'For Finance Control'!$B$27:$E$27,0)))</f>
        <v>0</v>
      </c>
      <c r="Q81" s="45">
        <f>IF(OR(ISERROR($N81),$N81="",$N81="NA"),0,J81*$N81)*(1+INDEX('For Finance Control'!$B$27:$E$29,3,MATCH('Project information'!$A$4,'For Finance Control'!$B$27:$E$27,0)))</f>
        <v>0</v>
      </c>
      <c r="R81" s="45">
        <f>IF(OR(ISERROR($N81),$N81="",$N81="NA"),0,K81*$N81)*(1+INDEX('For Finance Control'!$B$27:$E$29,3,MATCH('Project information'!$A$4,'For Finance Control'!$B$27:$E$27,0)))</f>
        <v>0</v>
      </c>
      <c r="S81" s="45">
        <f>IF(OR(ISERROR($N81),$N81="",$N81="NA"),0,L81*$N81)*(1+INDEX('For Finance Control'!$B$27:$E$29,3,MATCH('Project information'!$A$4,'For Finance Control'!$B$27:$E$27,0)))</f>
        <v>0</v>
      </c>
      <c r="T81" s="45">
        <f t="shared" si="101"/>
        <v>0</v>
      </c>
      <c r="U81" s="33" cm="1">
        <f t="array" ref="U81">IF($N81="NA","NA",$N81*INDEX('Exchange rate'!$A$1:$G$7,MATCH('Project information'!$A$13,'Exchange rate'!$A$1:$A$7,0),MATCH(LOOKUP(2,1/({"China";"Korea";"India";"Japan";"EUR";"NAO"}=$E81),{"CNY";"KRW";"INR";"JPY";"EUR";"USD"}),'Exchange rate'!$A$1:$G$1,0)))</f>
        <v>19760</v>
      </c>
      <c r="V81" s="33">
        <f t="shared" si="102"/>
        <v>0</v>
      </c>
      <c r="W81" s="33">
        <f t="shared" si="103"/>
        <v>0</v>
      </c>
      <c r="X81" s="33">
        <f t="shared" si="104"/>
        <v>0</v>
      </c>
      <c r="Y81" s="33">
        <f t="shared" si="105"/>
        <v>0</v>
      </c>
      <c r="Z81" s="33">
        <f t="shared" si="106"/>
        <v>0</v>
      </c>
      <c r="AA81" s="33">
        <f t="shared" si="107"/>
        <v>0</v>
      </c>
      <c r="AB81" s="246"/>
      <c r="AC81" s="247"/>
      <c r="AZ81" s="148" t="str">
        <f t="shared" si="60"/>
        <v>3.56</v>
      </c>
      <c r="BA81" s="149">
        <v>0</v>
      </c>
    </row>
    <row r="82" spans="1:53" ht="25" outlineLevel="1">
      <c r="A82" s="148" t="str">
        <f t="shared" si="59"/>
        <v>3.57</v>
      </c>
      <c r="B82" s="148" t="str">
        <f>INDEX('Standard working hours - CAE'!$A$1:$I$105,MATCH($C82,'Standard working hours - CAE'!$A$1:$A$105,0),MATCH(B$24,'Standard working hours - CAE'!$A$1:$I$1,0))</f>
        <v>LE</v>
      </c>
      <c r="C82" s="149" t="s">
        <v>251</v>
      </c>
      <c r="D82" s="153" t="str">
        <f>INDEX('Standard working hours - CAE'!$A$1:$I$105,MATCH($C82,'Standard working hours - CAE'!$A$1:$A$105,0),MATCH(D$24,'Standard working hours - CAE'!$A$1:$I$1,0))</f>
        <v>Digital Factory - Diesel (DOC+SDPF) Compact</v>
      </c>
      <c r="E82" s="51" t="str">
        <f>IF('Project information'!$A$4="","",'Project information'!$A$4)</f>
        <v>China</v>
      </c>
      <c r="F82" s="149" t="str">
        <f>INDEX('Standard working hours - CAE'!$A$1:$I$105,MATCH($C82,'Standard working hours - CAE'!$A$1:$A$105,0),MATCH(F$24,'Standard working hours - CAE'!$A$1:$I$1,0))</f>
        <v>Faurecia</v>
      </c>
      <c r="G82" s="149">
        <f>INDEX('Standard working hours - CAE'!$A$1:$I$105,MATCH($C82,'Standard working hours - CAE'!$A$1:$A$105,0),MATCH(G$24,'Standard working hours - CAE'!$A$1:$I$1,0))</f>
        <v>0</v>
      </c>
      <c r="H82" s="46"/>
      <c r="I82" s="46"/>
      <c r="J82" s="46"/>
      <c r="K82" s="46"/>
      <c r="L82" s="46"/>
      <c r="M82" s="33">
        <f t="shared" si="122"/>
        <v>0</v>
      </c>
      <c r="N82" s="157">
        <f>IF(E82="","",IF(ISERROR(INDEX('Standard working hours - CAE'!$A$1:$I$105,MATCH($C82,'Standard working hours - CAE'!$A$1:$A$105,0),MATCH($E82,'Standard working hours - CAE'!$A$1:$I$1,0))*INDEX('Standard hourly rate'!$A$1:$E$14,MATCH("CAE",'Standard hourly rate'!$A$1:$A$14,0),MATCH($E82,'Standard hourly rate'!$A$1:$E$1,0))),"NA",INDEX('Standard working hours - CAE'!$A$1:$I$105,MATCH($C82,'Standard working hours - CAE'!$A$1:$A$105,0),MATCH($E82,'Standard working hours - CAE'!$A$1:$I$1,0))*INDEX('Standard hourly rate'!$A$1:$E$14,MATCH("CAE",'Standard hourly rate'!$A$1:$A$14,0),MATCH($E82,'Standard hourly rate'!$A$1:$E$1,0))))</f>
        <v>27664</v>
      </c>
      <c r="O82" s="45">
        <f>IF(OR(ISERROR($N82),$N82="",$N82="NA"),0,H82*$N82)*(1+INDEX('For Finance Control'!$B$27:$E$29,3,MATCH('Project information'!$A$4,'For Finance Control'!$B$27:$E$27,0)))</f>
        <v>0</v>
      </c>
      <c r="P82" s="45">
        <f>IF(OR(ISERROR($N82),$N82="",$N82="NA"),0,I82*$N82)*(1+INDEX('For Finance Control'!$B$27:$E$29,3,MATCH('Project information'!$A$4,'For Finance Control'!$B$27:$E$27,0)))</f>
        <v>0</v>
      </c>
      <c r="Q82" s="45">
        <f>IF(OR(ISERROR($N82),$N82="",$N82="NA"),0,J82*$N82)*(1+INDEX('For Finance Control'!$B$27:$E$29,3,MATCH('Project information'!$A$4,'For Finance Control'!$B$27:$E$27,0)))</f>
        <v>0</v>
      </c>
      <c r="R82" s="45">
        <f>IF(OR(ISERROR($N82),$N82="",$N82="NA"),0,K82*$N82)*(1+INDEX('For Finance Control'!$B$27:$E$29,3,MATCH('Project information'!$A$4,'For Finance Control'!$B$27:$E$27,0)))</f>
        <v>0</v>
      </c>
      <c r="S82" s="45">
        <f>IF(OR(ISERROR($N82),$N82="",$N82="NA"),0,L82*$N82)*(1+INDEX('For Finance Control'!$B$27:$E$29,3,MATCH('Project information'!$A$4,'For Finance Control'!$B$27:$E$27,0)))</f>
        <v>0</v>
      </c>
      <c r="T82" s="45">
        <f t="shared" si="101"/>
        <v>0</v>
      </c>
      <c r="U82" s="33" cm="1">
        <f t="array" ref="U82">IF($N82="NA","NA",$N82*INDEX('Exchange rate'!$A$1:$G$7,MATCH('Project information'!$A$13,'Exchange rate'!$A$1:$A$7,0),MATCH(LOOKUP(2,1/({"China";"Korea";"India";"Japan";"EUR";"NAO"}=$E82),{"CNY";"KRW";"INR";"JPY";"EUR";"USD"}),'Exchange rate'!$A$1:$G$1,0)))</f>
        <v>27664</v>
      </c>
      <c r="V82" s="33">
        <f t="shared" si="102"/>
        <v>0</v>
      </c>
      <c r="W82" s="33">
        <f t="shared" si="103"/>
        <v>0</v>
      </c>
      <c r="X82" s="33">
        <f t="shared" si="104"/>
        <v>0</v>
      </c>
      <c r="Y82" s="33">
        <f t="shared" si="105"/>
        <v>0</v>
      </c>
      <c r="Z82" s="33">
        <f t="shared" si="106"/>
        <v>0</v>
      </c>
      <c r="AA82" s="33">
        <f t="shared" si="107"/>
        <v>0</v>
      </c>
      <c r="AB82" s="246"/>
      <c r="AC82" s="247"/>
      <c r="AZ82" s="148" t="str">
        <f t="shared" si="60"/>
        <v>3.57</v>
      </c>
      <c r="BA82" s="149">
        <v>0</v>
      </c>
    </row>
    <row r="83" spans="1:53" ht="25" outlineLevel="1">
      <c r="A83" s="148" t="str">
        <f t="shared" si="59"/>
        <v>3.58</v>
      </c>
      <c r="B83" s="148" t="str">
        <f>INDEX('Standard working hours - CAE'!$A$1:$I$105,MATCH($C83,'Standard working hours - CAE'!$A$1:$A$105,0),MATCH(B$24,'Standard working hours - CAE'!$A$1:$I$1,0))</f>
        <v>LE</v>
      </c>
      <c r="C83" s="149" t="s">
        <v>252</v>
      </c>
      <c r="D83" s="153" t="str">
        <f>INDEX('Standard working hours - CAE'!$A$1:$I$105,MATCH($C83,'Standard working hours - CAE'!$A$1:$A$105,0),MATCH(D$24,'Standard working hours - CAE'!$A$1:$I$1,0))</f>
        <v>Digital Factory - Diesel (DOC+DPF+SCR) Underfloor</v>
      </c>
      <c r="E83" s="51" t="str">
        <f>IF('Project information'!$A$4="","",'Project information'!$A$4)</f>
        <v>China</v>
      </c>
      <c r="F83" s="149" t="str">
        <f>INDEX('Standard working hours - CAE'!$A$1:$I$105,MATCH($C83,'Standard working hours - CAE'!$A$1:$A$105,0),MATCH(F$24,'Standard working hours - CAE'!$A$1:$I$1,0))</f>
        <v>Faurecia</v>
      </c>
      <c r="G83" s="149">
        <f>INDEX('Standard working hours - CAE'!$A$1:$I$105,MATCH($C83,'Standard working hours - CAE'!$A$1:$A$105,0),MATCH(G$24,'Standard working hours - CAE'!$A$1:$I$1,0))</f>
        <v>0</v>
      </c>
      <c r="H83" s="46"/>
      <c r="I83" s="46"/>
      <c r="J83" s="46"/>
      <c r="K83" s="46"/>
      <c r="L83" s="46"/>
      <c r="M83" s="33">
        <f t="shared" si="122"/>
        <v>0</v>
      </c>
      <c r="N83" s="157">
        <f>IF(E83="","",IF(ISERROR(INDEX('Standard working hours - CAE'!$A$1:$I$105,MATCH($C83,'Standard working hours - CAE'!$A$1:$A$105,0),MATCH($E83,'Standard working hours - CAE'!$A$1:$I$1,0))*INDEX('Standard hourly rate'!$A$1:$E$14,MATCH("CAE",'Standard hourly rate'!$A$1:$A$14,0),MATCH($E83,'Standard hourly rate'!$A$1:$E$1,0))),"NA",INDEX('Standard working hours - CAE'!$A$1:$I$105,MATCH($C83,'Standard working hours - CAE'!$A$1:$A$105,0),MATCH($E83,'Standard working hours - CAE'!$A$1:$I$1,0))*INDEX('Standard hourly rate'!$A$1:$E$14,MATCH("CAE",'Standard hourly rate'!$A$1:$A$14,0),MATCH($E83,'Standard hourly rate'!$A$1:$E$1,0))))</f>
        <v>23712</v>
      </c>
      <c r="O83" s="45">
        <f>IF(OR(ISERROR($N83),$N83="",$N83="NA"),0,H83*$N83)*(1+INDEX('For Finance Control'!$B$27:$E$29,3,MATCH('Project information'!$A$4,'For Finance Control'!$B$27:$E$27,0)))</f>
        <v>0</v>
      </c>
      <c r="P83" s="45">
        <f>IF(OR(ISERROR($N83),$N83="",$N83="NA"),0,I83*$N83)*(1+INDEX('For Finance Control'!$B$27:$E$29,3,MATCH('Project information'!$A$4,'For Finance Control'!$B$27:$E$27,0)))</f>
        <v>0</v>
      </c>
      <c r="Q83" s="45">
        <f>IF(OR(ISERROR($N83),$N83="",$N83="NA"),0,J83*$N83)*(1+INDEX('For Finance Control'!$B$27:$E$29,3,MATCH('Project information'!$A$4,'For Finance Control'!$B$27:$E$27,0)))</f>
        <v>0</v>
      </c>
      <c r="R83" s="45">
        <f>IF(OR(ISERROR($N83),$N83="",$N83="NA"),0,K83*$N83)*(1+INDEX('For Finance Control'!$B$27:$E$29,3,MATCH('Project information'!$A$4,'For Finance Control'!$B$27:$E$27,0)))</f>
        <v>0</v>
      </c>
      <c r="S83" s="45">
        <f>IF(OR(ISERROR($N83),$N83="",$N83="NA"),0,L83*$N83)*(1+INDEX('For Finance Control'!$B$27:$E$29,3,MATCH('Project information'!$A$4,'For Finance Control'!$B$27:$E$27,0)))</f>
        <v>0</v>
      </c>
      <c r="T83" s="45">
        <f t="shared" ref="T83:T90" si="147">SUM(O83:S83)</f>
        <v>0</v>
      </c>
      <c r="U83" s="33" cm="1">
        <f t="array" ref="U83">IF($N83="NA","NA",$N83*INDEX('Exchange rate'!$A$1:$G$7,MATCH('Project information'!$A$13,'Exchange rate'!$A$1:$A$7,0),MATCH(LOOKUP(2,1/({"China";"Korea";"India";"Japan";"EUR";"NAO"}=$E83),{"CNY";"KRW";"INR";"JPY";"EUR";"USD"}),'Exchange rate'!$A$1:$G$1,0)))</f>
        <v>23712</v>
      </c>
      <c r="V83" s="33">
        <f t="shared" ref="V83:V90" si="148">IF(OR(ISERROR($U83),$U83="",$U83="NA"),0,H83*$U83)</f>
        <v>0</v>
      </c>
      <c r="W83" s="33">
        <f t="shared" ref="W83:W90" si="149">IF(OR(ISERROR($U83),$U83="",$U83="NA"),0,I83*$U83)</f>
        <v>0</v>
      </c>
      <c r="X83" s="33">
        <f t="shared" ref="X83:X90" si="150">IF(OR(ISERROR($U83),$U83="",$U83="NA"),0,J83*$U83)</f>
        <v>0</v>
      </c>
      <c r="Y83" s="33">
        <f t="shared" ref="Y83:Y90" si="151">IF(OR(ISERROR($U83),$U83="",$U83="NA"),0,K83*$U83)</f>
        <v>0</v>
      </c>
      <c r="Z83" s="33">
        <f t="shared" ref="Z83:Z90" si="152">IF(OR(ISERROR($U83),$U83="",$U83="NA"),0,L83*$U83)</f>
        <v>0</v>
      </c>
      <c r="AA83" s="33">
        <f t="shared" ref="AA83:AA90" si="153">SUM(V83:Z83)</f>
        <v>0</v>
      </c>
      <c r="AB83" s="246"/>
      <c r="AC83" s="247"/>
      <c r="AZ83" s="148" t="str">
        <f t="shared" si="60"/>
        <v>3.58</v>
      </c>
      <c r="BA83" s="149">
        <v>0</v>
      </c>
    </row>
    <row r="84" spans="1:53" ht="25" outlineLevel="1">
      <c r="A84" s="148" t="str">
        <f t="shared" si="59"/>
        <v>3.59</v>
      </c>
      <c r="B84" s="148" t="str">
        <f>INDEX('Standard working hours - CAE'!$A$1:$I$105,MATCH($C84,'Standard working hours - CAE'!$A$1:$A$105,0),MATCH(B$24,'Standard working hours - CAE'!$A$1:$I$1,0))</f>
        <v>LE</v>
      </c>
      <c r="C84" s="149" t="s">
        <v>253</v>
      </c>
      <c r="D84" s="153" t="str">
        <f>INDEX('Standard working hours - CAE'!$A$1:$I$105,MATCH($C84,'Standard working hours - CAE'!$A$1:$A$105,0),MATCH(D$24,'Standard working hours - CAE'!$A$1:$I$1,0))</f>
        <v xml:space="preserve">Digital Factory - Cold end simple design </v>
      </c>
      <c r="E84" s="51" t="str">
        <f>IF('Project information'!$A$4="","",'Project information'!$A$4)</f>
        <v>China</v>
      </c>
      <c r="F84" s="149" t="str">
        <f>INDEX('Standard working hours - CAE'!$A$1:$I$105,MATCH($C84,'Standard working hours - CAE'!$A$1:$A$105,0),MATCH(F$24,'Standard working hours - CAE'!$A$1:$I$1,0))</f>
        <v>Faurecia</v>
      </c>
      <c r="G84" s="149">
        <f>INDEX('Standard working hours - CAE'!$A$1:$I$105,MATCH($C84,'Standard working hours - CAE'!$A$1:$A$105,0),MATCH(G$24,'Standard working hours - CAE'!$A$1:$I$1,0))</f>
        <v>0</v>
      </c>
      <c r="H84" s="46"/>
      <c r="I84" s="46"/>
      <c r="J84" s="46"/>
      <c r="K84" s="46"/>
      <c r="L84" s="46"/>
      <c r="M84" s="33">
        <f t="shared" si="122"/>
        <v>0</v>
      </c>
      <c r="N84" s="157">
        <f>IF(E84="","",IF(ISERROR(INDEX('Standard working hours - CAE'!$A$1:$I$105,MATCH($C84,'Standard working hours - CAE'!$A$1:$A$105,0),MATCH($E84,'Standard working hours - CAE'!$A$1:$I$1,0))*INDEX('Standard hourly rate'!$A$1:$E$14,MATCH("CAE",'Standard hourly rate'!$A$1:$A$14,0),MATCH($E84,'Standard hourly rate'!$A$1:$E$1,0))),"NA",INDEX('Standard working hours - CAE'!$A$1:$I$105,MATCH($C84,'Standard working hours - CAE'!$A$1:$A$105,0),MATCH($E84,'Standard working hours - CAE'!$A$1:$I$1,0))*INDEX('Standard hourly rate'!$A$1:$E$14,MATCH("CAE",'Standard hourly rate'!$A$1:$A$14,0),MATCH($E84,'Standard hourly rate'!$A$1:$E$1,0))))</f>
        <v>19760</v>
      </c>
      <c r="O84" s="45">
        <f>IF(OR(ISERROR($N84),$N84="",$N84="NA"),0,H84*$N84)*(1+INDEX('For Finance Control'!$B$27:$E$29,3,MATCH('Project information'!$A$4,'For Finance Control'!$B$27:$E$27,0)))</f>
        <v>0</v>
      </c>
      <c r="P84" s="45">
        <f>IF(OR(ISERROR($N84),$N84="",$N84="NA"),0,I84*$N84)*(1+INDEX('For Finance Control'!$B$27:$E$29,3,MATCH('Project information'!$A$4,'For Finance Control'!$B$27:$E$27,0)))</f>
        <v>0</v>
      </c>
      <c r="Q84" s="45">
        <f>IF(OR(ISERROR($N84),$N84="",$N84="NA"),0,J84*$N84)*(1+INDEX('For Finance Control'!$B$27:$E$29,3,MATCH('Project information'!$A$4,'For Finance Control'!$B$27:$E$27,0)))</f>
        <v>0</v>
      </c>
      <c r="R84" s="45">
        <f>IF(OR(ISERROR($N84),$N84="",$N84="NA"),0,K84*$N84)*(1+INDEX('For Finance Control'!$B$27:$E$29,3,MATCH('Project information'!$A$4,'For Finance Control'!$B$27:$E$27,0)))</f>
        <v>0</v>
      </c>
      <c r="S84" s="45">
        <f>IF(OR(ISERROR($N84),$N84="",$N84="NA"),0,L84*$N84)*(1+INDEX('For Finance Control'!$B$27:$E$29,3,MATCH('Project information'!$A$4,'For Finance Control'!$B$27:$E$27,0)))</f>
        <v>0</v>
      </c>
      <c r="T84" s="45">
        <f t="shared" si="147"/>
        <v>0</v>
      </c>
      <c r="U84" s="33" cm="1">
        <f t="array" ref="U84">IF($N84="NA","NA",$N84*INDEX('Exchange rate'!$A$1:$G$7,MATCH('Project information'!$A$13,'Exchange rate'!$A$1:$A$7,0),MATCH(LOOKUP(2,1/({"China";"Korea";"India";"Japan";"EUR";"NAO"}=$E84),{"CNY";"KRW";"INR";"JPY";"EUR";"USD"}),'Exchange rate'!$A$1:$G$1,0)))</f>
        <v>19760</v>
      </c>
      <c r="V84" s="33">
        <f t="shared" si="148"/>
        <v>0</v>
      </c>
      <c r="W84" s="33">
        <f t="shared" si="149"/>
        <v>0</v>
      </c>
      <c r="X84" s="33">
        <f t="shared" si="150"/>
        <v>0</v>
      </c>
      <c r="Y84" s="33">
        <f t="shared" si="151"/>
        <v>0</v>
      </c>
      <c r="Z84" s="33">
        <f t="shared" si="152"/>
        <v>0</v>
      </c>
      <c r="AA84" s="33">
        <f t="shared" si="153"/>
        <v>0</v>
      </c>
      <c r="AB84" s="246"/>
      <c r="AC84" s="247"/>
      <c r="AZ84" s="148" t="str">
        <f t="shared" si="60"/>
        <v>3.59</v>
      </c>
      <c r="BA84" s="149">
        <v>0</v>
      </c>
    </row>
    <row r="85" spans="1:53" outlineLevel="1">
      <c r="A85" s="148" t="str">
        <f t="shared" si="59"/>
        <v>3.60</v>
      </c>
      <c r="B85" s="148" t="str">
        <f>INDEX('Standard working hours - CAE'!$A$1:$I$105,MATCH($C85,'Standard working hours - CAE'!$A$1:$A$105,0),MATCH(B$24,'Standard working hours - CAE'!$A$1:$I$1,0))</f>
        <v>LE</v>
      </c>
      <c r="C85" s="149" t="s">
        <v>254</v>
      </c>
      <c r="D85" s="153" t="str">
        <f>INDEX('Standard working hours - CAE'!$A$1:$I$105,MATCH($C85,'Standard working hours - CAE'!$A$1:$A$105,0),MATCH(D$24,'Standard working hours - CAE'!$A$1:$I$1,0))</f>
        <v>Digital Factory - Cold end complex</v>
      </c>
      <c r="E85" s="51" t="str">
        <f>IF('Project information'!$A$4="","",'Project information'!$A$4)</f>
        <v>China</v>
      </c>
      <c r="F85" s="149" t="str">
        <f>INDEX('Standard working hours - CAE'!$A$1:$I$105,MATCH($C85,'Standard working hours - CAE'!$A$1:$A$105,0),MATCH(F$24,'Standard working hours - CAE'!$A$1:$I$1,0))</f>
        <v>Faurecia</v>
      </c>
      <c r="G85" s="149">
        <f>INDEX('Standard working hours - CAE'!$A$1:$I$105,MATCH($C85,'Standard working hours - CAE'!$A$1:$A$105,0),MATCH(G$24,'Standard working hours - CAE'!$A$1:$I$1,0))</f>
        <v>0</v>
      </c>
      <c r="H85" s="46"/>
      <c r="I85" s="46"/>
      <c r="J85" s="46"/>
      <c r="K85" s="46"/>
      <c r="L85" s="46"/>
      <c r="M85" s="33">
        <f t="shared" si="122"/>
        <v>0</v>
      </c>
      <c r="N85" s="157">
        <f>IF(E85="","",IF(ISERROR(INDEX('Standard working hours - CAE'!$A$1:$I$105,MATCH($C85,'Standard working hours - CAE'!$A$1:$A$105,0),MATCH($E85,'Standard working hours - CAE'!$A$1:$I$1,0))*INDEX('Standard hourly rate'!$A$1:$E$14,MATCH("CAE",'Standard hourly rate'!$A$1:$A$14,0),MATCH($E85,'Standard hourly rate'!$A$1:$E$1,0))),"NA",INDEX('Standard working hours - CAE'!$A$1:$I$105,MATCH($C85,'Standard working hours - CAE'!$A$1:$A$105,0),MATCH($E85,'Standard working hours - CAE'!$A$1:$I$1,0))*INDEX('Standard hourly rate'!$A$1:$E$14,MATCH("CAE",'Standard hourly rate'!$A$1:$A$14,0),MATCH($E85,'Standard hourly rate'!$A$1:$E$1,0))))</f>
        <v>23712</v>
      </c>
      <c r="O85" s="45">
        <f>IF(OR(ISERROR($N85),$N85="",$N85="NA"),0,H85*$N85)*(1+INDEX('For Finance Control'!$B$27:$E$29,3,MATCH('Project information'!$A$4,'For Finance Control'!$B$27:$E$27,0)))</f>
        <v>0</v>
      </c>
      <c r="P85" s="45">
        <f>IF(OR(ISERROR($N85),$N85="",$N85="NA"),0,I85*$N85)*(1+INDEX('For Finance Control'!$B$27:$E$29,3,MATCH('Project information'!$A$4,'For Finance Control'!$B$27:$E$27,0)))</f>
        <v>0</v>
      </c>
      <c r="Q85" s="45">
        <f>IF(OR(ISERROR($N85),$N85="",$N85="NA"),0,J85*$N85)*(1+INDEX('For Finance Control'!$B$27:$E$29,3,MATCH('Project information'!$A$4,'For Finance Control'!$B$27:$E$27,0)))</f>
        <v>0</v>
      </c>
      <c r="R85" s="45">
        <f>IF(OR(ISERROR($N85),$N85="",$N85="NA"),0,K85*$N85)*(1+INDEX('For Finance Control'!$B$27:$E$29,3,MATCH('Project information'!$A$4,'For Finance Control'!$B$27:$E$27,0)))</f>
        <v>0</v>
      </c>
      <c r="S85" s="45">
        <f>IF(OR(ISERROR($N85),$N85="",$N85="NA"),0,L85*$N85)*(1+INDEX('For Finance Control'!$B$27:$E$29,3,MATCH('Project information'!$A$4,'For Finance Control'!$B$27:$E$27,0)))</f>
        <v>0</v>
      </c>
      <c r="T85" s="45">
        <f t="shared" si="147"/>
        <v>0</v>
      </c>
      <c r="U85" s="33" cm="1">
        <f t="array" ref="U85">IF($N85="NA","NA",$N85*INDEX('Exchange rate'!$A$1:$G$7,MATCH('Project information'!$A$13,'Exchange rate'!$A$1:$A$7,0),MATCH(LOOKUP(2,1/({"China";"Korea";"India";"Japan";"EUR";"NAO"}=$E85),{"CNY";"KRW";"INR";"JPY";"EUR";"USD"}),'Exchange rate'!$A$1:$G$1,0)))</f>
        <v>23712</v>
      </c>
      <c r="V85" s="33">
        <f t="shared" si="148"/>
        <v>0</v>
      </c>
      <c r="W85" s="33">
        <f t="shared" si="149"/>
        <v>0</v>
      </c>
      <c r="X85" s="33">
        <f t="shared" si="150"/>
        <v>0</v>
      </c>
      <c r="Y85" s="33">
        <f t="shared" si="151"/>
        <v>0</v>
      </c>
      <c r="Z85" s="33">
        <f t="shared" si="152"/>
        <v>0</v>
      </c>
      <c r="AA85" s="33">
        <f t="shared" si="153"/>
        <v>0</v>
      </c>
      <c r="AB85" s="246"/>
      <c r="AC85" s="247"/>
      <c r="AZ85" s="148" t="str">
        <f t="shared" si="60"/>
        <v>3.60</v>
      </c>
      <c r="BA85" s="149">
        <v>0</v>
      </c>
    </row>
    <row r="86" spans="1:53" outlineLevel="1">
      <c r="A86" s="148" t="str">
        <f t="shared" si="59"/>
        <v>3.61</v>
      </c>
      <c r="B86" s="148" t="str">
        <f>INDEX('Standard working hours - CAE'!$A$1:$I$105,MATCH($C86,'Standard working hours - CAE'!$A$1:$A$105,0),MATCH(B$24,'Standard working hours - CAE'!$A$1:$I$1,0))</f>
        <v>LE</v>
      </c>
      <c r="C86" s="149" t="s">
        <v>255</v>
      </c>
      <c r="D86" s="153" t="str">
        <f>INDEX('Standard working hours - CAE'!$A$1:$I$105,MATCH($C86,'Standard working hours - CAE'!$A$1:$A$105,0),MATCH(D$24,'Standard working hours - CAE'!$A$1:$I$1,0))</f>
        <v>VR cardboard - Manifold</v>
      </c>
      <c r="E86" s="51" t="str">
        <f>IF('Project information'!$A$4="","",'Project information'!$A$4)</f>
        <v>China</v>
      </c>
      <c r="F86" s="149" t="str">
        <f>INDEX('Standard working hours - CAE'!$A$1:$I$105,MATCH($C86,'Standard working hours - CAE'!$A$1:$A$105,0),MATCH(F$24,'Standard working hours - CAE'!$A$1:$I$1,0))</f>
        <v>Faurecia</v>
      </c>
      <c r="G86" s="149">
        <f>INDEX('Standard working hours - CAE'!$A$1:$I$105,MATCH($C86,'Standard working hours - CAE'!$A$1:$A$105,0),MATCH(G$24,'Standard working hours - CAE'!$A$1:$I$1,0))</f>
        <v>0</v>
      </c>
      <c r="H86" s="46"/>
      <c r="I86" s="46"/>
      <c r="J86" s="46"/>
      <c r="K86" s="46"/>
      <c r="L86" s="46"/>
      <c r="M86" s="33">
        <f t="shared" si="122"/>
        <v>0</v>
      </c>
      <c r="N86" s="157">
        <f>IF(E86="","",IF(ISERROR(INDEX('Standard working hours - CAE'!$A$1:$I$105,MATCH($C86,'Standard working hours - CAE'!$A$1:$A$105,0),MATCH($E86,'Standard working hours - CAE'!$A$1:$I$1,0))*INDEX('Standard hourly rate'!$A$1:$E$14,MATCH("CAE",'Standard hourly rate'!$A$1:$A$14,0),MATCH($E86,'Standard hourly rate'!$A$1:$E$1,0))),"NA",INDEX('Standard working hours - CAE'!$A$1:$I$105,MATCH($C86,'Standard working hours - CAE'!$A$1:$A$105,0),MATCH($E86,'Standard working hours - CAE'!$A$1:$I$1,0))*INDEX('Standard hourly rate'!$A$1:$E$14,MATCH("CAE",'Standard hourly rate'!$A$1:$A$14,0),MATCH($E86,'Standard hourly rate'!$A$1:$E$1,0))))</f>
        <v>15808</v>
      </c>
      <c r="O86" s="45">
        <f>IF(OR(ISERROR($N86),$N86="",$N86="NA"),0,H86*$N86)*(1+INDEX('For Finance Control'!$B$27:$E$29,3,MATCH('Project information'!$A$4,'For Finance Control'!$B$27:$E$27,0)))</f>
        <v>0</v>
      </c>
      <c r="P86" s="45">
        <f>IF(OR(ISERROR($N86),$N86="",$N86="NA"),0,I86*$N86)*(1+INDEX('For Finance Control'!$B$27:$E$29,3,MATCH('Project information'!$A$4,'For Finance Control'!$B$27:$E$27,0)))</f>
        <v>0</v>
      </c>
      <c r="Q86" s="45">
        <f>IF(OR(ISERROR($N86),$N86="",$N86="NA"),0,J86*$N86)*(1+INDEX('For Finance Control'!$B$27:$E$29,3,MATCH('Project information'!$A$4,'For Finance Control'!$B$27:$E$27,0)))</f>
        <v>0</v>
      </c>
      <c r="R86" s="45">
        <f>IF(OR(ISERROR($N86),$N86="",$N86="NA"),0,K86*$N86)*(1+INDEX('For Finance Control'!$B$27:$E$29,3,MATCH('Project information'!$A$4,'For Finance Control'!$B$27:$E$27,0)))</f>
        <v>0</v>
      </c>
      <c r="S86" s="45">
        <f>IF(OR(ISERROR($N86),$N86="",$N86="NA"),0,L86*$N86)*(1+INDEX('For Finance Control'!$B$27:$E$29,3,MATCH('Project information'!$A$4,'For Finance Control'!$B$27:$E$27,0)))</f>
        <v>0</v>
      </c>
      <c r="T86" s="45">
        <f t="shared" si="147"/>
        <v>0</v>
      </c>
      <c r="U86" s="33" cm="1">
        <f t="array" ref="U86">IF($N86="NA","NA",$N86*INDEX('Exchange rate'!$A$1:$G$7,MATCH('Project information'!$A$13,'Exchange rate'!$A$1:$A$7,0),MATCH(LOOKUP(2,1/({"China";"Korea";"India";"Japan";"EUR";"NAO"}=$E86),{"CNY";"KRW";"INR";"JPY";"EUR";"USD"}),'Exchange rate'!$A$1:$G$1,0)))</f>
        <v>15808</v>
      </c>
      <c r="V86" s="33">
        <f t="shared" si="148"/>
        <v>0</v>
      </c>
      <c r="W86" s="33">
        <f t="shared" si="149"/>
        <v>0</v>
      </c>
      <c r="X86" s="33">
        <f t="shared" si="150"/>
        <v>0</v>
      </c>
      <c r="Y86" s="33">
        <f t="shared" si="151"/>
        <v>0</v>
      </c>
      <c r="Z86" s="33">
        <f t="shared" si="152"/>
        <v>0</v>
      </c>
      <c r="AA86" s="33">
        <f t="shared" si="153"/>
        <v>0</v>
      </c>
      <c r="AB86" s="246"/>
      <c r="AC86" s="247"/>
      <c r="AZ86" s="148" t="str">
        <f t="shared" si="60"/>
        <v>3.61</v>
      </c>
      <c r="BA86" s="149">
        <v>0</v>
      </c>
    </row>
    <row r="87" spans="1:53" outlineLevel="1">
      <c r="A87" s="148" t="str">
        <f t="shared" si="59"/>
        <v>3.62</v>
      </c>
      <c r="B87" s="148" t="str">
        <f>INDEX('Standard working hours - CAE'!$A$1:$I$105,MATCH($C87,'Standard working hours - CAE'!$A$1:$A$105,0),MATCH(B$24,'Standard working hours - CAE'!$A$1:$I$1,0))</f>
        <v>LE</v>
      </c>
      <c r="C87" s="149" t="s">
        <v>256</v>
      </c>
      <c r="D87" s="153" t="str">
        <f>INDEX('Standard working hours - CAE'!$A$1:$I$105,MATCH($C87,'Standard working hours - CAE'!$A$1:$A$105,0),MATCH(D$24,'Standard working hours - CAE'!$A$1:$I$1,0))</f>
        <v>VR cardboard - Maniverter</v>
      </c>
      <c r="E87" s="51" t="str">
        <f>IF('Project information'!$A$4="","",'Project information'!$A$4)</f>
        <v>China</v>
      </c>
      <c r="F87" s="149" t="str">
        <f>INDEX('Standard working hours - CAE'!$A$1:$I$105,MATCH($C87,'Standard working hours - CAE'!$A$1:$A$105,0),MATCH(F$24,'Standard working hours - CAE'!$A$1:$I$1,0))</f>
        <v>Faurecia</v>
      </c>
      <c r="G87" s="149">
        <f>INDEX('Standard working hours - CAE'!$A$1:$I$105,MATCH($C87,'Standard working hours - CAE'!$A$1:$A$105,0),MATCH(G$24,'Standard working hours - CAE'!$A$1:$I$1,0))</f>
        <v>0</v>
      </c>
      <c r="H87" s="46"/>
      <c r="I87" s="46"/>
      <c r="J87" s="46"/>
      <c r="K87" s="46"/>
      <c r="L87" s="46"/>
      <c r="M87" s="33">
        <f t="shared" si="122"/>
        <v>0</v>
      </c>
      <c r="N87" s="157">
        <f>IF(E87="","",IF(ISERROR(INDEX('Standard working hours - CAE'!$A$1:$I$105,MATCH($C87,'Standard working hours - CAE'!$A$1:$A$105,0),MATCH($E87,'Standard working hours - CAE'!$A$1:$I$1,0))*INDEX('Standard hourly rate'!$A$1:$E$14,MATCH("CAE",'Standard hourly rate'!$A$1:$A$14,0),MATCH($E87,'Standard hourly rate'!$A$1:$E$1,0))),"NA",INDEX('Standard working hours - CAE'!$A$1:$I$105,MATCH($C87,'Standard working hours - CAE'!$A$1:$A$105,0),MATCH($E87,'Standard working hours - CAE'!$A$1:$I$1,0))*INDEX('Standard hourly rate'!$A$1:$E$14,MATCH("CAE",'Standard hourly rate'!$A$1:$A$14,0),MATCH($E87,'Standard hourly rate'!$A$1:$E$1,0))))</f>
        <v>19760</v>
      </c>
      <c r="O87" s="45">
        <f>IF(OR(ISERROR($N87),$N87="",$N87="NA"),0,H87*$N87)*(1+INDEX('For Finance Control'!$B$27:$E$29,3,MATCH('Project information'!$A$4,'For Finance Control'!$B$27:$E$27,0)))</f>
        <v>0</v>
      </c>
      <c r="P87" s="45">
        <f>IF(OR(ISERROR($N87),$N87="",$N87="NA"),0,I87*$N87)*(1+INDEX('For Finance Control'!$B$27:$E$29,3,MATCH('Project information'!$A$4,'For Finance Control'!$B$27:$E$27,0)))</f>
        <v>0</v>
      </c>
      <c r="Q87" s="45">
        <f>IF(OR(ISERROR($N87),$N87="",$N87="NA"),0,J87*$N87)*(1+INDEX('For Finance Control'!$B$27:$E$29,3,MATCH('Project information'!$A$4,'For Finance Control'!$B$27:$E$27,0)))</f>
        <v>0</v>
      </c>
      <c r="R87" s="45">
        <f>IF(OR(ISERROR($N87),$N87="",$N87="NA"),0,K87*$N87)*(1+INDEX('For Finance Control'!$B$27:$E$29,3,MATCH('Project information'!$A$4,'For Finance Control'!$B$27:$E$27,0)))</f>
        <v>0</v>
      </c>
      <c r="S87" s="45">
        <f>IF(OR(ISERROR($N87),$N87="",$N87="NA"),0,L87*$N87)*(1+INDEX('For Finance Control'!$B$27:$E$29,3,MATCH('Project information'!$A$4,'For Finance Control'!$B$27:$E$27,0)))</f>
        <v>0</v>
      </c>
      <c r="T87" s="45">
        <f t="shared" si="147"/>
        <v>0</v>
      </c>
      <c r="U87" s="33" cm="1">
        <f t="array" ref="U87">IF($N87="NA","NA",$N87*INDEX('Exchange rate'!$A$1:$G$7,MATCH('Project information'!$A$13,'Exchange rate'!$A$1:$A$7,0),MATCH(LOOKUP(2,1/({"China";"Korea";"India";"Japan";"EUR";"NAO"}=$E87),{"CNY";"KRW";"INR";"JPY";"EUR";"USD"}),'Exchange rate'!$A$1:$G$1,0)))</f>
        <v>19760</v>
      </c>
      <c r="V87" s="33">
        <f t="shared" si="148"/>
        <v>0</v>
      </c>
      <c r="W87" s="33">
        <f t="shared" si="149"/>
        <v>0</v>
      </c>
      <c r="X87" s="33">
        <f t="shared" si="150"/>
        <v>0</v>
      </c>
      <c r="Y87" s="33">
        <f t="shared" si="151"/>
        <v>0</v>
      </c>
      <c r="Z87" s="33">
        <f t="shared" si="152"/>
        <v>0</v>
      </c>
      <c r="AA87" s="33">
        <f t="shared" si="153"/>
        <v>0</v>
      </c>
      <c r="AB87" s="246"/>
      <c r="AC87" s="247"/>
      <c r="AZ87" s="148" t="str">
        <f t="shared" si="60"/>
        <v>3.62</v>
      </c>
      <c r="BA87" s="149">
        <v>0</v>
      </c>
    </row>
    <row r="88" spans="1:53" outlineLevel="1">
      <c r="A88" s="148" t="str">
        <f t="shared" si="59"/>
        <v>3.63</v>
      </c>
      <c r="B88" s="148" t="str">
        <f>INDEX('Standard working hours - CAE'!$A$1:$I$105,MATCH($C88,'Standard working hours - CAE'!$A$1:$A$105,0),MATCH(B$24,'Standard working hours - CAE'!$A$1:$I$1,0))</f>
        <v>LE</v>
      </c>
      <c r="C88" s="149" t="s">
        <v>257</v>
      </c>
      <c r="D88" s="153" t="str">
        <f>INDEX('Standard working hours - CAE'!$A$1:$I$105,MATCH($C88,'Standard working hours - CAE'!$A$1:$A$105,0),MATCH(D$24,'Standard working hours - CAE'!$A$1:$I$1,0))</f>
        <v>VR cardboard - Turbo HE</v>
      </c>
      <c r="E88" s="51" t="str">
        <f>IF('Project information'!$A$4="","",'Project information'!$A$4)</f>
        <v>China</v>
      </c>
      <c r="F88" s="149" t="str">
        <f>INDEX('Standard working hours - CAE'!$A$1:$I$105,MATCH($C88,'Standard working hours - CAE'!$A$1:$A$105,0),MATCH(F$24,'Standard working hours - CAE'!$A$1:$I$1,0))</f>
        <v>Faurecia</v>
      </c>
      <c r="G88" s="149">
        <f>INDEX('Standard working hours - CAE'!$A$1:$I$105,MATCH($C88,'Standard working hours - CAE'!$A$1:$A$105,0),MATCH(G$24,'Standard working hours - CAE'!$A$1:$I$1,0))</f>
        <v>0</v>
      </c>
      <c r="H88" s="46"/>
      <c r="I88" s="46"/>
      <c r="J88" s="46"/>
      <c r="K88" s="46"/>
      <c r="L88" s="46"/>
      <c r="M88" s="33">
        <f t="shared" si="122"/>
        <v>0</v>
      </c>
      <c r="N88" s="157">
        <f>IF(E88="","",IF(ISERROR(INDEX('Standard working hours - CAE'!$A$1:$I$105,MATCH($C88,'Standard working hours - CAE'!$A$1:$A$105,0),MATCH($E88,'Standard working hours - CAE'!$A$1:$I$1,0))*INDEX('Standard hourly rate'!$A$1:$E$14,MATCH("CAE",'Standard hourly rate'!$A$1:$A$14,0),MATCH($E88,'Standard hourly rate'!$A$1:$E$1,0))),"NA",INDEX('Standard working hours - CAE'!$A$1:$I$105,MATCH($C88,'Standard working hours - CAE'!$A$1:$A$105,0),MATCH($E88,'Standard working hours - CAE'!$A$1:$I$1,0))*INDEX('Standard hourly rate'!$A$1:$E$14,MATCH("CAE",'Standard hourly rate'!$A$1:$A$14,0),MATCH($E88,'Standard hourly rate'!$A$1:$E$1,0))))</f>
        <v>19760</v>
      </c>
      <c r="O88" s="45">
        <f>IF(OR(ISERROR($N88),$N88="",$N88="NA"),0,H88*$N88)*(1+INDEX('For Finance Control'!$B$27:$E$29,3,MATCH('Project information'!$A$4,'For Finance Control'!$B$27:$E$27,0)))</f>
        <v>0</v>
      </c>
      <c r="P88" s="45">
        <f>IF(OR(ISERROR($N88),$N88="",$N88="NA"),0,I88*$N88)*(1+INDEX('For Finance Control'!$B$27:$E$29,3,MATCH('Project information'!$A$4,'For Finance Control'!$B$27:$E$27,0)))</f>
        <v>0</v>
      </c>
      <c r="Q88" s="45">
        <f>IF(OR(ISERROR($N88),$N88="",$N88="NA"),0,J88*$N88)*(1+INDEX('For Finance Control'!$B$27:$E$29,3,MATCH('Project information'!$A$4,'For Finance Control'!$B$27:$E$27,0)))</f>
        <v>0</v>
      </c>
      <c r="R88" s="45">
        <f>IF(OR(ISERROR($N88),$N88="",$N88="NA"),0,K88*$N88)*(1+INDEX('For Finance Control'!$B$27:$E$29,3,MATCH('Project information'!$A$4,'For Finance Control'!$B$27:$E$27,0)))</f>
        <v>0</v>
      </c>
      <c r="S88" s="45">
        <f>IF(OR(ISERROR($N88),$N88="",$N88="NA"),0,L88*$N88)*(1+INDEX('For Finance Control'!$B$27:$E$29,3,MATCH('Project information'!$A$4,'For Finance Control'!$B$27:$E$27,0)))</f>
        <v>0</v>
      </c>
      <c r="T88" s="45">
        <f t="shared" si="147"/>
        <v>0</v>
      </c>
      <c r="U88" s="33" cm="1">
        <f t="array" ref="U88">IF($N88="NA","NA",$N88*INDEX('Exchange rate'!$A$1:$G$7,MATCH('Project information'!$A$13,'Exchange rate'!$A$1:$A$7,0),MATCH(LOOKUP(2,1/({"China";"Korea";"India";"Japan";"EUR";"NAO"}=$E88),{"CNY";"KRW";"INR";"JPY";"EUR";"USD"}),'Exchange rate'!$A$1:$G$1,0)))</f>
        <v>19760</v>
      </c>
      <c r="V88" s="33">
        <f t="shared" si="148"/>
        <v>0</v>
      </c>
      <c r="W88" s="33">
        <f t="shared" si="149"/>
        <v>0</v>
      </c>
      <c r="X88" s="33">
        <f t="shared" si="150"/>
        <v>0</v>
      </c>
      <c r="Y88" s="33">
        <f t="shared" si="151"/>
        <v>0</v>
      </c>
      <c r="Z88" s="33">
        <f t="shared" si="152"/>
        <v>0</v>
      </c>
      <c r="AA88" s="33">
        <f t="shared" si="153"/>
        <v>0</v>
      </c>
      <c r="AB88" s="246"/>
      <c r="AC88" s="247"/>
      <c r="AZ88" s="148" t="str">
        <f t="shared" si="60"/>
        <v>3.63</v>
      </c>
      <c r="BA88" s="149">
        <v>0</v>
      </c>
    </row>
    <row r="89" spans="1:53" outlineLevel="1">
      <c r="A89" s="148" t="str">
        <f t="shared" si="59"/>
        <v>3.64</v>
      </c>
      <c r="B89" s="148" t="str">
        <f>INDEX('Standard working hours - CAE'!$A$1:$I$105,MATCH($C89,'Standard working hours - CAE'!$A$1:$A$105,0),MATCH(B$24,'Standard working hours - CAE'!$A$1:$I$1,0))</f>
        <v>LE</v>
      </c>
      <c r="C89" s="149" t="s">
        <v>258</v>
      </c>
      <c r="D89" s="153" t="str">
        <f>INDEX('Standard working hours - CAE'!$A$1:$I$105,MATCH($C89,'Standard working hours - CAE'!$A$1:$A$105,0),MATCH(D$24,'Standard working hours - CAE'!$A$1:$I$1,0))</f>
        <v>VR cardboard - Diesel (DOC+DPF)</v>
      </c>
      <c r="E89" s="51" t="str">
        <f>IF('Project information'!$A$4="","",'Project information'!$A$4)</f>
        <v>China</v>
      </c>
      <c r="F89" s="149" t="str">
        <f>INDEX('Standard working hours - CAE'!$A$1:$I$105,MATCH($C89,'Standard working hours - CAE'!$A$1:$A$105,0),MATCH(F$24,'Standard working hours - CAE'!$A$1:$I$1,0))</f>
        <v>Faurecia</v>
      </c>
      <c r="G89" s="149">
        <f>INDEX('Standard working hours - CAE'!$A$1:$I$105,MATCH($C89,'Standard working hours - CAE'!$A$1:$A$105,0),MATCH(G$24,'Standard working hours - CAE'!$A$1:$I$1,0))</f>
        <v>0</v>
      </c>
      <c r="H89" s="46"/>
      <c r="I89" s="46"/>
      <c r="J89" s="46"/>
      <c r="K89" s="46"/>
      <c r="L89" s="46"/>
      <c r="M89" s="33">
        <f t="shared" si="122"/>
        <v>0</v>
      </c>
      <c r="N89" s="157">
        <f>IF(E89="","",IF(ISERROR(INDEX('Standard working hours - CAE'!$A$1:$I$105,MATCH($C89,'Standard working hours - CAE'!$A$1:$A$105,0),MATCH($E89,'Standard working hours - CAE'!$A$1:$I$1,0))*INDEX('Standard hourly rate'!$A$1:$E$14,MATCH("CAE",'Standard hourly rate'!$A$1:$A$14,0),MATCH($E89,'Standard hourly rate'!$A$1:$E$1,0))),"NA",INDEX('Standard working hours - CAE'!$A$1:$I$105,MATCH($C89,'Standard working hours - CAE'!$A$1:$A$105,0),MATCH($E89,'Standard working hours - CAE'!$A$1:$I$1,0))*INDEX('Standard hourly rate'!$A$1:$E$14,MATCH("CAE",'Standard hourly rate'!$A$1:$A$14,0),MATCH($E89,'Standard hourly rate'!$A$1:$E$1,0))))</f>
        <v>19760</v>
      </c>
      <c r="O89" s="45">
        <f>IF(OR(ISERROR($N89),$N89="",$N89="NA"),0,H89*$N89)*(1+INDEX('For Finance Control'!$B$27:$E$29,3,MATCH('Project information'!$A$4,'For Finance Control'!$B$27:$E$27,0)))</f>
        <v>0</v>
      </c>
      <c r="P89" s="45">
        <f>IF(OR(ISERROR($N89),$N89="",$N89="NA"),0,I89*$N89)*(1+INDEX('For Finance Control'!$B$27:$E$29,3,MATCH('Project information'!$A$4,'For Finance Control'!$B$27:$E$27,0)))</f>
        <v>0</v>
      </c>
      <c r="Q89" s="45">
        <f>IF(OR(ISERROR($N89),$N89="",$N89="NA"),0,J89*$N89)*(1+INDEX('For Finance Control'!$B$27:$E$29,3,MATCH('Project information'!$A$4,'For Finance Control'!$B$27:$E$27,0)))</f>
        <v>0</v>
      </c>
      <c r="R89" s="45">
        <f>IF(OR(ISERROR($N89),$N89="",$N89="NA"),0,K89*$N89)*(1+INDEX('For Finance Control'!$B$27:$E$29,3,MATCH('Project information'!$A$4,'For Finance Control'!$B$27:$E$27,0)))</f>
        <v>0</v>
      </c>
      <c r="S89" s="45">
        <f>IF(OR(ISERROR($N89),$N89="",$N89="NA"),0,L89*$N89)*(1+INDEX('For Finance Control'!$B$27:$E$29,3,MATCH('Project information'!$A$4,'For Finance Control'!$B$27:$E$27,0)))</f>
        <v>0</v>
      </c>
      <c r="T89" s="45">
        <f t="shared" si="147"/>
        <v>0</v>
      </c>
      <c r="U89" s="33" cm="1">
        <f t="array" ref="U89">IF($N89="NA","NA",$N89*INDEX('Exchange rate'!$A$1:$G$7,MATCH('Project information'!$A$13,'Exchange rate'!$A$1:$A$7,0),MATCH(LOOKUP(2,1/({"China";"Korea";"India";"Japan";"EUR";"NAO"}=$E89),{"CNY";"KRW";"INR";"JPY";"EUR";"USD"}),'Exchange rate'!$A$1:$G$1,0)))</f>
        <v>19760</v>
      </c>
      <c r="V89" s="33">
        <f t="shared" si="148"/>
        <v>0</v>
      </c>
      <c r="W89" s="33">
        <f t="shared" si="149"/>
        <v>0</v>
      </c>
      <c r="X89" s="33">
        <f t="shared" si="150"/>
        <v>0</v>
      </c>
      <c r="Y89" s="33">
        <f t="shared" si="151"/>
        <v>0</v>
      </c>
      <c r="Z89" s="33">
        <f t="shared" si="152"/>
        <v>0</v>
      </c>
      <c r="AA89" s="33">
        <f t="shared" si="153"/>
        <v>0</v>
      </c>
      <c r="AB89" s="246"/>
      <c r="AC89" s="247"/>
      <c r="AZ89" s="148" t="str">
        <f t="shared" si="60"/>
        <v>3.64</v>
      </c>
      <c r="BA89" s="149">
        <v>0</v>
      </c>
    </row>
    <row r="90" spans="1:53" outlineLevel="1">
      <c r="A90" s="148" t="str">
        <f t="shared" si="59"/>
        <v>3.65</v>
      </c>
      <c r="B90" s="148" t="str">
        <f>INDEX('Standard working hours - CAE'!$A$1:$I$105,MATCH($C90,'Standard working hours - CAE'!$A$1:$A$105,0),MATCH(B$24,'Standard working hours - CAE'!$A$1:$I$1,0))</f>
        <v>LE</v>
      </c>
      <c r="C90" s="149" t="s">
        <v>259</v>
      </c>
      <c r="D90" s="153" t="str">
        <f>INDEX('Standard working hours - CAE'!$A$1:$I$105,MATCH($C90,'Standard working hours - CAE'!$A$1:$A$105,0),MATCH(D$24,'Standard working hours - CAE'!$A$1:$I$1,0))</f>
        <v>VR cardboard - UCC</v>
      </c>
      <c r="E90" s="51" t="str">
        <f>IF('Project information'!$A$4="","",'Project information'!$A$4)</f>
        <v>China</v>
      </c>
      <c r="F90" s="149" t="str">
        <f>INDEX('Standard working hours - CAE'!$A$1:$I$105,MATCH($C90,'Standard working hours - CAE'!$A$1:$A$105,0),MATCH(F$24,'Standard working hours - CAE'!$A$1:$I$1,0))</f>
        <v>Faurecia</v>
      </c>
      <c r="G90" s="149">
        <f>INDEX('Standard working hours - CAE'!$A$1:$I$105,MATCH($C90,'Standard working hours - CAE'!$A$1:$A$105,0),MATCH(G$24,'Standard working hours - CAE'!$A$1:$I$1,0))</f>
        <v>0</v>
      </c>
      <c r="H90" s="46"/>
      <c r="I90" s="46"/>
      <c r="J90" s="46"/>
      <c r="K90" s="46"/>
      <c r="L90" s="46"/>
      <c r="M90" s="33">
        <f t="shared" si="122"/>
        <v>0</v>
      </c>
      <c r="N90" s="157">
        <f>IF(E90="","",IF(ISERROR(INDEX('Standard working hours - CAE'!$A$1:$I$105,MATCH($C90,'Standard working hours - CAE'!$A$1:$A$105,0),MATCH($E90,'Standard working hours - CAE'!$A$1:$I$1,0))*INDEX('Standard hourly rate'!$A$1:$E$14,MATCH("CAE",'Standard hourly rate'!$A$1:$A$14,0),MATCH($E90,'Standard hourly rate'!$A$1:$E$1,0))),"NA",INDEX('Standard working hours - CAE'!$A$1:$I$105,MATCH($C90,'Standard working hours - CAE'!$A$1:$A$105,0),MATCH($E90,'Standard working hours - CAE'!$A$1:$I$1,0))*INDEX('Standard hourly rate'!$A$1:$E$14,MATCH("CAE",'Standard hourly rate'!$A$1:$A$14,0),MATCH($E90,'Standard hourly rate'!$A$1:$E$1,0))))</f>
        <v>15808</v>
      </c>
      <c r="O90" s="45">
        <f>IF(OR(ISERROR($N90),$N90="",$N90="NA"),0,H90*$N90)*(1+INDEX('For Finance Control'!$B$27:$E$29,3,MATCH('Project information'!$A$4,'For Finance Control'!$B$27:$E$27,0)))</f>
        <v>0</v>
      </c>
      <c r="P90" s="45">
        <f>IF(OR(ISERROR($N90),$N90="",$N90="NA"),0,I90*$N90)*(1+INDEX('For Finance Control'!$B$27:$E$29,3,MATCH('Project information'!$A$4,'For Finance Control'!$B$27:$E$27,0)))</f>
        <v>0</v>
      </c>
      <c r="Q90" s="45">
        <f>IF(OR(ISERROR($N90),$N90="",$N90="NA"),0,J90*$N90)*(1+INDEX('For Finance Control'!$B$27:$E$29,3,MATCH('Project information'!$A$4,'For Finance Control'!$B$27:$E$27,0)))</f>
        <v>0</v>
      </c>
      <c r="R90" s="45">
        <f>IF(OR(ISERROR($N90),$N90="",$N90="NA"),0,K90*$N90)*(1+INDEX('For Finance Control'!$B$27:$E$29,3,MATCH('Project information'!$A$4,'For Finance Control'!$B$27:$E$27,0)))</f>
        <v>0</v>
      </c>
      <c r="S90" s="45">
        <f>IF(OR(ISERROR($N90),$N90="",$N90="NA"),0,L90*$N90)*(1+INDEX('For Finance Control'!$B$27:$E$29,3,MATCH('Project information'!$A$4,'For Finance Control'!$B$27:$E$27,0)))</f>
        <v>0</v>
      </c>
      <c r="T90" s="45">
        <f t="shared" si="147"/>
        <v>0</v>
      </c>
      <c r="U90" s="33" cm="1">
        <f t="array" ref="U90">IF($N90="NA","NA",$N90*INDEX('Exchange rate'!$A$1:$G$7,MATCH('Project information'!$A$13,'Exchange rate'!$A$1:$A$7,0),MATCH(LOOKUP(2,1/({"China";"Korea";"India";"Japan";"EUR";"NAO"}=$E90),{"CNY";"KRW";"INR";"JPY";"EUR";"USD"}),'Exchange rate'!$A$1:$G$1,0)))</f>
        <v>15808</v>
      </c>
      <c r="V90" s="33">
        <f t="shared" si="148"/>
        <v>0</v>
      </c>
      <c r="W90" s="33">
        <f t="shared" si="149"/>
        <v>0</v>
      </c>
      <c r="X90" s="33">
        <f t="shared" si="150"/>
        <v>0</v>
      </c>
      <c r="Y90" s="33">
        <f t="shared" si="151"/>
        <v>0</v>
      </c>
      <c r="Z90" s="33">
        <f t="shared" si="152"/>
        <v>0</v>
      </c>
      <c r="AA90" s="33">
        <f t="shared" si="153"/>
        <v>0</v>
      </c>
      <c r="AB90" s="246"/>
      <c r="AC90" s="247"/>
      <c r="AZ90" s="148" t="str">
        <f t="shared" si="60"/>
        <v>3.65</v>
      </c>
      <c r="BA90" s="149">
        <v>0</v>
      </c>
    </row>
    <row r="91" spans="1:53" outlineLevel="1">
      <c r="A91" s="148" t="str">
        <f t="shared" si="59"/>
        <v>3.66</v>
      </c>
      <c r="B91" s="148" t="str">
        <f>INDEX('Standard working hours - CAE'!$A$1:$I$105,MATCH($C91,'Standard working hours - CAE'!$A$1:$A$105,0),MATCH(B$24,'Standard working hours - CAE'!$A$1:$I$1,0))</f>
        <v>LE</v>
      </c>
      <c r="C91" s="149" t="s">
        <v>260</v>
      </c>
      <c r="D91" s="153" t="str">
        <f>INDEX('Standard working hours - CAE'!$A$1:$I$105,MATCH($C91,'Standard working hours - CAE'!$A$1:$A$105,0),MATCH(D$24,'Standard working hours - CAE'!$A$1:$I$1,0))</f>
        <v>VR cardboard - Turbo HE + UCC</v>
      </c>
      <c r="E91" s="51" t="str">
        <f>IF('Project information'!$A$4="","",'Project information'!$A$4)</f>
        <v>China</v>
      </c>
      <c r="F91" s="149" t="str">
        <f>INDEX('Standard working hours - CAE'!$A$1:$I$105,MATCH($C91,'Standard working hours - CAE'!$A$1:$A$105,0),MATCH(F$24,'Standard working hours - CAE'!$A$1:$I$1,0))</f>
        <v>Faurecia</v>
      </c>
      <c r="G91" s="149">
        <f>INDEX('Standard working hours - CAE'!$A$1:$I$105,MATCH($C91,'Standard working hours - CAE'!$A$1:$A$105,0),MATCH(G$24,'Standard working hours - CAE'!$A$1:$I$1,0))</f>
        <v>0</v>
      </c>
      <c r="H91" s="46"/>
      <c r="I91" s="46"/>
      <c r="J91" s="46"/>
      <c r="K91" s="46"/>
      <c r="L91" s="46"/>
      <c r="M91" s="33">
        <f t="shared" ref="M91:M98" si="154">SUM(H91:L91)</f>
        <v>0</v>
      </c>
      <c r="N91" s="157">
        <f>IF(E91="","",IF(ISERROR(INDEX('Standard working hours - CAE'!$A$1:$I$105,MATCH($C91,'Standard working hours - CAE'!$A$1:$A$105,0),MATCH($E91,'Standard working hours - CAE'!$A$1:$I$1,0))*INDEX('Standard hourly rate'!$A$1:$E$14,MATCH("CAE",'Standard hourly rate'!$A$1:$A$14,0),MATCH($E91,'Standard hourly rate'!$A$1:$E$1,0))),"NA",INDEX('Standard working hours - CAE'!$A$1:$I$105,MATCH($C91,'Standard working hours - CAE'!$A$1:$A$105,0),MATCH($E91,'Standard working hours - CAE'!$A$1:$I$1,0))*INDEX('Standard hourly rate'!$A$1:$E$14,MATCH("CAE",'Standard hourly rate'!$A$1:$A$14,0),MATCH($E91,'Standard hourly rate'!$A$1:$E$1,0))))</f>
        <v>19760</v>
      </c>
      <c r="O91" s="45">
        <f>IF(OR(ISERROR($N91),$N91="",$N91="NA"),0,H91*$N91)*(1+INDEX('For Finance Control'!$B$27:$E$29,3,MATCH('Project information'!$A$4,'For Finance Control'!$B$27:$E$27,0)))</f>
        <v>0</v>
      </c>
      <c r="P91" s="45">
        <f>IF(OR(ISERROR($N91),$N91="",$N91="NA"),0,I91*$N91)*(1+INDEX('For Finance Control'!$B$27:$E$29,3,MATCH('Project information'!$A$4,'For Finance Control'!$B$27:$E$27,0)))</f>
        <v>0</v>
      </c>
      <c r="Q91" s="45">
        <f>IF(OR(ISERROR($N91),$N91="",$N91="NA"),0,J91*$N91)*(1+INDEX('For Finance Control'!$B$27:$E$29,3,MATCH('Project information'!$A$4,'For Finance Control'!$B$27:$E$27,0)))</f>
        <v>0</v>
      </c>
      <c r="R91" s="45">
        <f>IF(OR(ISERROR($N91),$N91="",$N91="NA"),0,K91*$N91)*(1+INDEX('For Finance Control'!$B$27:$E$29,3,MATCH('Project information'!$A$4,'For Finance Control'!$B$27:$E$27,0)))</f>
        <v>0</v>
      </c>
      <c r="S91" s="45">
        <f>IF(OR(ISERROR($N91),$N91="",$N91="NA"),0,L91*$N91)*(1+INDEX('For Finance Control'!$B$27:$E$29,3,MATCH('Project information'!$A$4,'For Finance Control'!$B$27:$E$27,0)))</f>
        <v>0</v>
      </c>
      <c r="T91" s="45">
        <f t="shared" ref="T91:T98" si="155">SUM(O91:S91)</f>
        <v>0</v>
      </c>
      <c r="U91" s="33" cm="1">
        <f t="array" ref="U91">IF($N91="NA","NA",$N91*INDEX('Exchange rate'!$A$1:$G$7,MATCH('Project information'!$A$13,'Exchange rate'!$A$1:$A$7,0),MATCH(LOOKUP(2,1/({"China";"Korea";"India";"Japan";"EUR";"NAO"}=$E91),{"CNY";"KRW";"INR";"JPY";"EUR";"USD"}),'Exchange rate'!$A$1:$G$1,0)))</f>
        <v>19760</v>
      </c>
      <c r="V91" s="33">
        <f t="shared" ref="V91:V98" si="156">IF(OR(ISERROR($U91),$U91="",$U91="NA"),0,H91*$U91)</f>
        <v>0</v>
      </c>
      <c r="W91" s="33">
        <f t="shared" ref="W91:W98" si="157">IF(OR(ISERROR($U91),$U91="",$U91="NA"),0,I91*$U91)</f>
        <v>0</v>
      </c>
      <c r="X91" s="33">
        <f t="shared" ref="X91:X98" si="158">IF(OR(ISERROR($U91),$U91="",$U91="NA"),0,J91*$U91)</f>
        <v>0</v>
      </c>
      <c r="Y91" s="33">
        <f t="shared" ref="Y91:Y98" si="159">IF(OR(ISERROR($U91),$U91="",$U91="NA"),0,K91*$U91)</f>
        <v>0</v>
      </c>
      <c r="Z91" s="33">
        <f t="shared" ref="Z91:Z98" si="160">IF(OR(ISERROR($U91),$U91="",$U91="NA"),0,L91*$U91)</f>
        <v>0</v>
      </c>
      <c r="AA91" s="33">
        <f t="shared" ref="AA91:AA98" si="161">SUM(V91:Z91)</f>
        <v>0</v>
      </c>
      <c r="AB91" s="246"/>
      <c r="AC91" s="247"/>
      <c r="AZ91" s="148" t="str">
        <f t="shared" si="60"/>
        <v>3.66</v>
      </c>
      <c r="BA91" s="149">
        <v>0</v>
      </c>
    </row>
    <row r="92" spans="1:53" ht="25" outlineLevel="1">
      <c r="A92" s="148" t="str">
        <f t="shared" si="59"/>
        <v>3.67</v>
      </c>
      <c r="B92" s="148" t="str">
        <f>INDEX('Standard working hours - CAE'!$A$1:$I$105,MATCH($C92,'Standard working hours - CAE'!$A$1:$A$105,0),MATCH(B$24,'Standard working hours - CAE'!$A$1:$I$1,0))</f>
        <v>LE</v>
      </c>
      <c r="C92" s="149" t="s">
        <v>261</v>
      </c>
      <c r="D92" s="153" t="str">
        <f>INDEX('Standard working hours - CAE'!$A$1:$I$105,MATCH($C92,'Standard working hours - CAE'!$A$1:$A$105,0),MATCH(D$24,'Standard working hours - CAE'!$A$1:$I$1,0))</f>
        <v>VR cardboard - Diesel (DOC+SDPF) Compact</v>
      </c>
      <c r="E92" s="51" t="str">
        <f>IF('Project information'!$A$4="","",'Project information'!$A$4)</f>
        <v>China</v>
      </c>
      <c r="F92" s="149" t="str">
        <f>INDEX('Standard working hours - CAE'!$A$1:$I$105,MATCH($C92,'Standard working hours - CAE'!$A$1:$A$105,0),MATCH(F$24,'Standard working hours - CAE'!$A$1:$I$1,0))</f>
        <v>Faurecia</v>
      </c>
      <c r="G92" s="149">
        <f>INDEX('Standard working hours - CAE'!$A$1:$I$105,MATCH($C92,'Standard working hours - CAE'!$A$1:$A$105,0),MATCH(G$24,'Standard working hours - CAE'!$A$1:$I$1,0))</f>
        <v>0</v>
      </c>
      <c r="H92" s="46"/>
      <c r="I92" s="46"/>
      <c r="J92" s="46"/>
      <c r="K92" s="46"/>
      <c r="L92" s="46"/>
      <c r="M92" s="33">
        <f t="shared" si="154"/>
        <v>0</v>
      </c>
      <c r="N92" s="157">
        <f>IF(E92="","",IF(ISERROR(INDEX('Standard working hours - CAE'!$A$1:$I$105,MATCH($C92,'Standard working hours - CAE'!$A$1:$A$105,0),MATCH($E92,'Standard working hours - CAE'!$A$1:$I$1,0))*INDEX('Standard hourly rate'!$A$1:$E$14,MATCH("CAE",'Standard hourly rate'!$A$1:$A$14,0),MATCH($E92,'Standard hourly rate'!$A$1:$E$1,0))),"NA",INDEX('Standard working hours - CAE'!$A$1:$I$105,MATCH($C92,'Standard working hours - CAE'!$A$1:$A$105,0),MATCH($E92,'Standard working hours - CAE'!$A$1:$I$1,0))*INDEX('Standard hourly rate'!$A$1:$E$14,MATCH("CAE",'Standard hourly rate'!$A$1:$A$14,0),MATCH($E92,'Standard hourly rate'!$A$1:$E$1,0))))</f>
        <v>27664</v>
      </c>
      <c r="O92" s="45">
        <f>IF(OR(ISERROR($N92),$N92="",$N92="NA"),0,H92*$N92)*(1+INDEX('For Finance Control'!$B$27:$E$29,3,MATCH('Project information'!$A$4,'For Finance Control'!$B$27:$E$27,0)))</f>
        <v>0</v>
      </c>
      <c r="P92" s="45">
        <f>IF(OR(ISERROR($N92),$N92="",$N92="NA"),0,I92*$N92)*(1+INDEX('For Finance Control'!$B$27:$E$29,3,MATCH('Project information'!$A$4,'For Finance Control'!$B$27:$E$27,0)))</f>
        <v>0</v>
      </c>
      <c r="Q92" s="45">
        <f>IF(OR(ISERROR($N92),$N92="",$N92="NA"),0,J92*$N92)*(1+INDEX('For Finance Control'!$B$27:$E$29,3,MATCH('Project information'!$A$4,'For Finance Control'!$B$27:$E$27,0)))</f>
        <v>0</v>
      </c>
      <c r="R92" s="45">
        <f>IF(OR(ISERROR($N92),$N92="",$N92="NA"),0,K92*$N92)*(1+INDEX('For Finance Control'!$B$27:$E$29,3,MATCH('Project information'!$A$4,'For Finance Control'!$B$27:$E$27,0)))</f>
        <v>0</v>
      </c>
      <c r="S92" s="45">
        <f>IF(OR(ISERROR($N92),$N92="",$N92="NA"),0,L92*$N92)*(1+INDEX('For Finance Control'!$B$27:$E$29,3,MATCH('Project information'!$A$4,'For Finance Control'!$B$27:$E$27,0)))</f>
        <v>0</v>
      </c>
      <c r="T92" s="45">
        <f t="shared" si="155"/>
        <v>0</v>
      </c>
      <c r="U92" s="33" cm="1">
        <f t="array" ref="U92">IF($N92="NA","NA",$N92*INDEX('Exchange rate'!$A$1:$G$7,MATCH('Project information'!$A$13,'Exchange rate'!$A$1:$A$7,0),MATCH(LOOKUP(2,1/({"China";"Korea";"India";"Japan";"EUR";"NAO"}=$E92),{"CNY";"KRW";"INR";"JPY";"EUR";"USD"}),'Exchange rate'!$A$1:$G$1,0)))</f>
        <v>27664</v>
      </c>
      <c r="V92" s="33">
        <f t="shared" si="156"/>
        <v>0</v>
      </c>
      <c r="W92" s="33">
        <f t="shared" si="157"/>
        <v>0</v>
      </c>
      <c r="X92" s="33">
        <f t="shared" si="158"/>
        <v>0</v>
      </c>
      <c r="Y92" s="33">
        <f t="shared" si="159"/>
        <v>0</v>
      </c>
      <c r="Z92" s="33">
        <f t="shared" si="160"/>
        <v>0</v>
      </c>
      <c r="AA92" s="33">
        <f t="shared" si="161"/>
        <v>0</v>
      </c>
      <c r="AB92" s="246"/>
      <c r="AC92" s="247"/>
      <c r="AZ92" s="148" t="str">
        <f t="shared" si="60"/>
        <v>3.67</v>
      </c>
      <c r="BA92" s="149">
        <v>0</v>
      </c>
    </row>
    <row r="93" spans="1:53" ht="25" outlineLevel="1">
      <c r="A93" s="148" t="str">
        <f t="shared" si="59"/>
        <v>3.68</v>
      </c>
      <c r="B93" s="148" t="str">
        <f>INDEX('Standard working hours - CAE'!$A$1:$I$105,MATCH($C93,'Standard working hours - CAE'!$A$1:$A$105,0),MATCH(B$24,'Standard working hours - CAE'!$A$1:$I$1,0))</f>
        <v>LE</v>
      </c>
      <c r="C93" s="149" t="s">
        <v>262</v>
      </c>
      <c r="D93" s="153" t="str">
        <f>INDEX('Standard working hours - CAE'!$A$1:$I$105,MATCH($C93,'Standard working hours - CAE'!$A$1:$A$105,0),MATCH(D$24,'Standard working hours - CAE'!$A$1:$I$1,0))</f>
        <v>VR cardboard - Diesel (DOC+DPF+SCR) Underfloor</v>
      </c>
      <c r="E93" s="51" t="str">
        <f>IF('Project information'!$A$4="","",'Project information'!$A$4)</f>
        <v>China</v>
      </c>
      <c r="F93" s="149" t="str">
        <f>INDEX('Standard working hours - CAE'!$A$1:$I$105,MATCH($C93,'Standard working hours - CAE'!$A$1:$A$105,0),MATCH(F$24,'Standard working hours - CAE'!$A$1:$I$1,0))</f>
        <v>Faurecia</v>
      </c>
      <c r="G93" s="149">
        <f>INDEX('Standard working hours - CAE'!$A$1:$I$105,MATCH($C93,'Standard working hours - CAE'!$A$1:$A$105,0),MATCH(G$24,'Standard working hours - CAE'!$A$1:$I$1,0))</f>
        <v>0</v>
      </c>
      <c r="H93" s="46"/>
      <c r="I93" s="46"/>
      <c r="J93" s="46"/>
      <c r="K93" s="46"/>
      <c r="L93" s="46"/>
      <c r="M93" s="33">
        <f t="shared" si="154"/>
        <v>0</v>
      </c>
      <c r="N93" s="157">
        <f>IF(E93="","",IF(ISERROR(INDEX('Standard working hours - CAE'!$A$1:$I$105,MATCH($C93,'Standard working hours - CAE'!$A$1:$A$105,0),MATCH($E93,'Standard working hours - CAE'!$A$1:$I$1,0))*INDEX('Standard hourly rate'!$A$1:$E$14,MATCH("CAE",'Standard hourly rate'!$A$1:$A$14,0),MATCH($E93,'Standard hourly rate'!$A$1:$E$1,0))),"NA",INDEX('Standard working hours - CAE'!$A$1:$I$105,MATCH($C93,'Standard working hours - CAE'!$A$1:$A$105,0),MATCH($E93,'Standard working hours - CAE'!$A$1:$I$1,0))*INDEX('Standard hourly rate'!$A$1:$E$14,MATCH("CAE",'Standard hourly rate'!$A$1:$A$14,0),MATCH($E93,'Standard hourly rate'!$A$1:$E$1,0))))</f>
        <v>23712</v>
      </c>
      <c r="O93" s="45">
        <f>IF(OR(ISERROR($N93),$N93="",$N93="NA"),0,H93*$N93)*(1+INDEX('For Finance Control'!$B$27:$E$29,3,MATCH('Project information'!$A$4,'For Finance Control'!$B$27:$E$27,0)))</f>
        <v>0</v>
      </c>
      <c r="P93" s="45">
        <f>IF(OR(ISERROR($N93),$N93="",$N93="NA"),0,I93*$N93)*(1+INDEX('For Finance Control'!$B$27:$E$29,3,MATCH('Project information'!$A$4,'For Finance Control'!$B$27:$E$27,0)))</f>
        <v>0</v>
      </c>
      <c r="Q93" s="45">
        <f>IF(OR(ISERROR($N93),$N93="",$N93="NA"),0,J93*$N93)*(1+INDEX('For Finance Control'!$B$27:$E$29,3,MATCH('Project information'!$A$4,'For Finance Control'!$B$27:$E$27,0)))</f>
        <v>0</v>
      </c>
      <c r="R93" s="45">
        <f>IF(OR(ISERROR($N93),$N93="",$N93="NA"),0,K93*$N93)*(1+INDEX('For Finance Control'!$B$27:$E$29,3,MATCH('Project information'!$A$4,'For Finance Control'!$B$27:$E$27,0)))</f>
        <v>0</v>
      </c>
      <c r="S93" s="45">
        <f>IF(OR(ISERROR($N93),$N93="",$N93="NA"),0,L93*$N93)*(1+INDEX('For Finance Control'!$B$27:$E$29,3,MATCH('Project information'!$A$4,'For Finance Control'!$B$27:$E$27,0)))</f>
        <v>0</v>
      </c>
      <c r="T93" s="45">
        <f t="shared" si="155"/>
        <v>0</v>
      </c>
      <c r="U93" s="33" cm="1">
        <f t="array" ref="U93">IF($N93="NA","NA",$N93*INDEX('Exchange rate'!$A$1:$G$7,MATCH('Project information'!$A$13,'Exchange rate'!$A$1:$A$7,0),MATCH(LOOKUP(2,1/({"China";"Korea";"India";"Japan";"EUR";"NAO"}=$E93),{"CNY";"KRW";"INR";"JPY";"EUR";"USD"}),'Exchange rate'!$A$1:$G$1,0)))</f>
        <v>23712</v>
      </c>
      <c r="V93" s="33">
        <f t="shared" si="156"/>
        <v>0</v>
      </c>
      <c r="W93" s="33">
        <f t="shared" si="157"/>
        <v>0</v>
      </c>
      <c r="X93" s="33">
        <f t="shared" si="158"/>
        <v>0</v>
      </c>
      <c r="Y93" s="33">
        <f t="shared" si="159"/>
        <v>0</v>
      </c>
      <c r="Z93" s="33">
        <f t="shared" si="160"/>
        <v>0</v>
      </c>
      <c r="AA93" s="33">
        <f t="shared" si="161"/>
        <v>0</v>
      </c>
      <c r="AB93" s="246"/>
      <c r="AC93" s="247"/>
      <c r="AZ93" s="148" t="str">
        <f t="shared" si="60"/>
        <v>3.68</v>
      </c>
      <c r="BA93" s="149">
        <v>0</v>
      </c>
    </row>
    <row r="94" spans="1:53" ht="25" outlineLevel="1">
      <c r="A94" s="148" t="str">
        <f t="shared" si="59"/>
        <v>3.69</v>
      </c>
      <c r="B94" s="148" t="str">
        <f>INDEX('Standard working hours - CAE'!$A$1:$I$105,MATCH($C94,'Standard working hours - CAE'!$A$1:$A$105,0),MATCH(B$24,'Standard working hours - CAE'!$A$1:$I$1,0))</f>
        <v>LE</v>
      </c>
      <c r="C94" s="149" t="s">
        <v>263</v>
      </c>
      <c r="D94" s="153" t="str">
        <f>INDEX('Standard working hours - CAE'!$A$1:$I$105,MATCH($C94,'Standard working hours - CAE'!$A$1:$A$105,0),MATCH(D$24,'Standard working hours - CAE'!$A$1:$I$1,0))</f>
        <v xml:space="preserve">VR cardboard - Cold end simple design </v>
      </c>
      <c r="E94" s="51" t="str">
        <f>IF('Project information'!$A$4="","",'Project information'!$A$4)</f>
        <v>China</v>
      </c>
      <c r="F94" s="149" t="str">
        <f>INDEX('Standard working hours - CAE'!$A$1:$I$105,MATCH($C94,'Standard working hours - CAE'!$A$1:$A$105,0),MATCH(F$24,'Standard working hours - CAE'!$A$1:$I$1,0))</f>
        <v>Faurecia</v>
      </c>
      <c r="G94" s="149">
        <f>INDEX('Standard working hours - CAE'!$A$1:$I$105,MATCH($C94,'Standard working hours - CAE'!$A$1:$A$105,0),MATCH(G$24,'Standard working hours - CAE'!$A$1:$I$1,0))</f>
        <v>0</v>
      </c>
      <c r="H94" s="46"/>
      <c r="I94" s="46"/>
      <c r="J94" s="46"/>
      <c r="K94" s="46"/>
      <c r="L94" s="46"/>
      <c r="M94" s="33">
        <f t="shared" si="154"/>
        <v>0</v>
      </c>
      <c r="N94" s="157">
        <f>IF(E94="","",IF(ISERROR(INDEX('Standard working hours - CAE'!$A$1:$I$105,MATCH($C94,'Standard working hours - CAE'!$A$1:$A$105,0),MATCH($E94,'Standard working hours - CAE'!$A$1:$I$1,0))*INDEX('Standard hourly rate'!$A$1:$E$14,MATCH("CAE",'Standard hourly rate'!$A$1:$A$14,0),MATCH($E94,'Standard hourly rate'!$A$1:$E$1,0))),"NA",INDEX('Standard working hours - CAE'!$A$1:$I$105,MATCH($C94,'Standard working hours - CAE'!$A$1:$A$105,0),MATCH($E94,'Standard working hours - CAE'!$A$1:$I$1,0))*INDEX('Standard hourly rate'!$A$1:$E$14,MATCH("CAE",'Standard hourly rate'!$A$1:$A$14,0),MATCH($E94,'Standard hourly rate'!$A$1:$E$1,0))))</f>
        <v>19760</v>
      </c>
      <c r="O94" s="45">
        <f>IF(OR(ISERROR($N94),$N94="",$N94="NA"),0,H94*$N94)*(1+INDEX('For Finance Control'!$B$27:$E$29,3,MATCH('Project information'!$A$4,'For Finance Control'!$B$27:$E$27,0)))</f>
        <v>0</v>
      </c>
      <c r="P94" s="45">
        <f>IF(OR(ISERROR($N94),$N94="",$N94="NA"),0,I94*$N94)*(1+INDEX('For Finance Control'!$B$27:$E$29,3,MATCH('Project information'!$A$4,'For Finance Control'!$B$27:$E$27,0)))</f>
        <v>0</v>
      </c>
      <c r="Q94" s="45">
        <f>IF(OR(ISERROR($N94),$N94="",$N94="NA"),0,J94*$N94)*(1+INDEX('For Finance Control'!$B$27:$E$29,3,MATCH('Project information'!$A$4,'For Finance Control'!$B$27:$E$27,0)))</f>
        <v>0</v>
      </c>
      <c r="R94" s="45">
        <f>IF(OR(ISERROR($N94),$N94="",$N94="NA"),0,K94*$N94)*(1+INDEX('For Finance Control'!$B$27:$E$29,3,MATCH('Project information'!$A$4,'For Finance Control'!$B$27:$E$27,0)))</f>
        <v>0</v>
      </c>
      <c r="S94" s="45">
        <f>IF(OR(ISERROR($N94),$N94="",$N94="NA"),0,L94*$N94)*(1+INDEX('For Finance Control'!$B$27:$E$29,3,MATCH('Project information'!$A$4,'For Finance Control'!$B$27:$E$27,0)))</f>
        <v>0</v>
      </c>
      <c r="T94" s="45">
        <f t="shared" si="155"/>
        <v>0</v>
      </c>
      <c r="U94" s="33" cm="1">
        <f t="array" ref="U94">IF($N94="NA","NA",$N94*INDEX('Exchange rate'!$A$1:$G$7,MATCH('Project information'!$A$13,'Exchange rate'!$A$1:$A$7,0),MATCH(LOOKUP(2,1/({"China";"Korea";"India";"Japan";"EUR";"NAO"}=$E94),{"CNY";"KRW";"INR";"JPY";"EUR";"USD"}),'Exchange rate'!$A$1:$G$1,0)))</f>
        <v>19760</v>
      </c>
      <c r="V94" s="33">
        <f t="shared" si="156"/>
        <v>0</v>
      </c>
      <c r="W94" s="33">
        <f t="shared" si="157"/>
        <v>0</v>
      </c>
      <c r="X94" s="33">
        <f t="shared" si="158"/>
        <v>0</v>
      </c>
      <c r="Y94" s="33">
        <f t="shared" si="159"/>
        <v>0</v>
      </c>
      <c r="Z94" s="33">
        <f t="shared" si="160"/>
        <v>0</v>
      </c>
      <c r="AA94" s="33">
        <f t="shared" si="161"/>
        <v>0</v>
      </c>
      <c r="AB94" s="246"/>
      <c r="AC94" s="247"/>
      <c r="AZ94" s="148" t="str">
        <f t="shared" si="60"/>
        <v>3.69</v>
      </c>
      <c r="BA94" s="149">
        <v>0</v>
      </c>
    </row>
    <row r="95" spans="1:53" outlineLevel="1">
      <c r="A95" s="148" t="str">
        <f t="shared" si="59"/>
        <v>3.70</v>
      </c>
      <c r="B95" s="148" t="str">
        <f>INDEX('Standard working hours - CAE'!$A$1:$I$105,MATCH($C95,'Standard working hours - CAE'!$A$1:$A$105,0),MATCH(B$24,'Standard working hours - CAE'!$A$1:$I$1,0))</f>
        <v>LE</v>
      </c>
      <c r="C95" s="149" t="s">
        <v>264</v>
      </c>
      <c r="D95" s="153" t="str">
        <f>INDEX('Standard working hours - CAE'!$A$1:$I$105,MATCH($C95,'Standard working hours - CAE'!$A$1:$A$105,0),MATCH(D$24,'Standard working hours - CAE'!$A$1:$I$1,0))</f>
        <v>VR cardboard - Cold end complex</v>
      </c>
      <c r="E95" s="51" t="str">
        <f>IF('Project information'!$A$4="","",'Project information'!$A$4)</f>
        <v>China</v>
      </c>
      <c r="F95" s="149" t="str">
        <f>INDEX('Standard working hours - CAE'!$A$1:$I$105,MATCH($C95,'Standard working hours - CAE'!$A$1:$A$105,0),MATCH(F$24,'Standard working hours - CAE'!$A$1:$I$1,0))</f>
        <v>Faurecia</v>
      </c>
      <c r="G95" s="149">
        <f>INDEX('Standard working hours - CAE'!$A$1:$I$105,MATCH($C95,'Standard working hours - CAE'!$A$1:$A$105,0),MATCH(G$24,'Standard working hours - CAE'!$A$1:$I$1,0))</f>
        <v>0</v>
      </c>
      <c r="H95" s="46"/>
      <c r="I95" s="46"/>
      <c r="J95" s="46"/>
      <c r="K95" s="46"/>
      <c r="L95" s="46"/>
      <c r="M95" s="33">
        <f t="shared" si="154"/>
        <v>0</v>
      </c>
      <c r="N95" s="157">
        <f>IF(E95="","",IF(ISERROR(INDEX('Standard working hours - CAE'!$A$1:$I$105,MATCH($C95,'Standard working hours - CAE'!$A$1:$A$105,0),MATCH($E95,'Standard working hours - CAE'!$A$1:$I$1,0))*INDEX('Standard hourly rate'!$A$1:$E$14,MATCH("CAE",'Standard hourly rate'!$A$1:$A$14,0),MATCH($E95,'Standard hourly rate'!$A$1:$E$1,0))),"NA",INDEX('Standard working hours - CAE'!$A$1:$I$105,MATCH($C95,'Standard working hours - CAE'!$A$1:$A$105,0),MATCH($E95,'Standard working hours - CAE'!$A$1:$I$1,0))*INDEX('Standard hourly rate'!$A$1:$E$14,MATCH("CAE",'Standard hourly rate'!$A$1:$A$14,0),MATCH($E95,'Standard hourly rate'!$A$1:$E$1,0))))</f>
        <v>23712</v>
      </c>
      <c r="O95" s="45">
        <f>IF(OR(ISERROR($N95),$N95="",$N95="NA"),0,H95*$N95)*(1+INDEX('For Finance Control'!$B$27:$E$29,3,MATCH('Project information'!$A$4,'For Finance Control'!$B$27:$E$27,0)))</f>
        <v>0</v>
      </c>
      <c r="P95" s="45">
        <f>IF(OR(ISERROR($N95),$N95="",$N95="NA"),0,I95*$N95)*(1+INDEX('For Finance Control'!$B$27:$E$29,3,MATCH('Project information'!$A$4,'For Finance Control'!$B$27:$E$27,0)))</f>
        <v>0</v>
      </c>
      <c r="Q95" s="45">
        <f>IF(OR(ISERROR($N95),$N95="",$N95="NA"),0,J95*$N95)*(1+INDEX('For Finance Control'!$B$27:$E$29,3,MATCH('Project information'!$A$4,'For Finance Control'!$B$27:$E$27,0)))</f>
        <v>0</v>
      </c>
      <c r="R95" s="45">
        <f>IF(OR(ISERROR($N95),$N95="",$N95="NA"),0,K95*$N95)*(1+INDEX('For Finance Control'!$B$27:$E$29,3,MATCH('Project information'!$A$4,'For Finance Control'!$B$27:$E$27,0)))</f>
        <v>0</v>
      </c>
      <c r="S95" s="45">
        <f>IF(OR(ISERROR($N95),$N95="",$N95="NA"),0,L95*$N95)*(1+INDEX('For Finance Control'!$B$27:$E$29,3,MATCH('Project information'!$A$4,'For Finance Control'!$B$27:$E$27,0)))</f>
        <v>0</v>
      </c>
      <c r="T95" s="45">
        <f t="shared" si="155"/>
        <v>0</v>
      </c>
      <c r="U95" s="33" cm="1">
        <f t="array" ref="U95">IF($N95="NA","NA",$N95*INDEX('Exchange rate'!$A$1:$G$7,MATCH('Project information'!$A$13,'Exchange rate'!$A$1:$A$7,0),MATCH(LOOKUP(2,1/({"China";"Korea";"India";"Japan";"EUR";"NAO"}=$E95),{"CNY";"KRW";"INR";"JPY";"EUR";"USD"}),'Exchange rate'!$A$1:$G$1,0)))</f>
        <v>23712</v>
      </c>
      <c r="V95" s="33">
        <f t="shared" si="156"/>
        <v>0</v>
      </c>
      <c r="W95" s="33">
        <f t="shared" si="157"/>
        <v>0</v>
      </c>
      <c r="X95" s="33">
        <f t="shared" si="158"/>
        <v>0</v>
      </c>
      <c r="Y95" s="33">
        <f t="shared" si="159"/>
        <v>0</v>
      </c>
      <c r="Z95" s="33">
        <f t="shared" si="160"/>
        <v>0</v>
      </c>
      <c r="AA95" s="33">
        <f t="shared" si="161"/>
        <v>0</v>
      </c>
      <c r="AB95" s="246"/>
      <c r="AC95" s="247"/>
      <c r="AZ95" s="148" t="str">
        <f t="shared" si="60"/>
        <v>3.70</v>
      </c>
      <c r="BA95" s="149">
        <v>0</v>
      </c>
    </row>
    <row r="96" spans="1:53" outlineLevel="1">
      <c r="A96" s="148" t="str">
        <f t="shared" si="59"/>
        <v>3.71</v>
      </c>
      <c r="B96" s="148" t="str">
        <f>INDEX('Standard working hours - CAE'!$A$1:$I$105,MATCH($C96,'Standard working hours - CAE'!$A$1:$A$105,0),MATCH(B$24,'Standard working hours - CAE'!$A$1:$I$1,0))</f>
        <v>CVI</v>
      </c>
      <c r="C96" s="149" t="s">
        <v>265</v>
      </c>
      <c r="D96" s="153" t="str">
        <f>INDEX('Standard working hours - CAE'!$A$1:$I$105,MATCH($C96,'Standard working hours - CAE'!$A$1:$A$105,0),MATCH(D$24,'Standard working hours - CAE'!$A$1:$I$1,0))</f>
        <v>Digital Factory - Box</v>
      </c>
      <c r="E96" s="51" t="str">
        <f>IF('Project information'!$A$4="","",'Project information'!$A$4)</f>
        <v>China</v>
      </c>
      <c r="F96" s="149" t="str">
        <f>INDEX('Standard working hours - CAE'!$A$1:$I$105,MATCH($C96,'Standard working hours - CAE'!$A$1:$A$105,0),MATCH(F$24,'Standard working hours - CAE'!$A$1:$I$1,0))</f>
        <v>Faurecia</v>
      </c>
      <c r="G96" s="149">
        <f>INDEX('Standard working hours - CAE'!$A$1:$I$105,MATCH($C96,'Standard working hours - CAE'!$A$1:$A$105,0),MATCH(G$24,'Standard working hours - CAE'!$A$1:$I$1,0))</f>
        <v>0</v>
      </c>
      <c r="H96" s="46"/>
      <c r="I96" s="46"/>
      <c r="J96" s="46"/>
      <c r="K96" s="46"/>
      <c r="L96" s="46"/>
      <c r="M96" s="33">
        <f t="shared" si="154"/>
        <v>0</v>
      </c>
      <c r="N96" s="157">
        <f>IF(E96="","",IF(ISERROR(INDEX('Standard working hours - CAE'!$A$1:$I$105,MATCH($C96,'Standard working hours - CAE'!$A$1:$A$105,0),MATCH($E96,'Standard working hours - CAE'!$A$1:$I$1,0))*INDEX('Standard hourly rate'!$A$1:$E$14,MATCH("CAE",'Standard hourly rate'!$A$1:$A$14,0),MATCH($E96,'Standard hourly rate'!$A$1:$E$1,0))),"NA",INDEX('Standard working hours - CAE'!$A$1:$I$105,MATCH($C96,'Standard working hours - CAE'!$A$1:$A$105,0),MATCH($E96,'Standard working hours - CAE'!$A$1:$I$1,0))*INDEX('Standard hourly rate'!$A$1:$E$14,MATCH("CAE",'Standard hourly rate'!$A$1:$A$14,0),MATCH($E96,'Standard hourly rate'!$A$1:$E$1,0))))</f>
        <v>59280</v>
      </c>
      <c r="O96" s="45">
        <f>IF(OR(ISERROR($N96),$N96="",$N96="NA"),0,H96*$N96)*(1+INDEX('For Finance Control'!$B$27:$E$29,3,MATCH('Project information'!$A$4,'For Finance Control'!$B$27:$E$27,0)))</f>
        <v>0</v>
      </c>
      <c r="P96" s="45">
        <f>IF(OR(ISERROR($N96),$N96="",$N96="NA"),0,I96*$N96)*(1+INDEX('For Finance Control'!$B$27:$E$29,3,MATCH('Project information'!$A$4,'For Finance Control'!$B$27:$E$27,0)))</f>
        <v>0</v>
      </c>
      <c r="Q96" s="45">
        <f>IF(OR(ISERROR($N96),$N96="",$N96="NA"),0,J96*$N96)*(1+INDEX('For Finance Control'!$B$27:$E$29,3,MATCH('Project information'!$A$4,'For Finance Control'!$B$27:$E$27,0)))</f>
        <v>0</v>
      </c>
      <c r="R96" s="45">
        <f>IF(OR(ISERROR($N96),$N96="",$N96="NA"),0,K96*$N96)*(1+INDEX('For Finance Control'!$B$27:$E$29,3,MATCH('Project information'!$A$4,'For Finance Control'!$B$27:$E$27,0)))</f>
        <v>0</v>
      </c>
      <c r="S96" s="45">
        <f>IF(OR(ISERROR($N96),$N96="",$N96="NA"),0,L96*$N96)*(1+INDEX('For Finance Control'!$B$27:$E$29,3,MATCH('Project information'!$A$4,'For Finance Control'!$B$27:$E$27,0)))</f>
        <v>0</v>
      </c>
      <c r="T96" s="45">
        <f t="shared" si="155"/>
        <v>0</v>
      </c>
      <c r="U96" s="33" cm="1">
        <f t="array" ref="U96">IF($N96="NA","NA",$N96*INDEX('Exchange rate'!$A$1:$G$7,MATCH('Project information'!$A$13,'Exchange rate'!$A$1:$A$7,0),MATCH(LOOKUP(2,1/({"China";"Korea";"India";"Japan";"EUR";"NAO"}=$E96),{"CNY";"KRW";"INR";"JPY";"EUR";"USD"}),'Exchange rate'!$A$1:$G$1,0)))</f>
        <v>59280</v>
      </c>
      <c r="V96" s="33">
        <f t="shared" si="156"/>
        <v>0</v>
      </c>
      <c r="W96" s="33">
        <f t="shared" si="157"/>
        <v>0</v>
      </c>
      <c r="X96" s="33">
        <f t="shared" si="158"/>
        <v>0</v>
      </c>
      <c r="Y96" s="33">
        <f t="shared" si="159"/>
        <v>0</v>
      </c>
      <c r="Z96" s="33">
        <f t="shared" si="160"/>
        <v>0</v>
      </c>
      <c r="AA96" s="33">
        <f t="shared" si="161"/>
        <v>0</v>
      </c>
      <c r="AB96" s="246"/>
      <c r="AC96" s="247"/>
      <c r="AZ96" s="148" t="str">
        <f t="shared" si="60"/>
        <v>3.71</v>
      </c>
      <c r="BA96" s="149">
        <v>0</v>
      </c>
    </row>
    <row r="97" spans="1:53" outlineLevel="1">
      <c r="A97" s="148" t="str">
        <f t="shared" si="59"/>
        <v>3.72</v>
      </c>
      <c r="B97" s="148" t="str">
        <f>INDEX('Standard working hours - CAE'!$A$1:$I$105,MATCH($C97,'Standard working hours - CAE'!$A$1:$A$105,0),MATCH(B$24,'Standard working hours - CAE'!$A$1:$I$1,0))</f>
        <v>CVI</v>
      </c>
      <c r="C97" s="149" t="s">
        <v>266</v>
      </c>
      <c r="D97" s="153" t="str">
        <f>INDEX('Standard working hours - CAE'!$A$1:$I$105,MATCH($C97,'Standard working hours - CAE'!$A$1:$A$105,0),MATCH(D$24,'Standard working hours - CAE'!$A$1:$I$1,0))</f>
        <v>Digital Factory - In-Line</v>
      </c>
      <c r="E97" s="51" t="str">
        <f>IF('Project information'!$A$4="","",'Project information'!$A$4)</f>
        <v>China</v>
      </c>
      <c r="F97" s="149" t="str">
        <f>INDEX('Standard working hours - CAE'!$A$1:$I$105,MATCH($C97,'Standard working hours - CAE'!$A$1:$A$105,0),MATCH(F$24,'Standard working hours - CAE'!$A$1:$I$1,0))</f>
        <v>Faurecia</v>
      </c>
      <c r="G97" s="149">
        <f>INDEX('Standard working hours - CAE'!$A$1:$I$105,MATCH($C97,'Standard working hours - CAE'!$A$1:$A$105,0),MATCH(G$24,'Standard working hours - CAE'!$A$1:$I$1,0))</f>
        <v>0</v>
      </c>
      <c r="H97" s="46"/>
      <c r="I97" s="46"/>
      <c r="J97" s="46"/>
      <c r="K97" s="46"/>
      <c r="L97" s="46"/>
      <c r="M97" s="33">
        <f t="shared" si="154"/>
        <v>0</v>
      </c>
      <c r="N97" s="157">
        <f>IF(E97="","",IF(ISERROR(INDEX('Standard working hours - CAE'!$A$1:$I$105,MATCH($C97,'Standard working hours - CAE'!$A$1:$A$105,0),MATCH($E97,'Standard working hours - CAE'!$A$1:$I$1,0))*INDEX('Standard hourly rate'!$A$1:$E$14,MATCH("CAE",'Standard hourly rate'!$A$1:$A$14,0),MATCH($E97,'Standard hourly rate'!$A$1:$E$1,0))),"NA",INDEX('Standard working hours - CAE'!$A$1:$I$105,MATCH($C97,'Standard working hours - CAE'!$A$1:$A$105,0),MATCH($E97,'Standard working hours - CAE'!$A$1:$I$1,0))*INDEX('Standard hourly rate'!$A$1:$E$14,MATCH("CAE",'Standard hourly rate'!$A$1:$A$14,0),MATCH($E97,'Standard hourly rate'!$A$1:$E$1,0))))</f>
        <v>39520</v>
      </c>
      <c r="O97" s="45">
        <f>IF(OR(ISERROR($N97),$N97="",$N97="NA"),0,H97*$N97)*(1+INDEX('For Finance Control'!$B$27:$E$29,3,MATCH('Project information'!$A$4,'For Finance Control'!$B$27:$E$27,0)))</f>
        <v>0</v>
      </c>
      <c r="P97" s="45">
        <f>IF(OR(ISERROR($N97),$N97="",$N97="NA"),0,I97*$N97)*(1+INDEX('For Finance Control'!$B$27:$E$29,3,MATCH('Project information'!$A$4,'For Finance Control'!$B$27:$E$27,0)))</f>
        <v>0</v>
      </c>
      <c r="Q97" s="45">
        <f>IF(OR(ISERROR($N97),$N97="",$N97="NA"),0,J97*$N97)*(1+INDEX('For Finance Control'!$B$27:$E$29,3,MATCH('Project information'!$A$4,'For Finance Control'!$B$27:$E$27,0)))</f>
        <v>0</v>
      </c>
      <c r="R97" s="45">
        <f>IF(OR(ISERROR($N97),$N97="",$N97="NA"),0,K97*$N97)*(1+INDEX('For Finance Control'!$B$27:$E$29,3,MATCH('Project information'!$A$4,'For Finance Control'!$B$27:$E$27,0)))</f>
        <v>0</v>
      </c>
      <c r="S97" s="45">
        <f>IF(OR(ISERROR($N97),$N97="",$N97="NA"),0,L97*$N97)*(1+INDEX('For Finance Control'!$B$27:$E$29,3,MATCH('Project information'!$A$4,'For Finance Control'!$B$27:$E$27,0)))</f>
        <v>0</v>
      </c>
      <c r="T97" s="45">
        <f t="shared" si="155"/>
        <v>0</v>
      </c>
      <c r="U97" s="33" cm="1">
        <f t="array" ref="U97">IF($N97="NA","NA",$N97*INDEX('Exchange rate'!$A$1:$G$7,MATCH('Project information'!$A$13,'Exchange rate'!$A$1:$A$7,0),MATCH(LOOKUP(2,1/({"China";"Korea";"India";"Japan";"EUR";"NAO"}=$E97),{"CNY";"KRW";"INR";"JPY";"EUR";"USD"}),'Exchange rate'!$A$1:$G$1,0)))</f>
        <v>39520</v>
      </c>
      <c r="V97" s="33">
        <f t="shared" si="156"/>
        <v>0</v>
      </c>
      <c r="W97" s="33">
        <f t="shared" si="157"/>
        <v>0</v>
      </c>
      <c r="X97" s="33">
        <f t="shared" si="158"/>
        <v>0</v>
      </c>
      <c r="Y97" s="33">
        <f t="shared" si="159"/>
        <v>0</v>
      </c>
      <c r="Z97" s="33">
        <f t="shared" si="160"/>
        <v>0</v>
      </c>
      <c r="AA97" s="33">
        <f t="shared" si="161"/>
        <v>0</v>
      </c>
      <c r="AB97" s="246"/>
      <c r="AC97" s="247"/>
      <c r="AZ97" s="148" t="str">
        <f t="shared" si="60"/>
        <v>3.72</v>
      </c>
      <c r="BA97" s="149">
        <v>0</v>
      </c>
    </row>
    <row r="98" spans="1:53" outlineLevel="1">
      <c r="A98" s="148" t="str">
        <f t="shared" si="59"/>
        <v>3.73</v>
      </c>
      <c r="B98" s="148" t="str">
        <f>INDEX('Standard working hours - CAE'!$A$1:$I$105,MATCH($C98,'Standard working hours - CAE'!$A$1:$A$105,0),MATCH(B$24,'Standard working hours - CAE'!$A$1:$I$1,0))</f>
        <v>CVI</v>
      </c>
      <c r="C98" s="149" t="s">
        <v>267</v>
      </c>
      <c r="D98" s="153" t="str">
        <f>INDEX('Standard working hours - CAE'!$A$1:$I$105,MATCH($C98,'Standard working hours - CAE'!$A$1:$A$105,0),MATCH(D$24,'Standard working hours - CAE'!$A$1:$I$1,0))</f>
        <v>Digital Factory - Switch back</v>
      </c>
      <c r="E98" s="51" t="str">
        <f>IF('Project information'!$A$4="","",'Project information'!$A$4)</f>
        <v>China</v>
      </c>
      <c r="F98" s="149" t="str">
        <f>INDEX('Standard working hours - CAE'!$A$1:$I$105,MATCH($C98,'Standard working hours - CAE'!$A$1:$A$105,0),MATCH(F$24,'Standard working hours - CAE'!$A$1:$I$1,0))</f>
        <v>Faurecia</v>
      </c>
      <c r="G98" s="149">
        <f>INDEX('Standard working hours - CAE'!$A$1:$I$105,MATCH($C98,'Standard working hours - CAE'!$A$1:$A$105,0),MATCH(G$24,'Standard working hours - CAE'!$A$1:$I$1,0))</f>
        <v>0</v>
      </c>
      <c r="H98" s="46"/>
      <c r="I98" s="46"/>
      <c r="J98" s="46"/>
      <c r="K98" s="46"/>
      <c r="L98" s="46"/>
      <c r="M98" s="33">
        <f t="shared" si="154"/>
        <v>0</v>
      </c>
      <c r="N98" s="157">
        <f>IF(E98="","",IF(ISERROR(INDEX('Standard working hours - CAE'!$A$1:$I$105,MATCH($C98,'Standard working hours - CAE'!$A$1:$A$105,0),MATCH($E98,'Standard working hours - CAE'!$A$1:$I$1,0))*INDEX('Standard hourly rate'!$A$1:$E$14,MATCH("CAE",'Standard hourly rate'!$A$1:$A$14,0),MATCH($E98,'Standard hourly rate'!$A$1:$E$1,0))),"NA",INDEX('Standard working hours - CAE'!$A$1:$I$105,MATCH($C98,'Standard working hours - CAE'!$A$1:$A$105,0),MATCH($E98,'Standard working hours - CAE'!$A$1:$I$1,0))*INDEX('Standard hourly rate'!$A$1:$E$14,MATCH("CAE",'Standard hourly rate'!$A$1:$A$14,0),MATCH($E98,'Standard hourly rate'!$A$1:$E$1,0))))</f>
        <v>59280</v>
      </c>
      <c r="O98" s="45">
        <f>IF(OR(ISERROR($N98),$N98="",$N98="NA"),0,H98*$N98)*(1+INDEX('For Finance Control'!$B$27:$E$29,3,MATCH('Project information'!$A$4,'For Finance Control'!$B$27:$E$27,0)))</f>
        <v>0</v>
      </c>
      <c r="P98" s="45">
        <f>IF(OR(ISERROR($N98),$N98="",$N98="NA"),0,I98*$N98)*(1+INDEX('For Finance Control'!$B$27:$E$29,3,MATCH('Project information'!$A$4,'For Finance Control'!$B$27:$E$27,0)))</f>
        <v>0</v>
      </c>
      <c r="Q98" s="45">
        <f>IF(OR(ISERROR($N98),$N98="",$N98="NA"),0,J98*$N98)*(1+INDEX('For Finance Control'!$B$27:$E$29,3,MATCH('Project information'!$A$4,'For Finance Control'!$B$27:$E$27,0)))</f>
        <v>0</v>
      </c>
      <c r="R98" s="45">
        <f>IF(OR(ISERROR($N98),$N98="",$N98="NA"),0,K98*$N98)*(1+INDEX('For Finance Control'!$B$27:$E$29,3,MATCH('Project information'!$A$4,'For Finance Control'!$B$27:$E$27,0)))</f>
        <v>0</v>
      </c>
      <c r="S98" s="45">
        <f>IF(OR(ISERROR($N98),$N98="",$N98="NA"),0,L98*$N98)*(1+INDEX('For Finance Control'!$B$27:$E$29,3,MATCH('Project information'!$A$4,'For Finance Control'!$B$27:$E$27,0)))</f>
        <v>0</v>
      </c>
      <c r="T98" s="45">
        <f t="shared" si="155"/>
        <v>0</v>
      </c>
      <c r="U98" s="33" cm="1">
        <f t="array" ref="U98">IF($N98="NA","NA",$N98*INDEX('Exchange rate'!$A$1:$G$7,MATCH('Project information'!$A$13,'Exchange rate'!$A$1:$A$7,0),MATCH(LOOKUP(2,1/({"China";"Korea";"India";"Japan";"EUR";"NAO"}=$E98),{"CNY";"KRW";"INR";"JPY";"EUR";"USD"}),'Exchange rate'!$A$1:$G$1,0)))</f>
        <v>59280</v>
      </c>
      <c r="V98" s="33">
        <f t="shared" si="156"/>
        <v>0</v>
      </c>
      <c r="W98" s="33">
        <f t="shared" si="157"/>
        <v>0</v>
      </c>
      <c r="X98" s="33">
        <f t="shared" si="158"/>
        <v>0</v>
      </c>
      <c r="Y98" s="33">
        <f t="shared" si="159"/>
        <v>0</v>
      </c>
      <c r="Z98" s="33">
        <f t="shared" si="160"/>
        <v>0</v>
      </c>
      <c r="AA98" s="33">
        <f t="shared" si="161"/>
        <v>0</v>
      </c>
      <c r="AB98" s="246"/>
      <c r="AC98" s="247"/>
      <c r="AZ98" s="148" t="str">
        <f t="shared" si="60"/>
        <v>3.73</v>
      </c>
      <c r="BA98" s="149">
        <v>0</v>
      </c>
    </row>
    <row r="99" spans="1:53" outlineLevel="1">
      <c r="A99" s="148" t="str">
        <f t="shared" si="59"/>
        <v>3.74</v>
      </c>
      <c r="B99" s="148" t="str">
        <f>INDEX('Standard working hours - CAE'!$A$1:$I$105,MATCH($C99,'Standard working hours - CAE'!$A$1:$A$105,0),MATCH(B$24,'Standard working hours - CAE'!$A$1:$I$1,0))</f>
        <v>CVI</v>
      </c>
      <c r="C99" s="149" t="s">
        <v>268</v>
      </c>
      <c r="D99" s="153" t="str">
        <f>INDEX('Standard working hours - CAE'!$A$1:$I$105,MATCH($C99,'Standard working hours - CAE'!$A$1:$A$105,0),MATCH(D$24,'Standard working hours - CAE'!$A$1:$I$1,0))</f>
        <v>Digital Factory - U Shape</v>
      </c>
      <c r="E99" s="51" t="str">
        <f>IF('Project information'!$A$4="","",'Project information'!$A$4)</f>
        <v>China</v>
      </c>
      <c r="F99" s="149" t="str">
        <f>INDEX('Standard working hours - CAE'!$A$1:$I$105,MATCH($C99,'Standard working hours - CAE'!$A$1:$A$105,0),MATCH(F$24,'Standard working hours - CAE'!$A$1:$I$1,0))</f>
        <v>Faurecia</v>
      </c>
      <c r="G99" s="149">
        <f>INDEX('Standard working hours - CAE'!$A$1:$I$105,MATCH($C99,'Standard working hours - CAE'!$A$1:$A$105,0),MATCH(G$24,'Standard working hours - CAE'!$A$1:$I$1,0))</f>
        <v>0</v>
      </c>
      <c r="H99" s="46"/>
      <c r="I99" s="46"/>
      <c r="J99" s="46"/>
      <c r="K99" s="46"/>
      <c r="L99" s="46"/>
      <c r="M99" s="33">
        <f t="shared" ref="M99:M101" si="162">SUM(H99:L99)</f>
        <v>0</v>
      </c>
      <c r="N99" s="157">
        <f>IF(E99="","",IF(ISERROR(INDEX('Standard working hours - CAE'!$A$1:$I$105,MATCH($C99,'Standard working hours - CAE'!$A$1:$A$105,0),MATCH($E99,'Standard working hours - CAE'!$A$1:$I$1,0))*INDEX('Standard hourly rate'!$A$1:$E$14,MATCH("CAE",'Standard hourly rate'!$A$1:$A$14,0),MATCH($E99,'Standard hourly rate'!$A$1:$E$1,0))),"NA",INDEX('Standard working hours - CAE'!$A$1:$I$105,MATCH($C99,'Standard working hours - CAE'!$A$1:$A$105,0),MATCH($E99,'Standard working hours - CAE'!$A$1:$I$1,0))*INDEX('Standard hourly rate'!$A$1:$E$14,MATCH("CAE",'Standard hourly rate'!$A$1:$A$14,0),MATCH($E99,'Standard hourly rate'!$A$1:$E$1,0))))</f>
        <v>59280</v>
      </c>
      <c r="O99" s="45">
        <f>IF(OR(ISERROR($N99),$N99="",$N99="NA"),0,H99*$N99)*(1+INDEX('For Finance Control'!$B$27:$E$29,3,MATCH('Project information'!$A$4,'For Finance Control'!$B$27:$E$27,0)))</f>
        <v>0</v>
      </c>
      <c r="P99" s="45">
        <f>IF(OR(ISERROR($N99),$N99="",$N99="NA"),0,I99*$N99)*(1+INDEX('For Finance Control'!$B$27:$E$29,3,MATCH('Project information'!$A$4,'For Finance Control'!$B$27:$E$27,0)))</f>
        <v>0</v>
      </c>
      <c r="Q99" s="45">
        <f>IF(OR(ISERROR($N99),$N99="",$N99="NA"),0,J99*$N99)*(1+INDEX('For Finance Control'!$B$27:$E$29,3,MATCH('Project information'!$A$4,'For Finance Control'!$B$27:$E$27,0)))</f>
        <v>0</v>
      </c>
      <c r="R99" s="45">
        <f>IF(OR(ISERROR($N99),$N99="",$N99="NA"),0,K99*$N99)*(1+INDEX('For Finance Control'!$B$27:$E$29,3,MATCH('Project information'!$A$4,'For Finance Control'!$B$27:$E$27,0)))</f>
        <v>0</v>
      </c>
      <c r="S99" s="45">
        <f>IF(OR(ISERROR($N99),$N99="",$N99="NA"),0,L99*$N99)*(1+INDEX('For Finance Control'!$B$27:$E$29,3,MATCH('Project information'!$A$4,'For Finance Control'!$B$27:$E$27,0)))</f>
        <v>0</v>
      </c>
      <c r="T99" s="45">
        <f t="shared" si="101"/>
        <v>0</v>
      </c>
      <c r="U99" s="33" cm="1">
        <f t="array" ref="U99">IF($N99="NA","NA",$N99*INDEX('Exchange rate'!$A$1:$G$7,MATCH('Project information'!$A$13,'Exchange rate'!$A$1:$A$7,0),MATCH(LOOKUP(2,1/({"China";"Korea";"India";"Japan";"EUR";"NAO"}=$E99),{"CNY";"KRW";"INR";"JPY";"EUR";"USD"}),'Exchange rate'!$A$1:$G$1,0)))</f>
        <v>59280</v>
      </c>
      <c r="V99" s="33">
        <f t="shared" si="102"/>
        <v>0</v>
      </c>
      <c r="W99" s="33">
        <f t="shared" si="103"/>
        <v>0</v>
      </c>
      <c r="X99" s="33">
        <f t="shared" si="104"/>
        <v>0</v>
      </c>
      <c r="Y99" s="33">
        <f t="shared" si="105"/>
        <v>0</v>
      </c>
      <c r="Z99" s="33">
        <f t="shared" si="106"/>
        <v>0</v>
      </c>
      <c r="AA99" s="33">
        <f t="shared" si="107"/>
        <v>0</v>
      </c>
      <c r="AB99" s="246"/>
      <c r="AC99" s="247"/>
      <c r="AZ99" s="148" t="str">
        <f t="shared" si="60"/>
        <v>3.74</v>
      </c>
      <c r="BA99" s="149">
        <v>0</v>
      </c>
    </row>
    <row r="100" spans="1:53" outlineLevel="1">
      <c r="A100" s="148" t="str">
        <f t="shared" si="59"/>
        <v>3.75</v>
      </c>
      <c r="B100" s="148" t="str">
        <f>INDEX('Standard working hours - CAE'!$A$1:$I$105,MATCH($C100,'Standard working hours - CAE'!$A$1:$A$105,0),MATCH(B$24,'Standard working hours - CAE'!$A$1:$I$1,0))</f>
        <v>CVI</v>
      </c>
      <c r="C100" s="149" t="s">
        <v>269</v>
      </c>
      <c r="D100" s="153" t="str">
        <f>INDEX('Standard working hours - CAE'!$A$1:$I$105,MATCH($C100,'Standard working hours - CAE'!$A$1:$A$105,0),MATCH(D$24,'Standard working hours - CAE'!$A$1:$I$1,0))</f>
        <v>VR cardboard - Box</v>
      </c>
      <c r="E100" s="51" t="str">
        <f>IF('Project information'!$A$4="","",'Project information'!$A$4)</f>
        <v>China</v>
      </c>
      <c r="F100" s="149" t="str">
        <f>INDEX('Standard working hours - CAE'!$A$1:$I$105,MATCH($C100,'Standard working hours - CAE'!$A$1:$A$105,0),MATCH(F$24,'Standard working hours - CAE'!$A$1:$I$1,0))</f>
        <v>Faurecia</v>
      </c>
      <c r="G100" s="149">
        <f>INDEX('Standard working hours - CAE'!$A$1:$I$105,MATCH($C100,'Standard working hours - CAE'!$A$1:$A$105,0),MATCH(G$24,'Standard working hours - CAE'!$A$1:$I$1,0))</f>
        <v>0</v>
      </c>
      <c r="H100" s="46"/>
      <c r="I100" s="46"/>
      <c r="J100" s="46"/>
      <c r="K100" s="46"/>
      <c r="L100" s="46"/>
      <c r="M100" s="33">
        <f t="shared" si="162"/>
        <v>0</v>
      </c>
      <c r="N100" s="157">
        <f>IF(E100="","",IF(ISERROR(INDEX('Standard working hours - CAE'!$A$1:$I$105,MATCH($C100,'Standard working hours - CAE'!$A$1:$A$105,0),MATCH($E100,'Standard working hours - CAE'!$A$1:$I$1,0))*INDEX('Standard hourly rate'!$A$1:$E$14,MATCH("CAE",'Standard hourly rate'!$A$1:$A$14,0),MATCH($E100,'Standard hourly rate'!$A$1:$E$1,0))),"NA",INDEX('Standard working hours - CAE'!$A$1:$I$105,MATCH($C100,'Standard working hours - CAE'!$A$1:$A$105,0),MATCH($E100,'Standard working hours - CAE'!$A$1:$I$1,0))*INDEX('Standard hourly rate'!$A$1:$E$14,MATCH("CAE",'Standard hourly rate'!$A$1:$A$14,0),MATCH($E100,'Standard hourly rate'!$A$1:$E$1,0))))</f>
        <v>39520</v>
      </c>
      <c r="O100" s="45">
        <f>IF(OR(ISERROR($N100),$N100="",$N100="NA"),0,H100*$N100)*(1+INDEX('For Finance Control'!$B$27:$E$29,3,MATCH('Project information'!$A$4,'For Finance Control'!$B$27:$E$27,0)))</f>
        <v>0</v>
      </c>
      <c r="P100" s="45">
        <f>IF(OR(ISERROR($N100),$N100="",$N100="NA"),0,I100*$N100)*(1+INDEX('For Finance Control'!$B$27:$E$29,3,MATCH('Project information'!$A$4,'For Finance Control'!$B$27:$E$27,0)))</f>
        <v>0</v>
      </c>
      <c r="Q100" s="45">
        <f>IF(OR(ISERROR($N100),$N100="",$N100="NA"),0,J100*$N100)*(1+INDEX('For Finance Control'!$B$27:$E$29,3,MATCH('Project information'!$A$4,'For Finance Control'!$B$27:$E$27,0)))</f>
        <v>0</v>
      </c>
      <c r="R100" s="45">
        <f>IF(OR(ISERROR($N100),$N100="",$N100="NA"),0,K100*$N100)*(1+INDEX('For Finance Control'!$B$27:$E$29,3,MATCH('Project information'!$A$4,'For Finance Control'!$B$27:$E$27,0)))</f>
        <v>0</v>
      </c>
      <c r="S100" s="45">
        <f>IF(OR(ISERROR($N100),$N100="",$N100="NA"),0,L100*$N100)*(1+INDEX('For Finance Control'!$B$27:$E$29,3,MATCH('Project information'!$A$4,'For Finance Control'!$B$27:$E$27,0)))</f>
        <v>0</v>
      </c>
      <c r="T100" s="45">
        <f t="shared" si="101"/>
        <v>0</v>
      </c>
      <c r="U100" s="33" cm="1">
        <f t="array" ref="U100">IF($N100="NA","NA",$N100*INDEX('Exchange rate'!$A$1:$G$7,MATCH('Project information'!$A$13,'Exchange rate'!$A$1:$A$7,0),MATCH(LOOKUP(2,1/({"China";"Korea";"India";"Japan";"EUR";"NAO"}=$E100),{"CNY";"KRW";"INR";"JPY";"EUR";"USD"}),'Exchange rate'!$A$1:$G$1,0)))</f>
        <v>39520</v>
      </c>
      <c r="V100" s="33">
        <f t="shared" si="102"/>
        <v>0</v>
      </c>
      <c r="W100" s="33">
        <f t="shared" si="103"/>
        <v>0</v>
      </c>
      <c r="X100" s="33">
        <f t="shared" si="104"/>
        <v>0</v>
      </c>
      <c r="Y100" s="33">
        <f t="shared" si="105"/>
        <v>0</v>
      </c>
      <c r="Z100" s="33">
        <f t="shared" si="106"/>
        <v>0</v>
      </c>
      <c r="AA100" s="33">
        <f t="shared" si="107"/>
        <v>0</v>
      </c>
      <c r="AB100" s="246"/>
      <c r="AC100" s="247"/>
      <c r="AZ100" s="148" t="str">
        <f t="shared" si="60"/>
        <v>3.75</v>
      </c>
      <c r="BA100" s="149">
        <v>0</v>
      </c>
    </row>
    <row r="101" spans="1:53" outlineLevel="1">
      <c r="A101" s="148" t="str">
        <f t="shared" si="59"/>
        <v>3.76</v>
      </c>
      <c r="B101" s="148" t="str">
        <f>INDEX('Standard working hours - CAE'!$A$1:$I$105,MATCH($C101,'Standard working hours - CAE'!$A$1:$A$105,0),MATCH(B$24,'Standard working hours - CAE'!$A$1:$I$1,0))</f>
        <v>CVI</v>
      </c>
      <c r="C101" s="149" t="s">
        <v>270</v>
      </c>
      <c r="D101" s="153" t="str">
        <f>INDEX('Standard working hours - CAE'!$A$1:$I$105,MATCH($C101,'Standard working hours - CAE'!$A$1:$A$105,0),MATCH(D$24,'Standard working hours - CAE'!$A$1:$I$1,0))</f>
        <v>VR cardboard - In-Line</v>
      </c>
      <c r="E101" s="51" t="str">
        <f>IF('Project information'!$A$4="","",'Project information'!$A$4)</f>
        <v>China</v>
      </c>
      <c r="F101" s="149" t="str">
        <f>INDEX('Standard working hours - CAE'!$A$1:$I$105,MATCH($C101,'Standard working hours - CAE'!$A$1:$A$105,0),MATCH(F$24,'Standard working hours - CAE'!$A$1:$I$1,0))</f>
        <v>Faurecia</v>
      </c>
      <c r="G101" s="149">
        <f>INDEX('Standard working hours - CAE'!$A$1:$I$105,MATCH($C101,'Standard working hours - CAE'!$A$1:$A$105,0),MATCH(G$24,'Standard working hours - CAE'!$A$1:$I$1,0))</f>
        <v>0</v>
      </c>
      <c r="H101" s="46"/>
      <c r="I101" s="46"/>
      <c r="J101" s="46"/>
      <c r="K101" s="46"/>
      <c r="L101" s="46"/>
      <c r="M101" s="33">
        <f t="shared" si="162"/>
        <v>0</v>
      </c>
      <c r="N101" s="157">
        <f>IF(E101="","",IF(ISERROR(INDEX('Standard working hours - CAE'!$A$1:$I$105,MATCH($C101,'Standard working hours - CAE'!$A$1:$A$105,0),MATCH($E101,'Standard working hours - CAE'!$A$1:$I$1,0))*INDEX('Standard hourly rate'!$A$1:$E$14,MATCH("CAE",'Standard hourly rate'!$A$1:$A$14,0),MATCH($E101,'Standard hourly rate'!$A$1:$E$1,0))),"NA",INDEX('Standard working hours - CAE'!$A$1:$I$105,MATCH($C101,'Standard working hours - CAE'!$A$1:$A$105,0),MATCH($E101,'Standard working hours - CAE'!$A$1:$I$1,0))*INDEX('Standard hourly rate'!$A$1:$E$14,MATCH("CAE",'Standard hourly rate'!$A$1:$A$14,0),MATCH($E101,'Standard hourly rate'!$A$1:$E$1,0))))</f>
        <v>31616</v>
      </c>
      <c r="O101" s="45">
        <f>IF(OR(ISERROR($N101),$N101="",$N101="NA"),0,H101*$N101)*(1+INDEX('For Finance Control'!$B$27:$E$29,3,MATCH('Project information'!$A$4,'For Finance Control'!$B$27:$E$27,0)))</f>
        <v>0</v>
      </c>
      <c r="P101" s="45">
        <f>IF(OR(ISERROR($N101),$N101="",$N101="NA"),0,I101*$N101)*(1+INDEX('For Finance Control'!$B$27:$E$29,3,MATCH('Project information'!$A$4,'For Finance Control'!$B$27:$E$27,0)))</f>
        <v>0</v>
      </c>
      <c r="Q101" s="45">
        <f>IF(OR(ISERROR($N101),$N101="",$N101="NA"),0,J101*$N101)*(1+INDEX('For Finance Control'!$B$27:$E$29,3,MATCH('Project information'!$A$4,'For Finance Control'!$B$27:$E$27,0)))</f>
        <v>0</v>
      </c>
      <c r="R101" s="45">
        <f>IF(OR(ISERROR($N101),$N101="",$N101="NA"),0,K101*$N101)*(1+INDEX('For Finance Control'!$B$27:$E$29,3,MATCH('Project information'!$A$4,'For Finance Control'!$B$27:$E$27,0)))</f>
        <v>0</v>
      </c>
      <c r="S101" s="45">
        <f>IF(OR(ISERROR($N101),$N101="",$N101="NA"),0,L101*$N101)*(1+INDEX('For Finance Control'!$B$27:$E$29,3,MATCH('Project information'!$A$4,'For Finance Control'!$B$27:$E$27,0)))</f>
        <v>0</v>
      </c>
      <c r="T101" s="45">
        <f t="shared" ref="T101" si="163">SUM(O101:S101)</f>
        <v>0</v>
      </c>
      <c r="U101" s="33" cm="1">
        <f t="array" ref="U101">IF($N101="NA","NA",$N101*INDEX('Exchange rate'!$A$1:$G$7,MATCH('Project information'!$A$13,'Exchange rate'!$A$1:$A$7,0),MATCH(LOOKUP(2,1/({"China";"Korea";"India";"Japan";"EUR";"NAO"}=$E101),{"CNY";"KRW";"INR";"JPY";"EUR";"USD"}),'Exchange rate'!$A$1:$G$1,0)))</f>
        <v>31616</v>
      </c>
      <c r="V101" s="33">
        <f t="shared" ref="V101" si="164">IF(OR(ISERROR($U101),$U101="",$U101="NA"),0,H101*$U101)</f>
        <v>0</v>
      </c>
      <c r="W101" s="33">
        <f t="shared" ref="W101" si="165">IF(OR(ISERROR($U101),$U101="",$U101="NA"),0,I101*$U101)</f>
        <v>0</v>
      </c>
      <c r="X101" s="33">
        <f t="shared" ref="X101" si="166">IF(OR(ISERROR($U101),$U101="",$U101="NA"),0,J101*$U101)</f>
        <v>0</v>
      </c>
      <c r="Y101" s="33">
        <f t="shared" ref="Y101" si="167">IF(OR(ISERROR($U101),$U101="",$U101="NA"),0,K101*$U101)</f>
        <v>0</v>
      </c>
      <c r="Z101" s="33">
        <f t="shared" ref="Z101" si="168">IF(OR(ISERROR($U101),$U101="",$U101="NA"),0,L101*$U101)</f>
        <v>0</v>
      </c>
      <c r="AA101" s="33">
        <f t="shared" ref="AA101" si="169">SUM(V101:Z101)</f>
        <v>0</v>
      </c>
      <c r="AB101" s="246"/>
      <c r="AC101" s="247"/>
      <c r="AZ101" s="148" t="str">
        <f t="shared" si="60"/>
        <v>3.76</v>
      </c>
      <c r="BA101" s="149">
        <v>0</v>
      </c>
    </row>
    <row r="102" spans="1:53" outlineLevel="1">
      <c r="A102" s="148" t="str">
        <f t="shared" si="59"/>
        <v>3.77</v>
      </c>
      <c r="B102" s="148" t="str">
        <f>INDEX('Standard working hours - CAE'!$A$1:$I$105,MATCH($C102,'Standard working hours - CAE'!$A$1:$A$105,0),MATCH(B$24,'Standard working hours - CAE'!$A$1:$I$1,0))</f>
        <v>CVI</v>
      </c>
      <c r="C102" s="149" t="s">
        <v>271</v>
      </c>
      <c r="D102" s="153" t="str">
        <f>INDEX('Standard working hours - CAE'!$A$1:$I$105,MATCH($C102,'Standard working hours - CAE'!$A$1:$A$105,0),MATCH(D$24,'Standard working hours - CAE'!$A$1:$I$1,0))</f>
        <v>VR cardboard - Switch back</v>
      </c>
      <c r="E102" s="51" t="str">
        <f>IF('Project information'!$A$4="","",'Project information'!$A$4)</f>
        <v>China</v>
      </c>
      <c r="F102" s="149" t="str">
        <f>INDEX('Standard working hours - CAE'!$A$1:$I$105,MATCH($C102,'Standard working hours - CAE'!$A$1:$A$105,0),MATCH(F$24,'Standard working hours - CAE'!$A$1:$I$1,0))</f>
        <v>Faurecia</v>
      </c>
      <c r="G102" s="149">
        <f>INDEX('Standard working hours - CAE'!$A$1:$I$105,MATCH($C102,'Standard working hours - CAE'!$A$1:$A$105,0),MATCH(G$24,'Standard working hours - CAE'!$A$1:$I$1,0))</f>
        <v>0</v>
      </c>
      <c r="H102" s="46"/>
      <c r="I102" s="46"/>
      <c r="J102" s="46"/>
      <c r="K102" s="46"/>
      <c r="L102" s="46"/>
      <c r="M102" s="33">
        <f t="shared" ref="M102" si="170">SUM(H102:L102)</f>
        <v>0</v>
      </c>
      <c r="N102" s="157">
        <f>IF(E102="","",IF(ISERROR(INDEX('Standard working hours - CAE'!$A$1:$I$105,MATCH($C102,'Standard working hours - CAE'!$A$1:$A$105,0),MATCH($E102,'Standard working hours - CAE'!$A$1:$I$1,0))*INDEX('Standard hourly rate'!$A$1:$E$14,MATCH("CAE",'Standard hourly rate'!$A$1:$A$14,0),MATCH($E102,'Standard hourly rate'!$A$1:$E$1,0))),"NA",INDEX('Standard working hours - CAE'!$A$1:$I$105,MATCH($C102,'Standard working hours - CAE'!$A$1:$A$105,0),MATCH($E102,'Standard working hours - CAE'!$A$1:$I$1,0))*INDEX('Standard hourly rate'!$A$1:$E$14,MATCH("CAE",'Standard hourly rate'!$A$1:$A$14,0),MATCH($E102,'Standard hourly rate'!$A$1:$E$1,0))))</f>
        <v>39520</v>
      </c>
      <c r="O102" s="45">
        <f>IF(OR(ISERROR($N102),$N102="",$N102="NA"),0,H102*$N102)*(1+INDEX('For Finance Control'!$B$27:$E$29,3,MATCH('Project information'!$A$4,'For Finance Control'!$B$27:$E$27,0)))</f>
        <v>0</v>
      </c>
      <c r="P102" s="45">
        <f>IF(OR(ISERROR($N102),$N102="",$N102="NA"),0,I102*$N102)*(1+INDEX('For Finance Control'!$B$27:$E$29,3,MATCH('Project information'!$A$4,'For Finance Control'!$B$27:$E$27,0)))</f>
        <v>0</v>
      </c>
      <c r="Q102" s="45">
        <f>IF(OR(ISERROR($N102),$N102="",$N102="NA"),0,J102*$N102)*(1+INDEX('For Finance Control'!$B$27:$E$29,3,MATCH('Project information'!$A$4,'For Finance Control'!$B$27:$E$27,0)))</f>
        <v>0</v>
      </c>
      <c r="R102" s="45">
        <f>IF(OR(ISERROR($N102),$N102="",$N102="NA"),0,K102*$N102)*(1+INDEX('For Finance Control'!$B$27:$E$29,3,MATCH('Project information'!$A$4,'For Finance Control'!$B$27:$E$27,0)))</f>
        <v>0</v>
      </c>
      <c r="S102" s="45">
        <f>IF(OR(ISERROR($N102),$N102="",$N102="NA"),0,L102*$N102)*(1+INDEX('For Finance Control'!$B$27:$E$29,3,MATCH('Project information'!$A$4,'For Finance Control'!$B$27:$E$27,0)))</f>
        <v>0</v>
      </c>
      <c r="T102" s="45">
        <f t="shared" ref="T102" si="171">SUM(O102:S102)</f>
        <v>0</v>
      </c>
      <c r="U102" s="33" cm="1">
        <f t="array" ref="U102">IF($N102="NA","NA",$N102*INDEX('Exchange rate'!$A$1:$G$7,MATCH('Project information'!$A$13,'Exchange rate'!$A$1:$A$7,0),MATCH(LOOKUP(2,1/({"China";"Korea";"India";"Japan";"EUR";"NAO"}=$E102),{"CNY";"KRW";"INR";"JPY";"EUR";"USD"}),'Exchange rate'!$A$1:$G$1,0)))</f>
        <v>39520</v>
      </c>
      <c r="V102" s="33">
        <f t="shared" ref="V102" si="172">IF(OR(ISERROR($U102),$U102="",$U102="NA"),0,H102*$U102)</f>
        <v>0</v>
      </c>
      <c r="W102" s="33">
        <f t="shared" ref="W102" si="173">IF(OR(ISERROR($U102),$U102="",$U102="NA"),0,I102*$U102)</f>
        <v>0</v>
      </c>
      <c r="X102" s="33">
        <f t="shared" ref="X102" si="174">IF(OR(ISERROR($U102),$U102="",$U102="NA"),0,J102*$U102)</f>
        <v>0</v>
      </c>
      <c r="Y102" s="33">
        <f t="shared" ref="Y102" si="175">IF(OR(ISERROR($U102),$U102="",$U102="NA"),0,K102*$U102)</f>
        <v>0</v>
      </c>
      <c r="Z102" s="33">
        <f t="shared" ref="Z102" si="176">IF(OR(ISERROR($U102),$U102="",$U102="NA"),0,L102*$U102)</f>
        <v>0</v>
      </c>
      <c r="AA102" s="33">
        <f t="shared" ref="AA102" si="177">SUM(V102:Z102)</f>
        <v>0</v>
      </c>
      <c r="AB102" s="246"/>
      <c r="AC102" s="247"/>
      <c r="AZ102" s="148" t="str">
        <f t="shared" si="60"/>
        <v>3.77</v>
      </c>
      <c r="BA102" s="149">
        <v>0</v>
      </c>
    </row>
    <row r="103" spans="1:53" outlineLevel="1">
      <c r="A103" s="148" t="str">
        <f t="shared" si="59"/>
        <v>3.78</v>
      </c>
      <c r="B103" s="148" t="str">
        <f>INDEX('Standard working hours - CAE'!$A$1:$I$105,MATCH($C103,'Standard working hours - CAE'!$A$1:$A$105,0),MATCH(B$24,'Standard working hours - CAE'!$A$1:$I$1,0))</f>
        <v>CVI</v>
      </c>
      <c r="C103" s="149" t="s">
        <v>272</v>
      </c>
      <c r="D103" s="153" t="str">
        <f>INDEX('Standard working hours - CAE'!$A$1:$I$105,MATCH($C103,'Standard working hours - CAE'!$A$1:$A$105,0),MATCH(D$24,'Standard working hours - CAE'!$A$1:$I$1,0))</f>
        <v>VR cardboard - U Shape</v>
      </c>
      <c r="E103" s="51" t="str">
        <f>IF('Project information'!$A$4="","",'Project information'!$A$4)</f>
        <v>China</v>
      </c>
      <c r="F103" s="149" t="str">
        <f>INDEX('Standard working hours - CAE'!$A$1:$I$105,MATCH($C103,'Standard working hours - CAE'!$A$1:$A$105,0),MATCH(F$24,'Standard working hours - CAE'!$A$1:$I$1,0))</f>
        <v>Faurecia</v>
      </c>
      <c r="G103" s="149">
        <f>INDEX('Standard working hours - CAE'!$A$1:$I$105,MATCH($C103,'Standard working hours - CAE'!$A$1:$A$105,0),MATCH(G$24,'Standard working hours - CAE'!$A$1:$I$1,0))</f>
        <v>0</v>
      </c>
      <c r="H103" s="46"/>
      <c r="I103" s="46"/>
      <c r="J103" s="46"/>
      <c r="K103" s="46"/>
      <c r="L103" s="46"/>
      <c r="M103" s="33">
        <f t="shared" si="51"/>
        <v>0</v>
      </c>
      <c r="N103" s="157">
        <f>IF(E103="","",IF(ISERROR(INDEX('Standard working hours - CAE'!$A$1:$I$105,MATCH($C103,'Standard working hours - CAE'!$A$1:$A$105,0),MATCH($E103,'Standard working hours - CAE'!$A$1:$I$1,0))*INDEX('Standard hourly rate'!$A$1:$E$14,MATCH("CAE",'Standard hourly rate'!$A$1:$A$14,0),MATCH($E103,'Standard hourly rate'!$A$1:$E$1,0))),"NA",INDEX('Standard working hours - CAE'!$A$1:$I$105,MATCH($C103,'Standard working hours - CAE'!$A$1:$A$105,0),MATCH($E103,'Standard working hours - CAE'!$A$1:$I$1,0))*INDEX('Standard hourly rate'!$A$1:$E$14,MATCH("CAE",'Standard hourly rate'!$A$1:$A$14,0),MATCH($E103,'Standard hourly rate'!$A$1:$E$1,0))))</f>
        <v>39520</v>
      </c>
      <c r="O103" s="45">
        <f>IF(OR(ISERROR($N103),$N103="",$N103="NA"),0,H103*$N103)*(1+INDEX('For Finance Control'!$B$27:$E$29,3,MATCH('Project information'!$A$4,'For Finance Control'!$B$27:$E$27,0)))</f>
        <v>0</v>
      </c>
      <c r="P103" s="45">
        <f>IF(OR(ISERROR($N103),$N103="",$N103="NA"),0,I103*$N103)*(1+INDEX('For Finance Control'!$B$27:$E$29,3,MATCH('Project information'!$A$4,'For Finance Control'!$B$27:$E$27,0)))</f>
        <v>0</v>
      </c>
      <c r="Q103" s="45">
        <f>IF(OR(ISERROR($N103),$N103="",$N103="NA"),0,J103*$N103)*(1+INDEX('For Finance Control'!$B$27:$E$29,3,MATCH('Project information'!$A$4,'For Finance Control'!$B$27:$E$27,0)))</f>
        <v>0</v>
      </c>
      <c r="R103" s="45">
        <f>IF(OR(ISERROR($N103),$N103="",$N103="NA"),0,K103*$N103)*(1+INDEX('For Finance Control'!$B$27:$E$29,3,MATCH('Project information'!$A$4,'For Finance Control'!$B$27:$E$27,0)))</f>
        <v>0</v>
      </c>
      <c r="S103" s="45">
        <f>IF(OR(ISERROR($N103),$N103="",$N103="NA"),0,L103*$N103)*(1+INDEX('For Finance Control'!$B$27:$E$29,3,MATCH('Project information'!$A$4,'For Finance Control'!$B$27:$E$27,0)))</f>
        <v>0</v>
      </c>
      <c r="T103" s="45">
        <f t="shared" si="52"/>
        <v>0</v>
      </c>
      <c r="U103" s="33" cm="1">
        <f t="array" ref="U103">IF($N103="NA","NA",$N103*INDEX('Exchange rate'!$A$1:$G$7,MATCH('Project information'!$A$13,'Exchange rate'!$A$1:$A$7,0),MATCH(LOOKUP(2,1/({"China";"Korea";"India";"Japan";"EUR";"NAO"}=$E103),{"CNY";"KRW";"INR";"JPY";"EUR";"USD"}),'Exchange rate'!$A$1:$G$1,0)))</f>
        <v>39520</v>
      </c>
      <c r="V103" s="33">
        <f t="shared" si="53"/>
        <v>0</v>
      </c>
      <c r="W103" s="33">
        <f t="shared" si="54"/>
        <v>0</v>
      </c>
      <c r="X103" s="33">
        <f t="shared" si="55"/>
        <v>0</v>
      </c>
      <c r="Y103" s="33">
        <f t="shared" si="56"/>
        <v>0</v>
      </c>
      <c r="Z103" s="33">
        <f t="shared" si="57"/>
        <v>0</v>
      </c>
      <c r="AA103" s="33">
        <f t="shared" si="58"/>
        <v>0</v>
      </c>
      <c r="AB103" s="246"/>
      <c r="AC103" s="247"/>
      <c r="AZ103" s="148" t="str">
        <f t="shared" si="60"/>
        <v>3.78</v>
      </c>
      <c r="BA103" s="149">
        <v>0</v>
      </c>
    </row>
    <row r="104" spans="1:53" ht="25">
      <c r="A104" s="23" t="s">
        <v>128</v>
      </c>
      <c r="B104" s="23" t="s">
        <v>129</v>
      </c>
      <c r="C104" s="23" t="s">
        <v>130</v>
      </c>
      <c r="D104" s="151" t="s">
        <v>131</v>
      </c>
      <c r="E104" s="23" t="s">
        <v>132</v>
      </c>
      <c r="F104" s="23" t="s">
        <v>165</v>
      </c>
      <c r="G104" s="151" t="s">
        <v>166</v>
      </c>
      <c r="H104" s="151" t="s">
        <v>273</v>
      </c>
      <c r="I104" s="151" t="s">
        <v>273</v>
      </c>
      <c r="J104" s="151" t="s">
        <v>273</v>
      </c>
      <c r="K104" s="151" t="s">
        <v>273</v>
      </c>
      <c r="L104" s="151" t="s">
        <v>273</v>
      </c>
      <c r="M104" s="151" t="s">
        <v>273</v>
      </c>
      <c r="N104" s="152" t="s">
        <v>274</v>
      </c>
      <c r="O104" s="36" t="s">
        <v>120</v>
      </c>
      <c r="P104" s="36" t="s">
        <v>121</v>
      </c>
      <c r="Q104" s="36" t="s">
        <v>122</v>
      </c>
      <c r="R104" s="36" t="s">
        <v>123</v>
      </c>
      <c r="S104" s="36" t="s">
        <v>124</v>
      </c>
      <c r="T104" s="154" t="s">
        <v>275</v>
      </c>
      <c r="U104" s="142" t="s">
        <v>276</v>
      </c>
      <c r="V104" s="36" t="s">
        <v>120</v>
      </c>
      <c r="W104" s="36" t="s">
        <v>121</v>
      </c>
      <c r="X104" s="36" t="s">
        <v>122</v>
      </c>
      <c r="Y104" s="36" t="s">
        <v>123</v>
      </c>
      <c r="Z104" s="36" t="s">
        <v>124</v>
      </c>
      <c r="AA104" s="151" t="s">
        <v>275</v>
      </c>
      <c r="AB104" s="262" t="s">
        <v>137</v>
      </c>
      <c r="AC104" s="263"/>
      <c r="AZ104" s="23" t="s">
        <v>128</v>
      </c>
      <c r="BA104" s="151" t="s">
        <v>169</v>
      </c>
    </row>
    <row r="105" spans="1:53" collapsed="1">
      <c r="A105" s="25">
        <f>A25+1</f>
        <v>4</v>
      </c>
      <c r="B105" s="25"/>
      <c r="C105" s="26"/>
      <c r="D105" s="27" t="s">
        <v>277</v>
      </c>
      <c r="E105" s="27"/>
      <c r="F105" s="27"/>
      <c r="G105" s="27"/>
      <c r="H105" s="29"/>
      <c r="I105" s="29"/>
      <c r="J105" s="29"/>
      <c r="K105" s="29"/>
      <c r="L105" s="29"/>
      <c r="M105" s="29"/>
      <c r="N105" s="30"/>
      <c r="O105" s="26"/>
      <c r="P105" s="26"/>
      <c r="Q105" s="26"/>
      <c r="R105" s="26"/>
      <c r="S105" s="26"/>
      <c r="T105" s="26"/>
      <c r="U105" s="29"/>
      <c r="V105" s="162">
        <f>SUM(V106:V120)</f>
        <v>0</v>
      </c>
      <c r="W105" s="162">
        <f>SUM(W106:W120)</f>
        <v>0</v>
      </c>
      <c r="X105" s="162">
        <f>SUM(X106:X120)</f>
        <v>0</v>
      </c>
      <c r="Y105" s="162">
        <f>SUM(Y106:Y120)</f>
        <v>0</v>
      </c>
      <c r="Z105" s="162">
        <f>SUM(Z106:Z120)</f>
        <v>0</v>
      </c>
      <c r="AA105" s="162">
        <f>SUM(V105:Z105)</f>
        <v>0</v>
      </c>
      <c r="AB105" s="260"/>
      <c r="AC105" s="261"/>
      <c r="AZ105" s="25">
        <f>AZ25+1</f>
        <v>4</v>
      </c>
      <c r="BA105" s="27"/>
    </row>
    <row r="106" spans="1:53" outlineLevel="1">
      <c r="A106" s="148" t="str">
        <f>$A$105&amp;"."&amp;ROW(A106)-ROW($A$105)</f>
        <v>4.1</v>
      </c>
      <c r="B106" s="148" t="str">
        <f>INDEX('Standard cost - Prototype'!$A$1:$I$18,MATCH($C106,'Standard cost - Prototype'!$A$1:$A$16,0),MATCH(B$104,'Standard cost - Prototype'!$A$1:$I$1,0))</f>
        <v>CVI</v>
      </c>
      <c r="C106" s="149" t="s">
        <v>278</v>
      </c>
      <c r="D106" s="150" t="str">
        <f>INDEX('Standard cost - Prototype'!$A$1:$I$18,MATCH($C106,'Standard cost - Prototype'!$A$1:$A$16,0),MATCH(D$104,'Standard cost - Prototype'!$A$1:$I$1,0))</f>
        <v>CVE mock-up prototype</v>
      </c>
      <c r="E106" s="51" t="str">
        <f>IF('Project information'!$A$4="","",'Project information'!$A$4)</f>
        <v>China</v>
      </c>
      <c r="F106" s="149" t="str">
        <f>INDEX('Standard cost - Prototype'!$A$1:$I$18,MATCH($C106,'Standard cost - Prototype'!$A$1:$A$16,0),MATCH(F$104,'Standard cost - Prototype'!$A$1:$I$1,0))</f>
        <v>Faurecia</v>
      </c>
      <c r="G106" s="149"/>
      <c r="H106" s="46"/>
      <c r="I106" s="46"/>
      <c r="J106" s="46"/>
      <c r="K106" s="46"/>
      <c r="L106" s="46"/>
      <c r="M106" s="33">
        <f t="shared" ref="M106:M120" si="178">SUM(H106:L106)</f>
        <v>0</v>
      </c>
      <c r="N106" s="167"/>
      <c r="O106" s="45">
        <f>IF(OR(ISERROR($N106),$N106="",$N106="NA"),0,H106*$N106)*(1+INDEX('For Finance Control'!$B$27:$E$29,3,MATCH('Project information'!$A$4,'For Finance Control'!$B$27:$E$27,0)))</f>
        <v>0</v>
      </c>
      <c r="P106" s="45">
        <f>IF(OR(ISERROR($N106),$N106="",$N106="NA"),0,I106*$N106)*(1+INDEX('For Finance Control'!$B$27:$E$29,3,MATCH('Project information'!$A$4,'For Finance Control'!$B$27:$E$27,0)))</f>
        <v>0</v>
      </c>
      <c r="Q106" s="45">
        <f>IF(OR(ISERROR($N106),$N106="",$N106="NA"),0,J106*$N106)*(1+INDEX('For Finance Control'!$B$27:$E$29,3,MATCH('Project information'!$A$4,'For Finance Control'!$B$27:$E$27,0)))</f>
        <v>0</v>
      </c>
      <c r="R106" s="45">
        <f>IF(OR(ISERROR($N106),$N106="",$N106="NA"),0,K106*$N106)*(1+INDEX('For Finance Control'!$B$27:$E$29,3,MATCH('Project information'!$A$4,'For Finance Control'!$B$27:$E$27,0)))</f>
        <v>0</v>
      </c>
      <c r="S106" s="45">
        <f>IF(OR(ISERROR($N106),$N106="",$N106="NA"),0,L106*$N106)*(1+INDEX('For Finance Control'!$B$27:$E$29,3,MATCH('Project information'!$A$4,'For Finance Control'!$B$27:$E$27,0)))</f>
        <v>0</v>
      </c>
      <c r="T106" s="45">
        <f t="shared" ref="T106:T120" si="179">SUM(O106:S106)</f>
        <v>0</v>
      </c>
      <c r="U106" s="33" cm="1">
        <f t="array" ref="U106">IF($N106="NA","NA",$N106*INDEX('Exchange rate'!$A$1:$G$7,MATCH('Project information'!$A$13,'Exchange rate'!$A$1:$A$7,0),MATCH(LOOKUP(2,1/({"China";"Korea";"India";"Japan";"EUR";"NAO"}=$E106),{"CNY";"KRW";"INR";"JPY";"EUR";"USD"}),'Exchange rate'!$A$1:$G$1,0)))</f>
        <v>0</v>
      </c>
      <c r="V106" s="33">
        <f t="shared" ref="V106:V120" si="180">IF(OR(ISERROR($U106),$U106="",$U106="NA"),0,H106*$U106)</f>
        <v>0</v>
      </c>
      <c r="W106" s="33">
        <f t="shared" ref="W106:W120" si="181">IF(OR(ISERROR($U106),$U106="",$U106="NA"),0,I106*$U106)</f>
        <v>0</v>
      </c>
      <c r="X106" s="33">
        <f t="shared" ref="X106:X120" si="182">IF(OR(ISERROR($U106),$U106="",$U106="NA"),0,J106*$U106)</f>
        <v>0</v>
      </c>
      <c r="Y106" s="33">
        <f t="shared" ref="Y106:Y120" si="183">IF(OR(ISERROR($U106),$U106="",$U106="NA"),0,K106*$U106)</f>
        <v>0</v>
      </c>
      <c r="Z106" s="33">
        <f t="shared" ref="Z106:Z120" si="184">IF(OR(ISERROR($U106),$U106="",$U106="NA"),0,L106*$U106)</f>
        <v>0</v>
      </c>
      <c r="AA106" s="33">
        <f t="shared" ref="AA106:AA120" si="185">SUM(V106:Z106)</f>
        <v>0</v>
      </c>
      <c r="AB106" s="246"/>
      <c r="AC106" s="247"/>
      <c r="AZ106" s="148" t="str">
        <f>$A$105&amp;"."&amp;ROW(AZ106)-ROW($A$105)</f>
        <v>4.1</v>
      </c>
      <c r="BA106" s="149"/>
    </row>
    <row r="107" spans="1:53" outlineLevel="1">
      <c r="A107" s="148" t="str">
        <f t="shared" ref="A107:A120" si="186">$A$105&amp;"."&amp;ROW(A107)-ROW($A$105)</f>
        <v>4.2</v>
      </c>
      <c r="B107" s="148" t="str">
        <f>INDEX('Standard cost - Prototype'!$A$1:$I$18,MATCH($C107,'Standard cost - Prototype'!$A$1:$A$16,0),MATCH(B$104,'Standard cost - Prototype'!$A$1:$I$1,0))</f>
        <v>CVI</v>
      </c>
      <c r="C107" s="149" t="s">
        <v>279</v>
      </c>
      <c r="D107" s="150" t="str">
        <f>INDEX('Standard cost - Prototype'!$A$1:$I$18,MATCH($C107,'Standard cost - Prototype'!$A$1:$A$16,0),MATCH(D$104,'Standard cost - Prototype'!$A$1:$I$1,0))</f>
        <v>CVE DV prototype</v>
      </c>
      <c r="E107" s="51" t="str">
        <f>IF('Project information'!$A$4="","",'Project information'!$A$4)</f>
        <v>China</v>
      </c>
      <c r="F107" s="149" t="str">
        <f>INDEX('Standard cost - Prototype'!$A$1:$I$18,MATCH($C107,'Standard cost - Prototype'!$A$1:$A$16,0),MATCH(F$104,'Standard cost - Prototype'!$A$1:$I$1,0))</f>
        <v>Faurecia</v>
      </c>
      <c r="G107" s="149"/>
      <c r="H107" s="46"/>
      <c r="I107" s="46"/>
      <c r="J107" s="46"/>
      <c r="K107" s="46"/>
      <c r="L107" s="46"/>
      <c r="M107" s="33">
        <f t="shared" si="178"/>
        <v>0</v>
      </c>
      <c r="N107" s="167"/>
      <c r="O107" s="45">
        <f>IF(OR(ISERROR($N107),$N107="",$N107="NA"),0,H107*$N107)*(1+INDEX('For Finance Control'!$B$27:$E$29,3,MATCH('Project information'!$A$4,'For Finance Control'!$B$27:$E$27,0)))</f>
        <v>0</v>
      </c>
      <c r="P107" s="45">
        <f>IF(OR(ISERROR($N107),$N107="",$N107="NA"),0,I107*$N107)*(1+INDEX('For Finance Control'!$B$27:$E$29,3,MATCH('Project information'!$A$4,'For Finance Control'!$B$27:$E$27,0)))</f>
        <v>0</v>
      </c>
      <c r="Q107" s="45">
        <f>IF(OR(ISERROR($N107),$N107="",$N107="NA"),0,J107*$N107)*(1+INDEX('For Finance Control'!$B$27:$E$29,3,MATCH('Project information'!$A$4,'For Finance Control'!$B$27:$E$27,0)))</f>
        <v>0</v>
      </c>
      <c r="R107" s="45">
        <f>IF(OR(ISERROR($N107),$N107="",$N107="NA"),0,K107*$N107)*(1+INDEX('For Finance Control'!$B$27:$E$29,3,MATCH('Project information'!$A$4,'For Finance Control'!$B$27:$E$27,0)))</f>
        <v>0</v>
      </c>
      <c r="S107" s="45">
        <f>IF(OR(ISERROR($N107),$N107="",$N107="NA"),0,L107*$N107)*(1+INDEX('For Finance Control'!$B$27:$E$29,3,MATCH('Project information'!$A$4,'For Finance Control'!$B$27:$E$27,0)))</f>
        <v>0</v>
      </c>
      <c r="T107" s="45">
        <f t="shared" si="179"/>
        <v>0</v>
      </c>
      <c r="U107" s="33" cm="1">
        <f t="array" ref="U107">IF($N107="NA","NA",$N107*INDEX('Exchange rate'!$A$1:$G$7,MATCH('Project information'!$A$13,'Exchange rate'!$A$1:$A$7,0),MATCH(LOOKUP(2,1/({"China";"Korea";"India";"Japan";"EUR";"NAO"}=$E107),{"CNY";"KRW";"INR";"JPY";"EUR";"USD"}),'Exchange rate'!$A$1:$G$1,0)))</f>
        <v>0</v>
      </c>
      <c r="V107" s="33">
        <f t="shared" si="180"/>
        <v>0</v>
      </c>
      <c r="W107" s="33">
        <f t="shared" si="181"/>
        <v>0</v>
      </c>
      <c r="X107" s="33">
        <f t="shared" si="182"/>
        <v>0</v>
      </c>
      <c r="Y107" s="33">
        <f t="shared" si="183"/>
        <v>0</v>
      </c>
      <c r="Z107" s="33">
        <f t="shared" si="184"/>
        <v>0</v>
      </c>
      <c r="AA107" s="33">
        <f t="shared" si="185"/>
        <v>0</v>
      </c>
      <c r="AB107" s="246"/>
      <c r="AC107" s="247"/>
      <c r="AZ107" s="148" t="str">
        <f t="shared" ref="AZ107:AZ120" si="187">$A$105&amp;"."&amp;ROW(AZ107)-ROW($A$105)</f>
        <v>4.2</v>
      </c>
      <c r="BA107" s="149"/>
    </row>
    <row r="108" spans="1:53" outlineLevel="1">
      <c r="A108" s="148" t="str">
        <f t="shared" si="186"/>
        <v>4.3</v>
      </c>
      <c r="B108" s="148" t="str">
        <f>INDEX('Standard cost - Prototype'!$A$1:$I$18,MATCH($C108,'Standard cost - Prototype'!$A$1:$A$16,0),MATCH(B$104,'Standard cost - Prototype'!$A$1:$I$1,0))</f>
        <v>LE</v>
      </c>
      <c r="C108" s="149" t="s">
        <v>280</v>
      </c>
      <c r="D108" s="150" t="str">
        <f>INDEX('Standard cost - Prototype'!$A$1:$I$18,MATCH($C108,'Standard cost - Prototype'!$A$1:$A$16,0),MATCH(D$104,'Standard cost - Prototype'!$A$1:$I$1,0))</f>
        <v>Turbo HE (1 part)</v>
      </c>
      <c r="E108" s="51" t="str">
        <f>IF('Project information'!$A$4="","",'Project information'!$A$4)</f>
        <v>China</v>
      </c>
      <c r="F108" s="149" t="str">
        <f>INDEX('Standard cost - Prototype'!$A$1:$I$18,MATCH($C108,'Standard cost - Prototype'!$A$1:$A$16,0),MATCH(F$104,'Standard cost - Prototype'!$A$1:$I$1,0))</f>
        <v>Faurecia</v>
      </c>
      <c r="G108" s="149"/>
      <c r="H108" s="46"/>
      <c r="I108" s="46"/>
      <c r="J108" s="46"/>
      <c r="K108" s="46"/>
      <c r="L108" s="46"/>
      <c r="M108" s="33">
        <f t="shared" si="178"/>
        <v>0</v>
      </c>
      <c r="N108" s="157">
        <f>IF(E108="","",IF(ISERROR(INDEX('Standard cost - Prototype'!$A$1:$I$18,MATCH($C108,'Standard cost - Prototype'!$A$1:$A$16,0),MATCH($E108,'Standard cost - Prototype'!$A$1:$I$1,0))),"NA",INDEX('Standard cost - Prototype'!$A$1:$I$18,MATCH($C108,'Standard cost - Prototype'!$A$1:$A$16,0),MATCH($E108,'Standard cost - Prototype'!$A$1:$I$1,0))))</f>
        <v>4955</v>
      </c>
      <c r="O108" s="45">
        <f>IF(OR(ISERROR($N108),$N108="",$N108="NA"),0,H108*$N108)*(1+INDEX('For Finance Control'!$B$27:$E$29,3,MATCH('Project information'!$A$4,'For Finance Control'!$B$27:$E$27,0)))</f>
        <v>0</v>
      </c>
      <c r="P108" s="45">
        <f>IF(OR(ISERROR($N108),$N108="",$N108="NA"),0,I108*$N108)*(1+INDEX('For Finance Control'!$B$27:$E$29,3,MATCH('Project information'!$A$4,'For Finance Control'!$B$27:$E$27,0)))</f>
        <v>0</v>
      </c>
      <c r="Q108" s="45">
        <f>IF(OR(ISERROR($N108),$N108="",$N108="NA"),0,J108*$N108)*(1+INDEX('For Finance Control'!$B$27:$E$29,3,MATCH('Project information'!$A$4,'For Finance Control'!$B$27:$E$27,0)))</f>
        <v>0</v>
      </c>
      <c r="R108" s="45">
        <f>IF(OR(ISERROR($N108),$N108="",$N108="NA"),0,K108*$N108)*(1+INDEX('For Finance Control'!$B$27:$E$29,3,MATCH('Project information'!$A$4,'For Finance Control'!$B$27:$E$27,0)))</f>
        <v>0</v>
      </c>
      <c r="S108" s="45">
        <f>IF(OR(ISERROR($N108),$N108="",$N108="NA"),0,L108*$N108)*(1+INDEX('For Finance Control'!$B$27:$E$29,3,MATCH('Project information'!$A$4,'For Finance Control'!$B$27:$E$27,0)))</f>
        <v>0</v>
      </c>
      <c r="T108" s="45">
        <f t="shared" si="179"/>
        <v>0</v>
      </c>
      <c r="U108" s="33" cm="1">
        <f t="array" ref="U108">IF($N108="NA","NA",$N108*INDEX('Exchange rate'!$A$1:$G$7,MATCH('Project information'!$A$13,'Exchange rate'!$A$1:$A$7,0),MATCH(LOOKUP(2,1/({"China";"Korea";"India";"Japan";"EUR";"NAO"}=$E108),{"CNY";"KRW";"INR";"JPY";"EUR";"USD"}),'Exchange rate'!$A$1:$G$1,0)))</f>
        <v>4955</v>
      </c>
      <c r="V108" s="33">
        <f t="shared" si="180"/>
        <v>0</v>
      </c>
      <c r="W108" s="33">
        <f t="shared" si="181"/>
        <v>0</v>
      </c>
      <c r="X108" s="33">
        <f t="shared" si="182"/>
        <v>0</v>
      </c>
      <c r="Y108" s="33">
        <f t="shared" si="183"/>
        <v>0</v>
      </c>
      <c r="Z108" s="33">
        <f t="shared" si="184"/>
        <v>0</v>
      </c>
      <c r="AA108" s="33">
        <f t="shared" si="185"/>
        <v>0</v>
      </c>
      <c r="AB108" s="246"/>
      <c r="AC108" s="247"/>
      <c r="AZ108" s="148" t="str">
        <f t="shared" si="187"/>
        <v>4.3</v>
      </c>
      <c r="BA108" s="149"/>
    </row>
    <row r="109" spans="1:53" outlineLevel="1">
      <c r="A109" s="148" t="str">
        <f t="shared" si="186"/>
        <v>4.4</v>
      </c>
      <c r="B109" s="148" t="str">
        <f>INDEX('Standard cost - Prototype'!$A$1:$I$18,MATCH($C109,'Standard cost - Prototype'!$A$1:$A$16,0),MATCH(B$104,'Standard cost - Prototype'!$A$1:$I$1,0))</f>
        <v>LE</v>
      </c>
      <c r="C109" s="149" t="s">
        <v>281</v>
      </c>
      <c r="D109" s="150" t="str">
        <f>INDEX('Standard cost - Prototype'!$A$1:$I$18,MATCH($C109,'Standard cost - Prototype'!$A$1:$A$16,0),MATCH(D$104,'Standard cost - Prototype'!$A$1:$I$1,0))</f>
        <v>Cold end - 2 silencers (1 part)</v>
      </c>
      <c r="E109" s="51" t="str">
        <f>IF('Project information'!$A$4="","",'Project information'!$A$4)</f>
        <v>China</v>
      </c>
      <c r="F109" s="149" t="str">
        <f>INDEX('Standard cost - Prototype'!$A$1:$I$18,MATCH($C109,'Standard cost - Prototype'!$A$1:$A$16,0),MATCH(F$104,'Standard cost - Prototype'!$A$1:$I$1,0))</f>
        <v>Faurecia</v>
      </c>
      <c r="G109" s="149"/>
      <c r="H109" s="46"/>
      <c r="I109" s="46"/>
      <c r="J109" s="46"/>
      <c r="K109" s="46"/>
      <c r="L109" s="46"/>
      <c r="M109" s="33">
        <f t="shared" si="178"/>
        <v>0</v>
      </c>
      <c r="N109" s="157">
        <f>IF(E109="","",IF(ISERROR(INDEX('Standard cost - Prototype'!$A$1:$I$18,MATCH($C109,'Standard cost - Prototype'!$A$1:$A$16,0),MATCH($E109,'Standard cost - Prototype'!$A$1:$I$1,0))),"NA",INDEX('Standard cost - Prototype'!$A$1:$I$18,MATCH($C109,'Standard cost - Prototype'!$A$1:$A$16,0),MATCH($E109,'Standard cost - Prototype'!$A$1:$I$1,0))))</f>
        <v>5636</v>
      </c>
      <c r="O109" s="45">
        <f>IF(OR(ISERROR($N109),$N109="",$N109="NA"),0,H109*$N109)*(1+INDEX('For Finance Control'!$B$27:$E$29,3,MATCH('Project information'!$A$4,'For Finance Control'!$B$27:$E$27,0)))</f>
        <v>0</v>
      </c>
      <c r="P109" s="45">
        <f>IF(OR(ISERROR($N109),$N109="",$N109="NA"),0,I109*$N109)*(1+INDEX('For Finance Control'!$B$27:$E$29,3,MATCH('Project information'!$A$4,'For Finance Control'!$B$27:$E$27,0)))</f>
        <v>0</v>
      </c>
      <c r="Q109" s="45">
        <f>IF(OR(ISERROR($N109),$N109="",$N109="NA"),0,J109*$N109)*(1+INDEX('For Finance Control'!$B$27:$E$29,3,MATCH('Project information'!$A$4,'For Finance Control'!$B$27:$E$27,0)))</f>
        <v>0</v>
      </c>
      <c r="R109" s="45">
        <f>IF(OR(ISERROR($N109),$N109="",$N109="NA"),0,K109*$N109)*(1+INDEX('For Finance Control'!$B$27:$E$29,3,MATCH('Project information'!$A$4,'For Finance Control'!$B$27:$E$27,0)))</f>
        <v>0</v>
      </c>
      <c r="S109" s="45">
        <f>IF(OR(ISERROR($N109),$N109="",$N109="NA"),0,L109*$N109)*(1+INDEX('For Finance Control'!$B$27:$E$29,3,MATCH('Project information'!$A$4,'For Finance Control'!$B$27:$E$27,0)))</f>
        <v>0</v>
      </c>
      <c r="T109" s="45">
        <f t="shared" si="179"/>
        <v>0</v>
      </c>
      <c r="U109" s="33" cm="1">
        <f t="array" ref="U109">IF($N109="NA","NA",$N109*INDEX('Exchange rate'!$A$1:$G$7,MATCH('Project information'!$A$13,'Exchange rate'!$A$1:$A$7,0),MATCH(LOOKUP(2,1/({"China";"Korea";"India";"Japan";"EUR";"NAO"}=$E109),{"CNY";"KRW";"INR";"JPY";"EUR";"USD"}),'Exchange rate'!$A$1:$G$1,0)))</f>
        <v>5636</v>
      </c>
      <c r="V109" s="33">
        <f t="shared" si="180"/>
        <v>0</v>
      </c>
      <c r="W109" s="33">
        <f t="shared" si="181"/>
        <v>0</v>
      </c>
      <c r="X109" s="33">
        <f t="shared" si="182"/>
        <v>0</v>
      </c>
      <c r="Y109" s="33">
        <f t="shared" si="183"/>
        <v>0</v>
      </c>
      <c r="Z109" s="33">
        <f t="shared" si="184"/>
        <v>0</v>
      </c>
      <c r="AA109" s="33">
        <f t="shared" si="185"/>
        <v>0</v>
      </c>
      <c r="AB109" s="246"/>
      <c r="AC109" s="247"/>
      <c r="AZ109" s="148" t="str">
        <f t="shared" si="187"/>
        <v>4.4</v>
      </c>
      <c r="BA109" s="149"/>
    </row>
    <row r="110" spans="1:53" outlineLevel="1">
      <c r="A110" s="148" t="str">
        <f t="shared" si="186"/>
        <v>4.5</v>
      </c>
      <c r="B110" s="148" t="str">
        <f>INDEX('Standard cost - Prototype'!$A$1:$I$18,MATCH($C110,'Standard cost - Prototype'!$A$1:$A$16,0),MATCH(B$104,'Standard cost - Prototype'!$A$1:$I$1,0))</f>
        <v>LE</v>
      </c>
      <c r="C110" s="149" t="s">
        <v>282</v>
      </c>
      <c r="D110" s="150" t="str">
        <f>INDEX('Standard cost - Prototype'!$A$1:$I$18,MATCH($C110,'Standard cost - Prototype'!$A$1:$A$16,0),MATCH(D$104,'Standard cost - Prototype'!$A$1:$I$1,0))</f>
        <v>Cold end - 3 silencers (1 part)</v>
      </c>
      <c r="E110" s="51" t="str">
        <f>IF('Project information'!$A$4="","",'Project information'!$A$4)</f>
        <v>China</v>
      </c>
      <c r="F110" s="149" t="str">
        <f>INDEX('Standard cost - Prototype'!$A$1:$I$18,MATCH($C110,'Standard cost - Prototype'!$A$1:$A$16,0),MATCH(F$104,'Standard cost - Prototype'!$A$1:$I$1,0))</f>
        <v>Faurecia</v>
      </c>
      <c r="G110" s="149"/>
      <c r="H110" s="46"/>
      <c r="I110" s="46"/>
      <c r="J110" s="46"/>
      <c r="K110" s="46"/>
      <c r="L110" s="46"/>
      <c r="M110" s="33">
        <f t="shared" si="178"/>
        <v>0</v>
      </c>
      <c r="N110" s="157">
        <f>IF(E110="","",IF(ISERROR(INDEX('Standard cost - Prototype'!$A$1:$I$18,MATCH($C110,'Standard cost - Prototype'!$A$1:$A$16,0),MATCH($E110,'Standard cost - Prototype'!$A$1:$I$1,0))),"NA",INDEX('Standard cost - Prototype'!$A$1:$I$18,MATCH($C110,'Standard cost - Prototype'!$A$1:$A$16,0),MATCH($E110,'Standard cost - Prototype'!$A$1:$I$1,0))))</f>
        <v>7485</v>
      </c>
      <c r="O110" s="45">
        <f>IF(OR(ISERROR($N110),$N110="",$N110="NA"),0,H110*$N110)*(1+INDEX('For Finance Control'!$B$27:$E$29,3,MATCH('Project information'!$A$4,'For Finance Control'!$B$27:$E$27,0)))</f>
        <v>0</v>
      </c>
      <c r="P110" s="45">
        <f>IF(OR(ISERROR($N110),$N110="",$N110="NA"),0,I110*$N110)*(1+INDEX('For Finance Control'!$B$27:$E$29,3,MATCH('Project information'!$A$4,'For Finance Control'!$B$27:$E$27,0)))</f>
        <v>0</v>
      </c>
      <c r="Q110" s="45">
        <f>IF(OR(ISERROR($N110),$N110="",$N110="NA"),0,J110*$N110)*(1+INDEX('For Finance Control'!$B$27:$E$29,3,MATCH('Project information'!$A$4,'For Finance Control'!$B$27:$E$27,0)))</f>
        <v>0</v>
      </c>
      <c r="R110" s="45">
        <f>IF(OR(ISERROR($N110),$N110="",$N110="NA"),0,K110*$N110)*(1+INDEX('For Finance Control'!$B$27:$E$29,3,MATCH('Project information'!$A$4,'For Finance Control'!$B$27:$E$27,0)))</f>
        <v>0</v>
      </c>
      <c r="S110" s="45">
        <f>IF(OR(ISERROR($N110),$N110="",$N110="NA"),0,L110*$N110)*(1+INDEX('For Finance Control'!$B$27:$E$29,3,MATCH('Project information'!$A$4,'For Finance Control'!$B$27:$E$27,0)))</f>
        <v>0</v>
      </c>
      <c r="T110" s="45">
        <f t="shared" si="179"/>
        <v>0</v>
      </c>
      <c r="U110" s="33" cm="1">
        <f t="array" ref="U110">IF($N110="NA","NA",$N110*INDEX('Exchange rate'!$A$1:$G$7,MATCH('Project information'!$A$13,'Exchange rate'!$A$1:$A$7,0),MATCH(LOOKUP(2,1/({"China";"Korea";"India";"Japan";"EUR";"NAO"}=$E110),{"CNY";"KRW";"INR";"JPY";"EUR";"USD"}),'Exchange rate'!$A$1:$G$1,0)))</f>
        <v>7485</v>
      </c>
      <c r="V110" s="33">
        <f t="shared" si="180"/>
        <v>0</v>
      </c>
      <c r="W110" s="33">
        <f t="shared" si="181"/>
        <v>0</v>
      </c>
      <c r="X110" s="33">
        <f t="shared" si="182"/>
        <v>0</v>
      </c>
      <c r="Y110" s="33">
        <f t="shared" si="183"/>
        <v>0</v>
      </c>
      <c r="Z110" s="33">
        <f t="shared" si="184"/>
        <v>0</v>
      </c>
      <c r="AA110" s="33">
        <f t="shared" si="185"/>
        <v>0</v>
      </c>
      <c r="AB110" s="246"/>
      <c r="AC110" s="247"/>
      <c r="AZ110" s="148" t="str">
        <f t="shared" si="187"/>
        <v>4.5</v>
      </c>
      <c r="BA110" s="149"/>
    </row>
    <row r="111" spans="1:53" outlineLevel="1">
      <c r="A111" s="148" t="str">
        <f t="shared" si="186"/>
        <v>4.6</v>
      </c>
      <c r="B111" s="148" t="str">
        <f>INDEX('Standard cost - Prototype'!$A$1:$I$18,MATCH($C111,'Standard cost - Prototype'!$A$1:$A$16,0),MATCH(B$104,'Standard cost - Prototype'!$A$1:$I$1,0))</f>
        <v>LE</v>
      </c>
      <c r="C111" s="149" t="s">
        <v>283</v>
      </c>
      <c r="D111" s="150" t="str">
        <f>INDEX('Standard cost - Prototype'!$A$1:$I$18,MATCH($C111,'Standard cost - Prototype'!$A$1:$A$16,0),MATCH(D$104,'Standard cost - Prototype'!$A$1:$I$1,0))</f>
        <v>Maniverter (1 part)</v>
      </c>
      <c r="E111" s="51" t="str">
        <f>IF('Project information'!$A$4="","",'Project information'!$A$4)</f>
        <v>China</v>
      </c>
      <c r="F111" s="149" t="str">
        <f>INDEX('Standard cost - Prototype'!$A$1:$I$18,MATCH($C111,'Standard cost - Prototype'!$A$1:$A$16,0),MATCH(F$104,'Standard cost - Prototype'!$A$1:$I$1,0))</f>
        <v>Faurecia</v>
      </c>
      <c r="G111" s="149"/>
      <c r="H111" s="46"/>
      <c r="I111" s="46"/>
      <c r="J111" s="46"/>
      <c r="K111" s="46"/>
      <c r="L111" s="46"/>
      <c r="M111" s="33">
        <f t="shared" si="178"/>
        <v>0</v>
      </c>
      <c r="N111" s="157">
        <f>IF(E111="","",IF(ISERROR(INDEX('Standard cost - Prototype'!$A$1:$I$18,MATCH($C111,'Standard cost - Prototype'!$A$1:$A$16,0),MATCH($E111,'Standard cost - Prototype'!$A$1:$I$1,0))),"NA",INDEX('Standard cost - Prototype'!$A$1:$I$18,MATCH($C111,'Standard cost - Prototype'!$A$1:$A$16,0),MATCH($E111,'Standard cost - Prototype'!$A$1:$I$1,0))))</f>
        <v>4088</v>
      </c>
      <c r="O111" s="45">
        <f>IF(OR(ISERROR($N111),$N111="",$N111="NA"),0,H111*$N111)*(1+INDEX('For Finance Control'!$B$27:$E$29,3,MATCH('Project information'!$A$4,'For Finance Control'!$B$27:$E$27,0)))</f>
        <v>0</v>
      </c>
      <c r="P111" s="45">
        <f>IF(OR(ISERROR($N111),$N111="",$N111="NA"),0,I111*$N111)*(1+INDEX('For Finance Control'!$B$27:$E$29,3,MATCH('Project information'!$A$4,'For Finance Control'!$B$27:$E$27,0)))</f>
        <v>0</v>
      </c>
      <c r="Q111" s="45">
        <f>IF(OR(ISERROR($N111),$N111="",$N111="NA"),0,J111*$N111)*(1+INDEX('For Finance Control'!$B$27:$E$29,3,MATCH('Project information'!$A$4,'For Finance Control'!$B$27:$E$27,0)))</f>
        <v>0</v>
      </c>
      <c r="R111" s="45">
        <f>IF(OR(ISERROR($N111),$N111="",$N111="NA"),0,K111*$N111)*(1+INDEX('For Finance Control'!$B$27:$E$29,3,MATCH('Project information'!$A$4,'For Finance Control'!$B$27:$E$27,0)))</f>
        <v>0</v>
      </c>
      <c r="S111" s="45">
        <f>IF(OR(ISERROR($N111),$N111="",$N111="NA"),0,L111*$N111)*(1+INDEX('For Finance Control'!$B$27:$E$29,3,MATCH('Project information'!$A$4,'For Finance Control'!$B$27:$E$27,0)))</f>
        <v>0</v>
      </c>
      <c r="T111" s="45">
        <f t="shared" si="179"/>
        <v>0</v>
      </c>
      <c r="U111" s="33" cm="1">
        <f t="array" ref="U111">IF($N111="NA","NA",$N111*INDEX('Exchange rate'!$A$1:$G$7,MATCH('Project information'!$A$13,'Exchange rate'!$A$1:$A$7,0),MATCH(LOOKUP(2,1/({"China";"Korea";"India";"Japan";"EUR";"NAO"}=$E111),{"CNY";"KRW";"INR";"JPY";"EUR";"USD"}),'Exchange rate'!$A$1:$G$1,0)))</f>
        <v>4088</v>
      </c>
      <c r="V111" s="33">
        <f t="shared" si="180"/>
        <v>0</v>
      </c>
      <c r="W111" s="33">
        <f t="shared" si="181"/>
        <v>0</v>
      </c>
      <c r="X111" s="33">
        <f t="shared" si="182"/>
        <v>0</v>
      </c>
      <c r="Y111" s="33">
        <f t="shared" si="183"/>
        <v>0</v>
      </c>
      <c r="Z111" s="33">
        <f t="shared" si="184"/>
        <v>0</v>
      </c>
      <c r="AA111" s="33">
        <f t="shared" si="185"/>
        <v>0</v>
      </c>
      <c r="AB111" s="246"/>
      <c r="AC111" s="247"/>
      <c r="AZ111" s="148" t="str">
        <f t="shared" si="187"/>
        <v>4.6</v>
      </c>
      <c r="BA111" s="149"/>
    </row>
    <row r="112" spans="1:53" outlineLevel="1">
      <c r="A112" s="148" t="str">
        <f t="shared" si="186"/>
        <v>4.7</v>
      </c>
      <c r="B112" s="148" t="str">
        <f>INDEX('Standard cost - Prototype'!$A$1:$I$18,MATCH($C112,'Standard cost - Prototype'!$A$1:$A$16,0),MATCH(B$104,'Standard cost - Prototype'!$A$1:$I$1,0))</f>
        <v>LE</v>
      </c>
      <c r="C112" s="149" t="s">
        <v>284</v>
      </c>
      <c r="D112" s="150" t="str">
        <f>INDEX('Standard cost - Prototype'!$A$1:$I$18,MATCH($C112,'Standard cost - Prototype'!$A$1:$A$16,0),MATCH(D$104,'Standard cost - Prototype'!$A$1:$I$1,0))</f>
        <v>Silencer – Flex assy (1 part)</v>
      </c>
      <c r="E112" s="51" t="str">
        <f>IF('Project information'!$A$4="","",'Project information'!$A$4)</f>
        <v>China</v>
      </c>
      <c r="F112" s="149" t="str">
        <f>INDEX('Standard cost - Prototype'!$A$1:$I$18,MATCH($C112,'Standard cost - Prototype'!$A$1:$A$16,0),MATCH(F$104,'Standard cost - Prototype'!$A$1:$I$1,0))</f>
        <v>Faurecia</v>
      </c>
      <c r="G112" s="149"/>
      <c r="H112" s="46"/>
      <c r="I112" s="46"/>
      <c r="J112" s="46"/>
      <c r="K112" s="46"/>
      <c r="L112" s="46"/>
      <c r="M112" s="33">
        <f t="shared" si="178"/>
        <v>0</v>
      </c>
      <c r="N112" s="157">
        <f>IF(E112="","",IF(ISERROR(INDEX('Standard cost - Prototype'!$A$1:$I$18,MATCH($C112,'Standard cost - Prototype'!$A$1:$A$16,0),MATCH($E112,'Standard cost - Prototype'!$A$1:$I$1,0))),"NA",INDEX('Standard cost - Prototype'!$A$1:$I$18,MATCH($C112,'Standard cost - Prototype'!$A$1:$A$16,0),MATCH($E112,'Standard cost - Prototype'!$A$1:$I$1,0))))</f>
        <v>1986</v>
      </c>
      <c r="O112" s="45">
        <f>IF(OR(ISERROR($N112),$N112="",$N112="NA"),0,H112*$N112)*(1+INDEX('For Finance Control'!$B$27:$E$29,3,MATCH('Project information'!$A$4,'For Finance Control'!$B$27:$E$27,0)))</f>
        <v>0</v>
      </c>
      <c r="P112" s="45">
        <f>IF(OR(ISERROR($N112),$N112="",$N112="NA"),0,I112*$N112)*(1+INDEX('For Finance Control'!$B$27:$E$29,3,MATCH('Project information'!$A$4,'For Finance Control'!$B$27:$E$27,0)))</f>
        <v>0</v>
      </c>
      <c r="Q112" s="45">
        <f>IF(OR(ISERROR($N112),$N112="",$N112="NA"),0,J112*$N112)*(1+INDEX('For Finance Control'!$B$27:$E$29,3,MATCH('Project information'!$A$4,'For Finance Control'!$B$27:$E$27,0)))</f>
        <v>0</v>
      </c>
      <c r="R112" s="45">
        <f>IF(OR(ISERROR($N112),$N112="",$N112="NA"),0,K112*$N112)*(1+INDEX('For Finance Control'!$B$27:$E$29,3,MATCH('Project information'!$A$4,'For Finance Control'!$B$27:$E$27,0)))</f>
        <v>0</v>
      </c>
      <c r="S112" s="45">
        <f>IF(OR(ISERROR($N112),$N112="",$N112="NA"),0,L112*$N112)*(1+INDEX('For Finance Control'!$B$27:$E$29,3,MATCH('Project information'!$A$4,'For Finance Control'!$B$27:$E$27,0)))</f>
        <v>0</v>
      </c>
      <c r="T112" s="45">
        <f t="shared" si="179"/>
        <v>0</v>
      </c>
      <c r="U112" s="33" cm="1">
        <f t="array" ref="U112">IF($N112="NA","NA",$N112*INDEX('Exchange rate'!$A$1:$G$7,MATCH('Project information'!$A$13,'Exchange rate'!$A$1:$A$7,0),MATCH(LOOKUP(2,1/({"China";"Korea";"India";"Japan";"EUR";"NAO"}=$E112),{"CNY";"KRW";"INR";"JPY";"EUR";"USD"}),'Exchange rate'!$A$1:$G$1,0)))</f>
        <v>1986</v>
      </c>
      <c r="V112" s="33">
        <f t="shared" si="180"/>
        <v>0</v>
      </c>
      <c r="W112" s="33">
        <f t="shared" si="181"/>
        <v>0</v>
      </c>
      <c r="X112" s="33">
        <f t="shared" si="182"/>
        <v>0</v>
      </c>
      <c r="Y112" s="33">
        <f t="shared" si="183"/>
        <v>0</v>
      </c>
      <c r="Z112" s="33">
        <f t="shared" si="184"/>
        <v>0</v>
      </c>
      <c r="AA112" s="33">
        <f t="shared" si="185"/>
        <v>0</v>
      </c>
      <c r="AB112" s="246"/>
      <c r="AC112" s="247"/>
      <c r="AZ112" s="148" t="str">
        <f t="shared" si="187"/>
        <v>4.7</v>
      </c>
      <c r="BA112" s="149"/>
    </row>
    <row r="113" spans="1:53" outlineLevel="1">
      <c r="A113" s="148" t="str">
        <f t="shared" si="186"/>
        <v>4.8</v>
      </c>
      <c r="B113" s="148" t="str">
        <f>INDEX('Standard cost - Prototype'!$A$1:$I$18,MATCH($C113,'Standard cost - Prototype'!$A$1:$A$16,0),MATCH(B$104,'Standard cost - Prototype'!$A$1:$I$1,0))</f>
        <v>LE</v>
      </c>
      <c r="C113" s="149" t="s">
        <v>285</v>
      </c>
      <c r="D113" s="150" t="str">
        <f>INDEX('Standard cost - Prototype'!$A$1:$I$18,MATCH($C113,'Standard cost - Prototype'!$A$1:$A$16,0),MATCH(D$104,'Standard cost - Prototype'!$A$1:$I$1,0))</f>
        <v>Silencer - Front (1 part)</v>
      </c>
      <c r="E113" s="51" t="str">
        <f>IF('Project information'!$A$4="","",'Project information'!$A$4)</f>
        <v>China</v>
      </c>
      <c r="F113" s="149" t="str">
        <f>INDEX('Standard cost - Prototype'!$A$1:$I$18,MATCH($C113,'Standard cost - Prototype'!$A$1:$A$16,0),MATCH(F$104,'Standard cost - Prototype'!$A$1:$I$1,0))</f>
        <v>Faurecia</v>
      </c>
      <c r="G113" s="149"/>
      <c r="H113" s="46"/>
      <c r="I113" s="46"/>
      <c r="J113" s="46"/>
      <c r="K113" s="46"/>
      <c r="L113" s="46"/>
      <c r="M113" s="33">
        <f t="shared" si="178"/>
        <v>0</v>
      </c>
      <c r="N113" s="157">
        <f>IF(E113="","",IF(ISERROR(INDEX('Standard cost - Prototype'!$A$1:$I$18,MATCH($C113,'Standard cost - Prototype'!$A$1:$A$16,0),MATCH($E113,'Standard cost - Prototype'!$A$1:$I$1,0))),"NA",INDEX('Standard cost - Prototype'!$A$1:$I$18,MATCH($C113,'Standard cost - Prototype'!$A$1:$A$16,0),MATCH($E113,'Standard cost - Prototype'!$A$1:$I$1,0))))</f>
        <v>1986</v>
      </c>
      <c r="O113" s="45">
        <f>IF(OR(ISERROR($N113),$N113="",$N113="NA"),0,H113*$N113)*(1+INDEX('For Finance Control'!$B$27:$E$29,3,MATCH('Project information'!$A$4,'For Finance Control'!$B$27:$E$27,0)))</f>
        <v>0</v>
      </c>
      <c r="P113" s="45">
        <f>IF(OR(ISERROR($N113),$N113="",$N113="NA"),0,I113*$N113)*(1+INDEX('For Finance Control'!$B$27:$E$29,3,MATCH('Project information'!$A$4,'For Finance Control'!$B$27:$E$27,0)))</f>
        <v>0</v>
      </c>
      <c r="Q113" s="45">
        <f>IF(OR(ISERROR($N113),$N113="",$N113="NA"),0,J113*$N113)*(1+INDEX('For Finance Control'!$B$27:$E$29,3,MATCH('Project information'!$A$4,'For Finance Control'!$B$27:$E$27,0)))</f>
        <v>0</v>
      </c>
      <c r="R113" s="45">
        <f>IF(OR(ISERROR($N113),$N113="",$N113="NA"),0,K113*$N113)*(1+INDEX('For Finance Control'!$B$27:$E$29,3,MATCH('Project information'!$A$4,'For Finance Control'!$B$27:$E$27,0)))</f>
        <v>0</v>
      </c>
      <c r="S113" s="45">
        <f>IF(OR(ISERROR($N113),$N113="",$N113="NA"),0,L113*$N113)*(1+INDEX('For Finance Control'!$B$27:$E$29,3,MATCH('Project information'!$A$4,'For Finance Control'!$B$27:$E$27,0)))</f>
        <v>0</v>
      </c>
      <c r="T113" s="45">
        <f t="shared" si="179"/>
        <v>0</v>
      </c>
      <c r="U113" s="33" cm="1">
        <f t="array" ref="U113">IF($N113="NA","NA",$N113*INDEX('Exchange rate'!$A$1:$G$7,MATCH('Project information'!$A$13,'Exchange rate'!$A$1:$A$7,0),MATCH(LOOKUP(2,1/({"China";"Korea";"India";"Japan";"EUR";"NAO"}=$E113),{"CNY";"KRW";"INR";"JPY";"EUR";"USD"}),'Exchange rate'!$A$1:$G$1,0)))</f>
        <v>1986</v>
      </c>
      <c r="V113" s="33">
        <f t="shared" si="180"/>
        <v>0</v>
      </c>
      <c r="W113" s="33">
        <f t="shared" si="181"/>
        <v>0</v>
      </c>
      <c r="X113" s="33">
        <f t="shared" si="182"/>
        <v>0</v>
      </c>
      <c r="Y113" s="33">
        <f t="shared" si="183"/>
        <v>0</v>
      </c>
      <c r="Z113" s="33">
        <f t="shared" si="184"/>
        <v>0</v>
      </c>
      <c r="AA113" s="33">
        <f t="shared" si="185"/>
        <v>0</v>
      </c>
      <c r="AB113" s="246"/>
      <c r="AC113" s="247"/>
      <c r="AZ113" s="148" t="str">
        <f t="shared" si="187"/>
        <v>4.8</v>
      </c>
      <c r="BA113" s="149"/>
    </row>
    <row r="114" spans="1:53" outlineLevel="1">
      <c r="A114" s="148" t="str">
        <f t="shared" si="186"/>
        <v>4.9</v>
      </c>
      <c r="B114" s="148" t="str">
        <f>INDEX('Standard cost - Prototype'!$A$1:$I$18,MATCH($C114,'Standard cost - Prototype'!$A$1:$A$16,0),MATCH(B$104,'Standard cost - Prototype'!$A$1:$I$1,0))</f>
        <v>LE</v>
      </c>
      <c r="C114" s="149" t="s">
        <v>286</v>
      </c>
      <c r="D114" s="150" t="str">
        <f>INDEX('Standard cost - Prototype'!$A$1:$I$18,MATCH($C114,'Standard cost - Prototype'!$A$1:$A$16,0),MATCH(D$104,'Standard cost - Prototype'!$A$1:$I$1,0))</f>
        <v>Silencer - Rear (1 part)</v>
      </c>
      <c r="E114" s="51" t="str">
        <f>IF('Project information'!$A$4="","",'Project information'!$A$4)</f>
        <v>China</v>
      </c>
      <c r="F114" s="149" t="str">
        <f>INDEX('Standard cost - Prototype'!$A$1:$I$18,MATCH($C114,'Standard cost - Prototype'!$A$1:$A$16,0),MATCH(F$104,'Standard cost - Prototype'!$A$1:$I$1,0))</f>
        <v>Faurecia</v>
      </c>
      <c r="G114" s="149"/>
      <c r="H114" s="46"/>
      <c r="I114" s="46"/>
      <c r="J114" s="46"/>
      <c r="K114" s="46"/>
      <c r="L114" s="46"/>
      <c r="M114" s="33">
        <f t="shared" ref="M114:M115" si="188">SUM(H114:L114)</f>
        <v>0</v>
      </c>
      <c r="N114" s="157">
        <f>IF(E114="","",IF(ISERROR(INDEX('Standard cost - Prototype'!$A$1:$I$18,MATCH($C114,'Standard cost - Prototype'!$A$1:$A$16,0),MATCH($E114,'Standard cost - Prototype'!$A$1:$I$1,0))),"NA",INDEX('Standard cost - Prototype'!$A$1:$I$18,MATCH($C114,'Standard cost - Prototype'!$A$1:$A$16,0),MATCH($E114,'Standard cost - Prototype'!$A$1:$I$1,0))))</f>
        <v>3501</v>
      </c>
      <c r="O114" s="45">
        <f>IF(OR(ISERROR($N114),$N114="",$N114="NA"),0,H114*$N114)*(1+INDEX('For Finance Control'!$B$27:$E$29,3,MATCH('Project information'!$A$4,'For Finance Control'!$B$27:$E$27,0)))</f>
        <v>0</v>
      </c>
      <c r="P114" s="45">
        <f>IF(OR(ISERROR($N114),$N114="",$N114="NA"),0,I114*$N114)*(1+INDEX('For Finance Control'!$B$27:$E$29,3,MATCH('Project information'!$A$4,'For Finance Control'!$B$27:$E$27,0)))</f>
        <v>0</v>
      </c>
      <c r="Q114" s="45">
        <f>IF(OR(ISERROR($N114),$N114="",$N114="NA"),0,J114*$N114)*(1+INDEX('For Finance Control'!$B$27:$E$29,3,MATCH('Project information'!$A$4,'For Finance Control'!$B$27:$E$27,0)))</f>
        <v>0</v>
      </c>
      <c r="R114" s="45">
        <f>IF(OR(ISERROR($N114),$N114="",$N114="NA"),0,K114*$N114)*(1+INDEX('For Finance Control'!$B$27:$E$29,3,MATCH('Project information'!$A$4,'For Finance Control'!$B$27:$E$27,0)))</f>
        <v>0</v>
      </c>
      <c r="S114" s="45">
        <f>IF(OR(ISERROR($N114),$N114="",$N114="NA"),0,L114*$N114)*(1+INDEX('For Finance Control'!$B$27:$E$29,3,MATCH('Project information'!$A$4,'For Finance Control'!$B$27:$E$27,0)))</f>
        <v>0</v>
      </c>
      <c r="T114" s="45">
        <f t="shared" ref="T114:T115" si="189">SUM(O114:S114)</f>
        <v>0</v>
      </c>
      <c r="U114" s="33" cm="1">
        <f t="array" ref="U114">IF($N114="NA","NA",$N114*INDEX('Exchange rate'!$A$1:$G$7,MATCH('Project information'!$A$13,'Exchange rate'!$A$1:$A$7,0),MATCH(LOOKUP(2,1/({"China";"Korea";"India";"Japan";"EUR";"NAO"}=$E114),{"CNY";"KRW";"INR";"JPY";"EUR";"USD"}),'Exchange rate'!$A$1:$G$1,0)))</f>
        <v>3501</v>
      </c>
      <c r="V114" s="33">
        <f t="shared" ref="V114:V115" si="190">IF(OR(ISERROR($U114),$U114="",$U114="NA"),0,H114*$U114)</f>
        <v>0</v>
      </c>
      <c r="W114" s="33">
        <f t="shared" ref="W114:W115" si="191">IF(OR(ISERROR($U114),$U114="",$U114="NA"),0,I114*$U114)</f>
        <v>0</v>
      </c>
      <c r="X114" s="33">
        <f t="shared" ref="X114:X115" si="192">IF(OR(ISERROR($U114),$U114="",$U114="NA"),0,J114*$U114)</f>
        <v>0</v>
      </c>
      <c r="Y114" s="33">
        <f t="shared" ref="Y114:Y115" si="193">IF(OR(ISERROR($U114),$U114="",$U114="NA"),0,K114*$U114)</f>
        <v>0</v>
      </c>
      <c r="Z114" s="33">
        <f t="shared" ref="Z114:Z115" si="194">IF(OR(ISERROR($U114),$U114="",$U114="NA"),0,L114*$U114)</f>
        <v>0</v>
      </c>
      <c r="AA114" s="33">
        <f t="shared" ref="AA114:AA115" si="195">SUM(V114:Z114)</f>
        <v>0</v>
      </c>
      <c r="AB114" s="246"/>
      <c r="AC114" s="247"/>
      <c r="AZ114" s="148" t="str">
        <f t="shared" si="187"/>
        <v>4.9</v>
      </c>
      <c r="BA114" s="149"/>
    </row>
    <row r="115" spans="1:53" outlineLevel="1">
      <c r="A115" s="148" t="str">
        <f t="shared" si="186"/>
        <v>4.10</v>
      </c>
      <c r="B115" s="148" t="str">
        <f>INDEX('Standard cost - Prototype'!$A$1:$I$18,MATCH($C115,'Standard cost - Prototype'!$A$1:$A$16,0),MATCH(B$104,'Standard cost - Prototype'!$A$1:$I$1,0))</f>
        <v>LE</v>
      </c>
      <c r="C115" s="149" t="s">
        <v>287</v>
      </c>
      <c r="D115" s="150" t="str">
        <f>INDEX('Standard cost - Prototype'!$A$1:$I$18,MATCH($C115,'Standard cost - Prototype'!$A$1:$A$16,0),MATCH(D$104,'Standard cost - Prototype'!$A$1:$I$1,0))</f>
        <v>Canning (1 part)</v>
      </c>
      <c r="E115" s="51" t="str">
        <f>IF('Project information'!$A$4="","",'Project information'!$A$4)</f>
        <v>China</v>
      </c>
      <c r="F115" s="149" t="str">
        <f>INDEX('Standard cost - Prototype'!$A$1:$I$18,MATCH($C115,'Standard cost - Prototype'!$A$1:$A$16,0),MATCH(F$104,'Standard cost - Prototype'!$A$1:$I$1,0))</f>
        <v>Faurecia</v>
      </c>
      <c r="G115" s="149"/>
      <c r="H115" s="46"/>
      <c r="I115" s="46"/>
      <c r="J115" s="46"/>
      <c r="K115" s="46"/>
      <c r="L115" s="46"/>
      <c r="M115" s="33">
        <f t="shared" si="188"/>
        <v>0</v>
      </c>
      <c r="N115" s="157">
        <f>IF(E115="","",IF(ISERROR(INDEX('Standard cost - Prototype'!$A$1:$I$18,MATCH($C115,'Standard cost - Prototype'!$A$1:$A$16,0),MATCH($E115,'Standard cost - Prototype'!$A$1:$I$1,0))),"NA",INDEX('Standard cost - Prototype'!$A$1:$I$18,MATCH($C115,'Standard cost - Prototype'!$A$1:$A$16,0),MATCH($E115,'Standard cost - Prototype'!$A$1:$I$1,0))))</f>
        <v>1220</v>
      </c>
      <c r="O115" s="45">
        <f>IF(OR(ISERROR($N115),$N115="",$N115="NA"),0,H115*$N115)*(1+INDEX('For Finance Control'!$B$27:$E$29,3,MATCH('Project information'!$A$4,'For Finance Control'!$B$27:$E$27,0)))</f>
        <v>0</v>
      </c>
      <c r="P115" s="45">
        <f>IF(OR(ISERROR($N115),$N115="",$N115="NA"),0,I115*$N115)*(1+INDEX('For Finance Control'!$B$27:$E$29,3,MATCH('Project information'!$A$4,'For Finance Control'!$B$27:$E$27,0)))</f>
        <v>0</v>
      </c>
      <c r="Q115" s="45">
        <f>IF(OR(ISERROR($N115),$N115="",$N115="NA"),0,J115*$N115)*(1+INDEX('For Finance Control'!$B$27:$E$29,3,MATCH('Project information'!$A$4,'For Finance Control'!$B$27:$E$27,0)))</f>
        <v>0</v>
      </c>
      <c r="R115" s="45">
        <f>IF(OR(ISERROR($N115),$N115="",$N115="NA"),0,K115*$N115)*(1+INDEX('For Finance Control'!$B$27:$E$29,3,MATCH('Project information'!$A$4,'For Finance Control'!$B$27:$E$27,0)))</f>
        <v>0</v>
      </c>
      <c r="S115" s="45">
        <f>IF(OR(ISERROR($N115),$N115="",$N115="NA"),0,L115*$N115)*(1+INDEX('For Finance Control'!$B$27:$E$29,3,MATCH('Project information'!$A$4,'For Finance Control'!$B$27:$E$27,0)))</f>
        <v>0</v>
      </c>
      <c r="T115" s="45">
        <f t="shared" si="189"/>
        <v>0</v>
      </c>
      <c r="U115" s="33" cm="1">
        <f t="array" ref="U115">IF($N115="NA","NA",$N115*INDEX('Exchange rate'!$A$1:$G$7,MATCH('Project information'!$A$13,'Exchange rate'!$A$1:$A$7,0),MATCH(LOOKUP(2,1/({"China";"Korea";"India";"Japan";"EUR";"NAO"}=$E115),{"CNY";"KRW";"INR";"JPY";"EUR";"USD"}),'Exchange rate'!$A$1:$G$1,0)))</f>
        <v>1220</v>
      </c>
      <c r="V115" s="33">
        <f t="shared" si="190"/>
        <v>0</v>
      </c>
      <c r="W115" s="33">
        <f t="shared" si="191"/>
        <v>0</v>
      </c>
      <c r="X115" s="33">
        <f t="shared" si="192"/>
        <v>0</v>
      </c>
      <c r="Y115" s="33">
        <f t="shared" si="193"/>
        <v>0</v>
      </c>
      <c r="Z115" s="33">
        <f t="shared" si="194"/>
        <v>0</v>
      </c>
      <c r="AA115" s="33">
        <f t="shared" si="195"/>
        <v>0</v>
      </c>
      <c r="AB115" s="246"/>
      <c r="AC115" s="247"/>
      <c r="AZ115" s="148" t="str">
        <f t="shared" si="187"/>
        <v>4.10</v>
      </c>
      <c r="BA115" s="149"/>
    </row>
    <row r="116" spans="1:53" outlineLevel="1">
      <c r="A116" s="148" t="str">
        <f t="shared" si="186"/>
        <v>4.11</v>
      </c>
      <c r="B116" s="148" t="str">
        <f>INDEX('Standard cost - Prototype'!$A$1:$I$18,MATCH($C116,'Standard cost - Prototype'!$A$1:$A$16,0),MATCH(B$104,'Standard cost - Prototype'!$A$1:$I$1,0))</f>
        <v>LE</v>
      </c>
      <c r="C116" s="149" t="s">
        <v>288</v>
      </c>
      <c r="D116" s="150" t="str">
        <f>INDEX('Standard cost - Prototype'!$A$1:$I$18,MATCH($C116,'Standard cost - Prototype'!$A$1:$A$16,0),MATCH(D$104,'Standard cost - Prototype'!$A$1:$I$1,0))</f>
        <v>Pipe + hanger (1 part)</v>
      </c>
      <c r="E116" s="51" t="str">
        <f>IF('Project information'!$A$4="","",'Project information'!$A$4)</f>
        <v>China</v>
      </c>
      <c r="F116" s="149" t="str">
        <f>INDEX('Standard cost - Prototype'!$A$1:$I$18,MATCH($C116,'Standard cost - Prototype'!$A$1:$A$16,0),MATCH(F$104,'Standard cost - Prototype'!$A$1:$I$1,0))</f>
        <v>Faurecia</v>
      </c>
      <c r="G116" s="149"/>
      <c r="H116" s="46"/>
      <c r="I116" s="46"/>
      <c r="J116" s="46"/>
      <c r="K116" s="46"/>
      <c r="L116" s="46"/>
      <c r="M116" s="33">
        <f t="shared" si="178"/>
        <v>0</v>
      </c>
      <c r="N116" s="157">
        <f>IF(E116="","",IF(ISERROR(INDEX('Standard cost - Prototype'!$A$1:$I$18,MATCH($C116,'Standard cost - Prototype'!$A$1:$A$16,0),MATCH($E116,'Standard cost - Prototype'!$A$1:$I$1,0))),"NA",INDEX('Standard cost - Prototype'!$A$1:$I$18,MATCH($C116,'Standard cost - Prototype'!$A$1:$A$16,0),MATCH($E116,'Standard cost - Prototype'!$A$1:$I$1,0))))</f>
        <v>621</v>
      </c>
      <c r="O116" s="45">
        <f>IF(OR(ISERROR($N116),$N116="",$N116="NA"),0,H116*$N116)*(1+INDEX('For Finance Control'!$B$27:$E$29,3,MATCH('Project information'!$A$4,'For Finance Control'!$B$27:$E$27,0)))</f>
        <v>0</v>
      </c>
      <c r="P116" s="45">
        <f>IF(OR(ISERROR($N116),$N116="",$N116="NA"),0,I116*$N116)*(1+INDEX('For Finance Control'!$B$27:$E$29,3,MATCH('Project information'!$A$4,'For Finance Control'!$B$27:$E$27,0)))</f>
        <v>0</v>
      </c>
      <c r="Q116" s="45">
        <f>IF(OR(ISERROR($N116),$N116="",$N116="NA"),0,J116*$N116)*(1+INDEX('For Finance Control'!$B$27:$E$29,3,MATCH('Project information'!$A$4,'For Finance Control'!$B$27:$E$27,0)))</f>
        <v>0</v>
      </c>
      <c r="R116" s="45">
        <f>IF(OR(ISERROR($N116),$N116="",$N116="NA"),0,K116*$N116)*(1+INDEX('For Finance Control'!$B$27:$E$29,3,MATCH('Project information'!$A$4,'For Finance Control'!$B$27:$E$27,0)))</f>
        <v>0</v>
      </c>
      <c r="S116" s="45">
        <f>IF(OR(ISERROR($N116),$N116="",$N116="NA"),0,L116*$N116)*(1+INDEX('For Finance Control'!$B$27:$E$29,3,MATCH('Project information'!$A$4,'For Finance Control'!$B$27:$E$27,0)))</f>
        <v>0</v>
      </c>
      <c r="T116" s="45">
        <f t="shared" si="179"/>
        <v>0</v>
      </c>
      <c r="U116" s="33" cm="1">
        <f t="array" ref="U116">IF($N116="NA","NA",$N116*INDEX('Exchange rate'!$A$1:$G$7,MATCH('Project information'!$A$13,'Exchange rate'!$A$1:$A$7,0),MATCH(LOOKUP(2,1/({"China";"Korea";"India";"Japan";"EUR";"NAO"}=$E116),{"CNY";"KRW";"INR";"JPY";"EUR";"USD"}),'Exchange rate'!$A$1:$G$1,0)))</f>
        <v>621</v>
      </c>
      <c r="V116" s="33">
        <f t="shared" si="180"/>
        <v>0</v>
      </c>
      <c r="W116" s="33">
        <f t="shared" si="181"/>
        <v>0</v>
      </c>
      <c r="X116" s="33">
        <f t="shared" si="182"/>
        <v>0</v>
      </c>
      <c r="Y116" s="33">
        <f t="shared" si="183"/>
        <v>0</v>
      </c>
      <c r="Z116" s="33">
        <f t="shared" si="184"/>
        <v>0</v>
      </c>
      <c r="AA116" s="33">
        <f t="shared" si="185"/>
        <v>0</v>
      </c>
      <c r="AB116" s="246"/>
      <c r="AC116" s="247"/>
      <c r="AZ116" s="148" t="str">
        <f t="shared" si="187"/>
        <v>4.11</v>
      </c>
      <c r="BA116" s="149"/>
    </row>
    <row r="117" spans="1:53" outlineLevel="1">
      <c r="A117" s="148" t="str">
        <f t="shared" si="186"/>
        <v>4.12</v>
      </c>
      <c r="B117" s="148" t="str">
        <f>INDEX('Standard cost - Prototype'!$A$1:$I$18,MATCH($C117,'Standard cost - Prototype'!$A$1:$A$16,0),MATCH(B$104,'Standard cost - Prototype'!$A$1:$I$1,0))</f>
        <v>LE</v>
      </c>
      <c r="C117" s="149" t="s">
        <v>289</v>
      </c>
      <c r="D117" s="150" t="str">
        <f>INDEX('Standard cost - Prototype'!$A$1:$I$18,MATCH($C117,'Standard cost - Prototype'!$A$1:$A$16,0),MATCH(D$104,'Standard cost - Prototype'!$A$1:$I$1,0))</f>
        <v>PV sample modification (1 part)</v>
      </c>
      <c r="E117" s="51" t="str">
        <f>IF('Project information'!$A$4="","",'Project information'!$A$4)</f>
        <v>China</v>
      </c>
      <c r="F117" s="149" t="str">
        <f>INDEX('Standard cost - Prototype'!$A$1:$I$18,MATCH($C117,'Standard cost - Prototype'!$A$1:$A$16,0),MATCH(F$104,'Standard cost - Prototype'!$A$1:$I$1,0))</f>
        <v>Faurecia</v>
      </c>
      <c r="G117" s="149"/>
      <c r="H117" s="46"/>
      <c r="I117" s="46"/>
      <c r="J117" s="46"/>
      <c r="K117" s="46"/>
      <c r="L117" s="46"/>
      <c r="M117" s="33">
        <f t="shared" si="178"/>
        <v>0</v>
      </c>
      <c r="N117" s="157">
        <f>IF(E117="","",IF(ISERROR(INDEX('Standard cost - Prototype'!$A$1:$I$18,MATCH($C117,'Standard cost - Prototype'!$A$1:$A$16,0),MATCH($E117,'Standard cost - Prototype'!$A$1:$I$1,0))),"NA",INDEX('Standard cost - Prototype'!$A$1:$I$18,MATCH($C117,'Standard cost - Prototype'!$A$1:$A$16,0),MATCH($E117,'Standard cost - Prototype'!$A$1:$I$1,0))))</f>
        <v>483</v>
      </c>
      <c r="O117" s="45">
        <f>IF(OR(ISERROR($N117),$N117="",$N117="NA"),0,H117*$N117)*(1+INDEX('For Finance Control'!$B$27:$E$29,3,MATCH('Project information'!$A$4,'For Finance Control'!$B$27:$E$27,0)))</f>
        <v>0</v>
      </c>
      <c r="P117" s="45">
        <f>IF(OR(ISERROR($N117),$N117="",$N117="NA"),0,I117*$N117)*(1+INDEX('For Finance Control'!$B$27:$E$29,3,MATCH('Project information'!$A$4,'For Finance Control'!$B$27:$E$27,0)))</f>
        <v>0</v>
      </c>
      <c r="Q117" s="45">
        <f>IF(OR(ISERROR($N117),$N117="",$N117="NA"),0,J117*$N117)*(1+INDEX('For Finance Control'!$B$27:$E$29,3,MATCH('Project information'!$A$4,'For Finance Control'!$B$27:$E$27,0)))</f>
        <v>0</v>
      </c>
      <c r="R117" s="45">
        <f>IF(OR(ISERROR($N117),$N117="",$N117="NA"),0,K117*$N117)*(1+INDEX('For Finance Control'!$B$27:$E$29,3,MATCH('Project information'!$A$4,'For Finance Control'!$B$27:$E$27,0)))</f>
        <v>0</v>
      </c>
      <c r="S117" s="45">
        <f>IF(OR(ISERROR($N117),$N117="",$N117="NA"),0,L117*$N117)*(1+INDEX('For Finance Control'!$B$27:$E$29,3,MATCH('Project information'!$A$4,'For Finance Control'!$B$27:$E$27,0)))</f>
        <v>0</v>
      </c>
      <c r="T117" s="45">
        <f t="shared" si="179"/>
        <v>0</v>
      </c>
      <c r="U117" s="33" cm="1">
        <f t="array" ref="U117">IF($N117="NA","NA",$N117*INDEX('Exchange rate'!$A$1:$G$7,MATCH('Project information'!$A$13,'Exchange rate'!$A$1:$A$7,0),MATCH(LOOKUP(2,1/({"China";"Korea";"India";"Japan";"EUR";"NAO"}=$E117),{"CNY";"KRW";"INR";"JPY";"EUR";"USD"}),'Exchange rate'!$A$1:$G$1,0)))</f>
        <v>483</v>
      </c>
      <c r="V117" s="33">
        <f t="shared" si="180"/>
        <v>0</v>
      </c>
      <c r="W117" s="33">
        <f t="shared" si="181"/>
        <v>0</v>
      </c>
      <c r="X117" s="33">
        <f t="shared" si="182"/>
        <v>0</v>
      </c>
      <c r="Y117" s="33">
        <f t="shared" si="183"/>
        <v>0</v>
      </c>
      <c r="Z117" s="33">
        <f t="shared" si="184"/>
        <v>0</v>
      </c>
      <c r="AA117" s="33">
        <f t="shared" si="185"/>
        <v>0</v>
      </c>
      <c r="AB117" s="246"/>
      <c r="AC117" s="247"/>
      <c r="AZ117" s="148" t="str">
        <f t="shared" si="187"/>
        <v>4.12</v>
      </c>
      <c r="BA117" s="149"/>
    </row>
    <row r="118" spans="1:53" outlineLevel="1">
      <c r="A118" s="148" t="str">
        <f t="shared" si="186"/>
        <v>4.13</v>
      </c>
      <c r="B118" s="148" t="str">
        <f>INDEX('Standard cost - Prototype'!$A$1:$I$18,MATCH($C118,'Standard cost - Prototype'!$A$1:$A$16,0),MATCH(B$104,'Standard cost - Prototype'!$A$1:$I$1,0))</f>
        <v>Common</v>
      </c>
      <c r="C118" s="149" t="s">
        <v>290</v>
      </c>
      <c r="D118" s="150" t="str">
        <f>INDEX('Standard cost - Prototype'!$A$1:$I$18,MATCH($C118,'Standard cost - Prototype'!$A$1:$A$16,0),MATCH(D$104,'Standard cost - Prototype'!$A$1:$I$1,0))</f>
        <v>MVP sample cost</v>
      </c>
      <c r="E118" s="51" t="str">
        <f>IF('Project information'!$A$4="","",'Project information'!$A$4)</f>
        <v>China</v>
      </c>
      <c r="F118" s="149" t="str">
        <f>INDEX('Standard cost - Prototype'!$A$1:$I$18,MATCH($C118,'Standard cost - Prototype'!$A$1:$A$16,0),MATCH(F$104,'Standard cost - Prototype'!$A$1:$I$1,0))</f>
        <v>Faurecia</v>
      </c>
      <c r="G118" s="149"/>
      <c r="H118" s="46"/>
      <c r="I118" s="46"/>
      <c r="J118" s="46"/>
      <c r="K118" s="46"/>
      <c r="L118" s="46"/>
      <c r="M118" s="33">
        <f t="shared" si="178"/>
        <v>0</v>
      </c>
      <c r="N118" s="167"/>
      <c r="O118" s="45">
        <f>IF(OR(ISERROR($N118),$N118="",$N118="NA"),0,H118*$N118)*(1+INDEX('For Finance Control'!$B$27:$E$29,3,MATCH('Project information'!$A$4,'For Finance Control'!$B$27:$E$27,0)))</f>
        <v>0</v>
      </c>
      <c r="P118" s="45">
        <f>IF(OR(ISERROR($N118),$N118="",$N118="NA"),0,I118*$N118)*(1+INDEX('For Finance Control'!$B$27:$E$29,3,MATCH('Project information'!$A$4,'For Finance Control'!$B$27:$E$27,0)))</f>
        <v>0</v>
      </c>
      <c r="Q118" s="45">
        <f>IF(OR(ISERROR($N118),$N118="",$N118="NA"),0,J118*$N118)*(1+INDEX('For Finance Control'!$B$27:$E$29,3,MATCH('Project information'!$A$4,'For Finance Control'!$B$27:$E$27,0)))</f>
        <v>0</v>
      </c>
      <c r="R118" s="45">
        <f>IF(OR(ISERROR($N118),$N118="",$N118="NA"),0,K118*$N118)*(1+INDEX('For Finance Control'!$B$27:$E$29,3,MATCH('Project information'!$A$4,'For Finance Control'!$B$27:$E$27,0)))</f>
        <v>0</v>
      </c>
      <c r="S118" s="45">
        <f>IF(OR(ISERROR($N118),$N118="",$N118="NA"),0,L118*$N118)*(1+INDEX('For Finance Control'!$B$27:$E$29,3,MATCH('Project information'!$A$4,'For Finance Control'!$B$27:$E$27,0)))</f>
        <v>0</v>
      </c>
      <c r="T118" s="45">
        <f t="shared" si="179"/>
        <v>0</v>
      </c>
      <c r="U118" s="33" cm="1">
        <f t="array" ref="U118">IF($N118="NA","NA",$N118*INDEX('Exchange rate'!$A$1:$G$7,MATCH('Project information'!$A$13,'Exchange rate'!$A$1:$A$7,0),MATCH(LOOKUP(2,1/({"China";"Korea";"India";"Japan";"EUR";"NAO"}=$E118),{"CNY";"KRW";"INR";"JPY";"EUR";"USD"}),'Exchange rate'!$A$1:$G$1,0)))</f>
        <v>0</v>
      </c>
      <c r="V118" s="33">
        <f t="shared" si="180"/>
        <v>0</v>
      </c>
      <c r="W118" s="33">
        <f t="shared" si="181"/>
        <v>0</v>
      </c>
      <c r="X118" s="33">
        <f t="shared" si="182"/>
        <v>0</v>
      </c>
      <c r="Y118" s="33">
        <f t="shared" si="183"/>
        <v>0</v>
      </c>
      <c r="Z118" s="33">
        <f t="shared" si="184"/>
        <v>0</v>
      </c>
      <c r="AA118" s="33">
        <f t="shared" si="185"/>
        <v>0</v>
      </c>
      <c r="AB118" s="246"/>
      <c r="AC118" s="247"/>
      <c r="AZ118" s="148" t="str">
        <f t="shared" si="187"/>
        <v>4.13</v>
      </c>
      <c r="BA118" s="149"/>
    </row>
    <row r="119" spans="1:53" outlineLevel="1">
      <c r="A119" s="148" t="str">
        <f t="shared" si="186"/>
        <v>4.14</v>
      </c>
      <c r="B119" s="148" t="str">
        <f>INDEX('Standard cost - Prototype'!$A$1:$I$18,MATCH($C119,'Standard cost - Prototype'!$A$1:$A$16,0),MATCH(B$104,'Standard cost - Prototype'!$A$1:$I$1,0))</f>
        <v>Common</v>
      </c>
      <c r="C119" s="149" t="s">
        <v>291</v>
      </c>
      <c r="D119" s="150" t="str">
        <f>INDEX('Standard cost - Prototype'!$A$1:$I$18,MATCH($C119,'Standard cost - Prototype'!$A$1:$A$16,0),MATCH(D$104,'Standard cost - Prototype'!$A$1:$I$1,0))</f>
        <v>MVP tooling cost</v>
      </c>
      <c r="E119" s="51" t="str">
        <f>IF('Project information'!$A$4="","",'Project information'!$A$4)</f>
        <v>China</v>
      </c>
      <c r="F119" s="149" t="str">
        <f>INDEX('Standard cost - Prototype'!$A$1:$I$18,MATCH($C119,'Standard cost - Prototype'!$A$1:$A$16,0),MATCH(F$104,'Standard cost - Prototype'!$A$1:$I$1,0))</f>
        <v>Faurecia</v>
      </c>
      <c r="G119" s="149"/>
      <c r="H119" s="46"/>
      <c r="I119" s="46"/>
      <c r="J119" s="46"/>
      <c r="K119" s="46"/>
      <c r="L119" s="46"/>
      <c r="M119" s="33">
        <f t="shared" si="178"/>
        <v>0</v>
      </c>
      <c r="N119" s="167"/>
      <c r="O119" s="45">
        <f>IF(OR(ISERROR($N119),$N119="",$N119="NA"),0,H119*$N119)*(1+INDEX('For Finance Control'!$B$27:$E$29,3,MATCH('Project information'!$A$4,'For Finance Control'!$B$27:$E$27,0)))</f>
        <v>0</v>
      </c>
      <c r="P119" s="45">
        <f>IF(OR(ISERROR($N119),$N119="",$N119="NA"),0,I119*$N119)*(1+INDEX('For Finance Control'!$B$27:$E$29,3,MATCH('Project information'!$A$4,'For Finance Control'!$B$27:$E$27,0)))</f>
        <v>0</v>
      </c>
      <c r="Q119" s="45">
        <f>IF(OR(ISERROR($N119),$N119="",$N119="NA"),0,J119*$N119)*(1+INDEX('For Finance Control'!$B$27:$E$29,3,MATCH('Project information'!$A$4,'For Finance Control'!$B$27:$E$27,0)))</f>
        <v>0</v>
      </c>
      <c r="R119" s="45">
        <f>IF(OR(ISERROR($N119),$N119="",$N119="NA"),0,K119*$N119)*(1+INDEX('For Finance Control'!$B$27:$E$29,3,MATCH('Project information'!$A$4,'For Finance Control'!$B$27:$E$27,0)))</f>
        <v>0</v>
      </c>
      <c r="S119" s="45">
        <f>IF(OR(ISERROR($N119),$N119="",$N119="NA"),0,L119*$N119)*(1+INDEX('For Finance Control'!$B$27:$E$29,3,MATCH('Project information'!$A$4,'For Finance Control'!$B$27:$E$27,0)))</f>
        <v>0</v>
      </c>
      <c r="T119" s="45">
        <f t="shared" si="179"/>
        <v>0</v>
      </c>
      <c r="U119" s="33" cm="1">
        <f t="array" ref="U119">IF($N119="NA","NA",$N119*INDEX('Exchange rate'!$A$1:$G$7,MATCH('Project information'!$A$13,'Exchange rate'!$A$1:$A$7,0),MATCH(LOOKUP(2,1/({"China";"Korea";"India";"Japan";"EUR";"NAO"}=$E119),{"CNY";"KRW";"INR";"JPY";"EUR";"USD"}),'Exchange rate'!$A$1:$G$1,0)))</f>
        <v>0</v>
      </c>
      <c r="V119" s="33">
        <f t="shared" si="180"/>
        <v>0</v>
      </c>
      <c r="W119" s="33">
        <f t="shared" si="181"/>
        <v>0</v>
      </c>
      <c r="X119" s="33">
        <f t="shared" si="182"/>
        <v>0</v>
      </c>
      <c r="Y119" s="33">
        <f t="shared" si="183"/>
        <v>0</v>
      </c>
      <c r="Z119" s="33">
        <f t="shared" si="184"/>
        <v>0</v>
      </c>
      <c r="AA119" s="33">
        <f t="shared" si="185"/>
        <v>0</v>
      </c>
      <c r="AB119" s="246"/>
      <c r="AC119" s="247"/>
      <c r="AZ119" s="148" t="str">
        <f t="shared" si="187"/>
        <v>4.14</v>
      </c>
      <c r="BA119" s="149"/>
    </row>
    <row r="120" spans="1:53" outlineLevel="1">
      <c r="A120" s="148" t="str">
        <f t="shared" si="186"/>
        <v>4.15</v>
      </c>
      <c r="B120" s="148" t="str">
        <f>INDEX('Standard cost - Prototype'!$A$1:$I$18,MATCH($C120,'Standard cost - Prototype'!$A$1:$A$16,0),MATCH(B$104,'Standard cost - Prototype'!$A$1:$I$1,0))</f>
        <v>Common</v>
      </c>
      <c r="C120" s="149" t="s">
        <v>292</v>
      </c>
      <c r="D120" s="150" t="str">
        <f>INDEX('Standard cost - Prototype'!$A$1:$I$18,MATCH($C120,'Standard cost - Prototype'!$A$1:$A$16,0),MATCH(D$104,'Standard cost - Prototype'!$A$1:$I$1,0))</f>
        <v>Prototype tooling cost</v>
      </c>
      <c r="E120" s="51" t="str">
        <f>IF('Project information'!$A$4="","",'Project information'!$A$4)</f>
        <v>China</v>
      </c>
      <c r="F120" s="149" t="str">
        <f>INDEX('Standard cost - Prototype'!$A$1:$I$18,MATCH($C120,'Standard cost - Prototype'!$A$1:$A$16,0),MATCH(F$104,'Standard cost - Prototype'!$A$1:$I$1,0))</f>
        <v>Faurecia</v>
      </c>
      <c r="G120" s="149"/>
      <c r="H120" s="46"/>
      <c r="I120" s="46"/>
      <c r="J120" s="46"/>
      <c r="K120" s="46"/>
      <c r="L120" s="46"/>
      <c r="M120" s="33">
        <f t="shared" si="178"/>
        <v>0</v>
      </c>
      <c r="N120" s="167"/>
      <c r="O120" s="45">
        <f>IF(OR(ISERROR($N120),$N120="",$N120="NA"),0,H120*$N120)*(1+INDEX('For Finance Control'!$B$27:$E$29,3,MATCH('Project information'!$A$4,'For Finance Control'!$B$27:$E$27,0)))</f>
        <v>0</v>
      </c>
      <c r="P120" s="45">
        <f>IF(OR(ISERROR($N120),$N120="",$N120="NA"),0,I120*$N120)*(1+INDEX('For Finance Control'!$B$27:$E$29,3,MATCH('Project information'!$A$4,'For Finance Control'!$B$27:$E$27,0)))</f>
        <v>0</v>
      </c>
      <c r="Q120" s="45">
        <f>IF(OR(ISERROR($N120),$N120="",$N120="NA"),0,J120*$N120)*(1+INDEX('For Finance Control'!$B$27:$E$29,3,MATCH('Project information'!$A$4,'For Finance Control'!$B$27:$E$27,0)))</f>
        <v>0</v>
      </c>
      <c r="R120" s="45">
        <f>IF(OR(ISERROR($N120),$N120="",$N120="NA"),0,K120*$N120)*(1+INDEX('For Finance Control'!$B$27:$E$29,3,MATCH('Project information'!$A$4,'For Finance Control'!$B$27:$E$27,0)))</f>
        <v>0</v>
      </c>
      <c r="S120" s="45">
        <f>IF(OR(ISERROR($N120),$N120="",$N120="NA"),0,L120*$N120)*(1+INDEX('For Finance Control'!$B$27:$E$29,3,MATCH('Project information'!$A$4,'For Finance Control'!$B$27:$E$27,0)))</f>
        <v>0</v>
      </c>
      <c r="T120" s="45">
        <f t="shared" si="179"/>
        <v>0</v>
      </c>
      <c r="U120" s="33" cm="1">
        <f t="array" ref="U120">IF($N120="NA","NA",$N120*INDEX('Exchange rate'!$A$1:$G$7,MATCH('Project information'!$A$13,'Exchange rate'!$A$1:$A$7,0),MATCH(LOOKUP(2,1/({"China";"Korea";"India";"Japan";"EUR";"NAO"}=$E120),{"CNY";"KRW";"INR";"JPY";"EUR";"USD"}),'Exchange rate'!$A$1:$G$1,0)))</f>
        <v>0</v>
      </c>
      <c r="V120" s="33">
        <f t="shared" si="180"/>
        <v>0</v>
      </c>
      <c r="W120" s="33">
        <f t="shared" si="181"/>
        <v>0</v>
      </c>
      <c r="X120" s="33">
        <f t="shared" si="182"/>
        <v>0</v>
      </c>
      <c r="Y120" s="33">
        <f t="shared" si="183"/>
        <v>0</v>
      </c>
      <c r="Z120" s="33">
        <f t="shared" si="184"/>
        <v>0</v>
      </c>
      <c r="AA120" s="33">
        <f t="shared" si="185"/>
        <v>0</v>
      </c>
      <c r="AB120" s="246"/>
      <c r="AC120" s="247"/>
      <c r="AZ120" s="148" t="str">
        <f t="shared" si="187"/>
        <v>4.15</v>
      </c>
      <c r="BA120" s="149"/>
    </row>
    <row r="121" spans="1:53" ht="25">
      <c r="A121" s="23" t="s">
        <v>128</v>
      </c>
      <c r="B121" s="23" t="s">
        <v>129</v>
      </c>
      <c r="C121" s="23" t="s">
        <v>130</v>
      </c>
      <c r="D121" s="151" t="s">
        <v>131</v>
      </c>
      <c r="E121" s="23" t="s">
        <v>132</v>
      </c>
      <c r="F121" s="23" t="s">
        <v>165</v>
      </c>
      <c r="G121" s="151" t="s">
        <v>166</v>
      </c>
      <c r="H121" s="151" t="s">
        <v>293</v>
      </c>
      <c r="I121" s="151" t="s">
        <v>293</v>
      </c>
      <c r="J121" s="151" t="s">
        <v>293</v>
      </c>
      <c r="K121" s="151" t="s">
        <v>293</v>
      </c>
      <c r="L121" s="151" t="s">
        <v>293</v>
      </c>
      <c r="M121" s="151" t="s">
        <v>293</v>
      </c>
      <c r="N121" s="152" t="s">
        <v>294</v>
      </c>
      <c r="O121" s="36" t="s">
        <v>120</v>
      </c>
      <c r="P121" s="36" t="s">
        <v>121</v>
      </c>
      <c r="Q121" s="36" t="s">
        <v>122</v>
      </c>
      <c r="R121" s="36" t="s">
        <v>123</v>
      </c>
      <c r="S121" s="36" t="s">
        <v>124</v>
      </c>
      <c r="T121" s="154" t="s">
        <v>275</v>
      </c>
      <c r="U121" s="142" t="s">
        <v>276</v>
      </c>
      <c r="V121" s="36" t="s">
        <v>120</v>
      </c>
      <c r="W121" s="36" t="s">
        <v>121</v>
      </c>
      <c r="X121" s="36" t="s">
        <v>122</v>
      </c>
      <c r="Y121" s="36" t="s">
        <v>123</v>
      </c>
      <c r="Z121" s="36" t="s">
        <v>124</v>
      </c>
      <c r="AA121" s="151" t="s">
        <v>275</v>
      </c>
      <c r="AB121" s="262" t="s">
        <v>137</v>
      </c>
      <c r="AC121" s="263"/>
      <c r="AZ121" s="23" t="s">
        <v>128</v>
      </c>
      <c r="BA121" s="151" t="s">
        <v>169</v>
      </c>
    </row>
    <row r="122" spans="1:53" collapsed="1">
      <c r="A122" s="25">
        <f>A105+1</f>
        <v>5</v>
      </c>
      <c r="B122" s="25"/>
      <c r="C122" s="26"/>
      <c r="D122" s="27" t="s">
        <v>295</v>
      </c>
      <c r="E122" s="27"/>
      <c r="F122" s="27"/>
      <c r="G122" s="27"/>
      <c r="H122" s="29"/>
      <c r="I122" s="29"/>
      <c r="J122" s="29"/>
      <c r="K122" s="29"/>
      <c r="L122" s="29"/>
      <c r="M122" s="29"/>
      <c r="N122" s="30"/>
      <c r="O122" s="26"/>
      <c r="P122" s="26"/>
      <c r="Q122" s="26"/>
      <c r="R122" s="26"/>
      <c r="S122" s="26"/>
      <c r="T122" s="26"/>
      <c r="U122" s="29"/>
      <c r="V122" s="162">
        <f>SUM(V123:V391)</f>
        <v>0</v>
      </c>
      <c r="W122" s="162">
        <f>SUM(W123:W391)</f>
        <v>0</v>
      </c>
      <c r="X122" s="162">
        <f>SUM(X123:X391)</f>
        <v>0</v>
      </c>
      <c r="Y122" s="162">
        <f>SUM(Y123:Y391)</f>
        <v>0</v>
      </c>
      <c r="Z122" s="162">
        <f>SUM(Z123:Z391)</f>
        <v>0</v>
      </c>
      <c r="AA122" s="162">
        <f>SUM(V122:Z122)</f>
        <v>0</v>
      </c>
      <c r="AB122" s="260"/>
      <c r="AC122" s="261"/>
      <c r="AZ122" s="25">
        <f>AZ105+1</f>
        <v>5</v>
      </c>
      <c r="BA122" s="27"/>
    </row>
    <row r="123" spans="1:53" ht="37.5" outlineLevel="1">
      <c r="A123" s="148" t="str">
        <f>$A$122&amp;"."&amp;ROW(A123)-ROW($A$122)</f>
        <v>5.1</v>
      </c>
      <c r="B123" s="148" t="str">
        <f>INDEX('Standard cost - Testing'!$A$1:$N$497,MATCH(RIGHT($C123,4),'Standard cost - Testing'!$A$1:$A$497,0),3)</f>
        <v>LVE</v>
      </c>
      <c r="C123" s="149" t="str">
        <f>'Standard cost - Testing'!B2&amp;" - "&amp;'Standard cost - Testing'!A2</f>
        <v>Acoustic - A001</v>
      </c>
      <c r="D123" s="150" t="str">
        <f>IF(RIGHT(INDEX('Standard cost - Testing'!$A$1:$N$497,MATCH(RIGHT($C123,4),'Standard cost - Testing'!$A$1:$A$497,0),4),1)="]",INDEX('Standard cost - Testing'!$A$1:$N$497,MATCH(RIGHT($C123,4),'Standard cost - Testing'!$A$1:$A$497,0),4),IF(INDEX('Standard cost - Testing'!$A$1:$N$497,MATCH(RIGHT($C123,4),'Standard cost - Testing'!$A$1:$A$497,0),10)=1,INDEX('Standard cost - Testing'!$A$1:$N$497,MATCH(RIGHT($C123,4),'Standard cost - Testing'!$A$1:$A$497,0),4)&amp;" [1 part]",INDEX('Standard cost - Testing'!$A$1:$N$497,MATCH(RIGHT($C123,4),'Standard cost - Testing'!$A$1:$A$497,0),4)&amp;" ["&amp;INDEX('Standard cost - Testing'!$A$1:$N$497,MATCH(RIGHT($C123,4),'Standard cost - Testing'!$A$1:$A$497,0),10)&amp;" parts]"))</f>
        <v>Acoustic measurement (TPN, BP, Idle) [1 part]</v>
      </c>
      <c r="E123" s="51" t="str">
        <f>IF('Project information'!$A$4="","",'Project information'!$A$4)</f>
        <v>China</v>
      </c>
      <c r="F123" s="149" t="str">
        <f>INDEX('Standard cost - Testing'!$A$1:$N$497,MATCH(RIGHT($C123,4),'Standard cost - Testing'!$A$1:$A$497,0),5)</f>
        <v>Faurecia</v>
      </c>
      <c r="G123" s="149" t="str">
        <f>IF($E123='Standard cost - Testing'!$F$1,INDEX('Standard cost - Testing'!$A$1:$N$497,MATCH(RIGHT($C123,4),'Standard cost - Testing'!$A$1:$A$497,0),6),INDEX('Standard cost - Testing'!$A$1:$N$497,MATCH(RIGHT($C123,4),'Standard cost - Testing'!$A$1:$A$497,0),7))</f>
        <v>CHD-I-DSE-2012
CHD-I-DSE-2013
CHD-I-DSE-2017</v>
      </c>
      <c r="H123" s="46"/>
      <c r="I123" s="46"/>
      <c r="J123" s="46"/>
      <c r="K123" s="46"/>
      <c r="L123" s="46"/>
      <c r="M123" s="33">
        <f t="shared" ref="M123:M203" si="196">SUM(H123:L123)</f>
        <v>0</v>
      </c>
      <c r="N123" s="157">
        <f>IF(E123="","",IF(ISERROR(INDEX('Standard cost - Testing'!$A$1:$N$497,MATCH(RIGHT($C123,4),'Standard cost - Testing'!$A$1:$A$497,0),MATCH($E123,'Standard cost - Testing'!$K$1:$N$1,0)+10)),"NA",INDEX('Standard cost - Testing'!$A$1:$N$497,MATCH(RIGHT($C123,4),'Standard cost - Testing'!$A$1:$A$497,0),MATCH($E123,'Standard cost - Testing'!$K$1:$N$1,0)+10)))</f>
        <v>8885</v>
      </c>
      <c r="O123" s="45">
        <f>IF(OR(ISERROR($N123),$N123="",$N123="NA"),0,H123*$N123)*(1+INDEX('For Finance Control'!$B$27:$E$29,2,MATCH('Project information'!$A$4,'For Finance Control'!$B$27:$E$27,0)))</f>
        <v>0</v>
      </c>
      <c r="P123" s="45">
        <f>IF(OR(ISERROR($N123),$N123="",$N123="NA"),0,I123*$N123)*(1+INDEX('For Finance Control'!$B$27:$E$29,2,MATCH('Project information'!$A$4,'For Finance Control'!$B$27:$E$27,0)))</f>
        <v>0</v>
      </c>
      <c r="Q123" s="45">
        <f>IF(OR(ISERROR($N123),$N123="",$N123="NA"),0,J123*$N123)*(1+INDEX('For Finance Control'!$B$27:$E$29,2,MATCH('Project information'!$A$4,'For Finance Control'!$B$27:$E$27,0)))</f>
        <v>0</v>
      </c>
      <c r="R123" s="45">
        <f>IF(OR(ISERROR($N123),$N123="",$N123="NA"),0,K123*$N123)*(1+INDEX('For Finance Control'!$B$27:$E$29,2,MATCH('Project information'!$A$4,'For Finance Control'!$B$27:$E$27,0)))</f>
        <v>0</v>
      </c>
      <c r="S123" s="45">
        <f>IF(OR(ISERROR($N123),$N123="",$N123="NA"),0,L123*$N123)*(1+INDEX('For Finance Control'!$B$27:$E$29,2,MATCH('Project information'!$A$4,'For Finance Control'!$B$27:$E$27,0)))</f>
        <v>0</v>
      </c>
      <c r="T123" s="45">
        <f t="shared" ref="T123:T203" si="197">SUM(O123:S123)</f>
        <v>0</v>
      </c>
      <c r="U123" s="33" cm="1">
        <f t="array" ref="U123">IF($N123="NA","NA",$N123*INDEX('Exchange rate'!$A$1:$G$7,MATCH('Project information'!$A$13,'Exchange rate'!$A$1:$A$7,0),MATCH(LOOKUP(2,1/({"China";"Korea";"India";"Japan";"EUR";"NAO"}=$E123),{"CNY";"KRW";"INR";"JPY";"EUR";"USD"}),'Exchange rate'!$A$1:$G$1,0)))</f>
        <v>8885</v>
      </c>
      <c r="V123" s="33">
        <f t="shared" ref="V123:V203" si="198">IF(OR(ISERROR($U123),$U123="",$U123="NA"),0,H123*$U123)</f>
        <v>0</v>
      </c>
      <c r="W123" s="33">
        <f t="shared" ref="W123:W203" si="199">IF(OR(ISERROR($U123),$U123="",$U123="NA"),0,I123*$U123)</f>
        <v>0</v>
      </c>
      <c r="X123" s="33">
        <f t="shared" ref="X123:X203" si="200">IF(OR(ISERROR($U123),$U123="",$U123="NA"),0,J123*$U123)</f>
        <v>0</v>
      </c>
      <c r="Y123" s="33">
        <f t="shared" ref="Y123:Y203" si="201">IF(OR(ISERROR($U123),$U123="",$U123="NA"),0,K123*$U123)</f>
        <v>0</v>
      </c>
      <c r="Z123" s="33">
        <f t="shared" ref="Z123:Z203" si="202">IF(OR(ISERROR($U123),$U123="",$U123="NA"),0,L123*$U123)</f>
        <v>0</v>
      </c>
      <c r="AA123" s="33">
        <f t="shared" ref="AA123" si="203">SUM(V123:Z123)</f>
        <v>0</v>
      </c>
      <c r="AB123" s="246"/>
      <c r="AC123" s="247"/>
      <c r="AZ123" s="148" t="str">
        <f>$A$122&amp;"."&amp;ROW(AZ123)-ROW($A$122)</f>
        <v>5.1</v>
      </c>
      <c r="BA123" s="149" t="s">
        <v>296</v>
      </c>
    </row>
    <row r="124" spans="1:53" outlineLevel="1">
      <c r="A124" s="148" t="str">
        <f t="shared" ref="A124:A204" si="204">$A$122&amp;"."&amp;ROW(A124)-ROW($A$122)</f>
        <v>5.2</v>
      </c>
      <c r="B124" s="148" t="str">
        <f>INDEX('Standard cost - Testing'!$A$1:$N$497,MATCH(RIGHT($C124,4),'Standard cost - Testing'!$A$1:$A$497,0),3)</f>
        <v>LVE</v>
      </c>
      <c r="C124" s="149" t="str">
        <f>'Standard cost - Testing'!B3&amp;" - "&amp;'Standard cost - Testing'!A3</f>
        <v>Acoustic - A002</v>
      </c>
      <c r="D124" s="150" t="str">
        <f>IF(RIGHT(INDEX('Standard cost - Testing'!$A$1:$N$497,MATCH(RIGHT($C124,4),'Standard cost - Testing'!$A$1:$A$497,0),4),1)="]",INDEX('Standard cost - Testing'!$A$1:$N$497,MATCH(RIGHT($C124,4),'Standard cost - Testing'!$A$1:$A$497,0),4),IF(INDEX('Standard cost - Testing'!$A$1:$N$497,MATCH(RIGHT($C124,4),'Standard cost - Testing'!$A$1:$A$497,0),10)=1,INDEX('Standard cost - Testing'!$A$1:$N$497,MATCH(RIGHT($C124,4),'Standard cost - Testing'!$A$1:$A$497,0),4)&amp;" [1 part]",INDEX('Standard cost - Testing'!$A$1:$N$497,MATCH(RIGHT($C124,4),'Standard cost - Testing'!$A$1:$A$497,0),4)&amp;" ["&amp;INDEX('Standard cost - Testing'!$A$1:$N$497,MATCH(RIGHT($C124,4),'Standard cost - Testing'!$A$1:$A$497,0),10)&amp;" parts]"))</f>
        <v>Tail pipe noise measurement [1 part]</v>
      </c>
      <c r="E124" s="51" t="str">
        <f>IF('Project information'!$A$4="","",'Project information'!$A$4)</f>
        <v>China</v>
      </c>
      <c r="F124" s="149" t="str">
        <f>INDEX('Standard cost - Testing'!$A$1:$N$497,MATCH(RIGHT($C124,4),'Standard cost - Testing'!$A$1:$A$497,0),5)</f>
        <v>Faurecia</v>
      </c>
      <c r="G124" s="149" t="str">
        <f>IF($E124='Standard cost - Testing'!$F$1,INDEX('Standard cost - Testing'!$A$1:$N$497,MATCH(RIGHT($C124,4),'Standard cost - Testing'!$A$1:$A$497,0),6),INDEX('Standard cost - Testing'!$A$1:$N$497,MATCH(RIGHT($C124,4),'Standard cost - Testing'!$A$1:$A$497,0),7))</f>
        <v>CHD-I-DSE-2012</v>
      </c>
      <c r="H124" s="46"/>
      <c r="I124" s="46"/>
      <c r="J124" s="46"/>
      <c r="K124" s="46"/>
      <c r="L124" s="46"/>
      <c r="M124" s="33">
        <f t="shared" si="196"/>
        <v>0</v>
      </c>
      <c r="N124" s="157">
        <f>IF(E124="","",IF(ISERROR(INDEX('Standard cost - Testing'!$A$1:$N$497,MATCH(RIGHT($C124,4),'Standard cost - Testing'!$A$1:$A$497,0),MATCH($E124,'Standard cost - Testing'!$K$1:$N$1,0)+10)),"NA",INDEX('Standard cost - Testing'!$A$1:$N$497,MATCH(RIGHT($C124,4),'Standard cost - Testing'!$A$1:$A$497,0),MATCH($E124,'Standard cost - Testing'!$K$1:$N$1,0)+10)))</f>
        <v>5375</v>
      </c>
      <c r="O124" s="45">
        <f>IF(OR(ISERROR($N124),$N124="",$N124="NA"),0,H124*$N124)*(1+INDEX('For Finance Control'!$B$27:$E$29,2,MATCH('Project information'!$A$4,'For Finance Control'!$B$27:$E$27,0)))</f>
        <v>0</v>
      </c>
      <c r="P124" s="45">
        <f>IF(OR(ISERROR($N124),$N124="",$N124="NA"),0,I124*$N124)*(1+INDEX('For Finance Control'!$B$27:$E$29,2,MATCH('Project information'!$A$4,'For Finance Control'!$B$27:$E$27,0)))</f>
        <v>0</v>
      </c>
      <c r="Q124" s="45">
        <f>IF(OR(ISERROR($N124),$N124="",$N124="NA"),0,J124*$N124)*(1+INDEX('For Finance Control'!$B$27:$E$29,2,MATCH('Project information'!$A$4,'For Finance Control'!$B$27:$E$27,0)))</f>
        <v>0</v>
      </c>
      <c r="R124" s="45">
        <f>IF(OR(ISERROR($N124),$N124="",$N124="NA"),0,K124*$N124)*(1+INDEX('For Finance Control'!$B$27:$E$29,2,MATCH('Project information'!$A$4,'For Finance Control'!$B$27:$E$27,0)))</f>
        <v>0</v>
      </c>
      <c r="S124" s="45">
        <f>IF(OR(ISERROR($N124),$N124="",$N124="NA"),0,L124*$N124)*(1+INDEX('For Finance Control'!$B$27:$E$29,2,MATCH('Project information'!$A$4,'For Finance Control'!$B$27:$E$27,0)))</f>
        <v>0</v>
      </c>
      <c r="T124" s="45">
        <f t="shared" si="197"/>
        <v>0</v>
      </c>
      <c r="U124" s="33" cm="1">
        <f t="array" ref="U124">IF($N124="NA","NA",$N124*INDEX('Exchange rate'!$A$1:$G$7,MATCH('Project information'!$A$13,'Exchange rate'!$A$1:$A$7,0),MATCH(LOOKUP(2,1/({"China";"Korea";"India";"Japan";"EUR";"NAO"}=$E124),{"CNY";"KRW";"INR";"JPY";"EUR";"USD"}),'Exchange rate'!$A$1:$G$1,0)))</f>
        <v>5375</v>
      </c>
      <c r="V124" s="33">
        <f t="shared" si="198"/>
        <v>0</v>
      </c>
      <c r="W124" s="33">
        <f t="shared" si="199"/>
        <v>0</v>
      </c>
      <c r="X124" s="33">
        <f t="shared" si="200"/>
        <v>0</v>
      </c>
      <c r="Y124" s="33">
        <f t="shared" si="201"/>
        <v>0</v>
      </c>
      <c r="Z124" s="33">
        <f t="shared" si="202"/>
        <v>0</v>
      </c>
      <c r="AA124" s="33">
        <f t="shared" ref="AA124:AA204" si="205">SUM(V124:Z124)</f>
        <v>0</v>
      </c>
      <c r="AB124" s="246"/>
      <c r="AC124" s="247"/>
      <c r="AZ124" s="148" t="str">
        <f t="shared" ref="AZ124:AZ204" si="206">$A$122&amp;"."&amp;ROW(AZ124)-ROW($A$122)</f>
        <v>5.2</v>
      </c>
      <c r="BA124" s="149" t="s">
        <v>297</v>
      </c>
    </row>
    <row r="125" spans="1:53" outlineLevel="1">
      <c r="A125" s="148" t="str">
        <f t="shared" si="204"/>
        <v>5.3</v>
      </c>
      <c r="B125" s="148" t="str">
        <f>INDEX('Standard cost - Testing'!$A$1:$N$497,MATCH(RIGHT($C125,4),'Standard cost - Testing'!$A$1:$A$497,0),3)</f>
        <v>LVE</v>
      </c>
      <c r="C125" s="149" t="str">
        <f>'Standard cost - Testing'!B4&amp;" - "&amp;'Standard cost - Testing'!A4</f>
        <v>Acoustic - A003</v>
      </c>
      <c r="D125" s="150" t="str">
        <f>IF(RIGHT(INDEX('Standard cost - Testing'!$A$1:$N$497,MATCH(RIGHT($C125,4),'Standard cost - Testing'!$A$1:$A$497,0),4),1)="]",INDEX('Standard cost - Testing'!$A$1:$N$497,MATCH(RIGHT($C125,4),'Standard cost - Testing'!$A$1:$A$497,0),4),IF(INDEX('Standard cost - Testing'!$A$1:$N$497,MATCH(RIGHT($C125,4),'Standard cost - Testing'!$A$1:$A$497,0),10)=1,INDEX('Standard cost - Testing'!$A$1:$N$497,MATCH(RIGHT($C125,4),'Standard cost - Testing'!$A$1:$A$497,0),4)&amp;" [1 part]",INDEX('Standard cost - Testing'!$A$1:$N$497,MATCH(RIGHT($C125,4),'Standard cost - Testing'!$A$1:$A$497,0),4)&amp;" ["&amp;INDEX('Standard cost - Testing'!$A$1:$N$497,MATCH(RIGHT($C125,4),'Standard cost - Testing'!$A$1:$A$497,0),10)&amp;" parts]"))</f>
        <v>Back pressure measurement [1 part]</v>
      </c>
      <c r="E125" s="51" t="str">
        <f>IF('Project information'!$A$4="","",'Project information'!$A$4)</f>
        <v>China</v>
      </c>
      <c r="F125" s="149" t="str">
        <f>INDEX('Standard cost - Testing'!$A$1:$N$497,MATCH(RIGHT($C125,4),'Standard cost - Testing'!$A$1:$A$497,0),5)</f>
        <v>Faurecia</v>
      </c>
      <c r="G125" s="149" t="str">
        <f>IF($E125='Standard cost - Testing'!$F$1,INDEX('Standard cost - Testing'!$A$1:$N$497,MATCH(RIGHT($C125,4),'Standard cost - Testing'!$A$1:$A$497,0),6),INDEX('Standard cost - Testing'!$A$1:$N$497,MATCH(RIGHT($C125,4),'Standard cost - Testing'!$A$1:$A$497,0),7))</f>
        <v>CHD-I-DSE-2013</v>
      </c>
      <c r="H125" s="46"/>
      <c r="I125" s="46"/>
      <c r="J125" s="46"/>
      <c r="K125" s="46"/>
      <c r="L125" s="46"/>
      <c r="M125" s="33">
        <f t="shared" si="196"/>
        <v>0</v>
      </c>
      <c r="N125" s="157">
        <f>IF(E125="","",IF(ISERROR(INDEX('Standard cost - Testing'!$A$1:$N$497,MATCH(RIGHT($C125,4),'Standard cost - Testing'!$A$1:$A$497,0),MATCH($E125,'Standard cost - Testing'!$K$1:$N$1,0)+10)),"NA",INDEX('Standard cost - Testing'!$A$1:$N$497,MATCH(RIGHT($C125,4),'Standard cost - Testing'!$A$1:$A$497,0),MATCH($E125,'Standard cost - Testing'!$K$1:$N$1,0)+10)))</f>
        <v>5375</v>
      </c>
      <c r="O125" s="45">
        <f>IF(OR(ISERROR($N125),$N125="",$N125="NA"),0,H125*$N125)*(1+INDEX('For Finance Control'!$B$27:$E$29,2,MATCH('Project information'!$A$4,'For Finance Control'!$B$27:$E$27,0)))</f>
        <v>0</v>
      </c>
      <c r="P125" s="45">
        <f>IF(OR(ISERROR($N125),$N125="",$N125="NA"),0,I125*$N125)*(1+INDEX('For Finance Control'!$B$27:$E$29,2,MATCH('Project information'!$A$4,'For Finance Control'!$B$27:$E$27,0)))</f>
        <v>0</v>
      </c>
      <c r="Q125" s="45">
        <f>IF(OR(ISERROR($N125),$N125="",$N125="NA"),0,J125*$N125)*(1+INDEX('For Finance Control'!$B$27:$E$29,2,MATCH('Project information'!$A$4,'For Finance Control'!$B$27:$E$27,0)))</f>
        <v>0</v>
      </c>
      <c r="R125" s="45">
        <f>IF(OR(ISERROR($N125),$N125="",$N125="NA"),0,K125*$N125)*(1+INDEX('For Finance Control'!$B$27:$E$29,2,MATCH('Project information'!$A$4,'For Finance Control'!$B$27:$E$27,0)))</f>
        <v>0</v>
      </c>
      <c r="S125" s="45">
        <f>IF(OR(ISERROR($N125),$N125="",$N125="NA"),0,L125*$N125)*(1+INDEX('For Finance Control'!$B$27:$E$29,2,MATCH('Project information'!$A$4,'For Finance Control'!$B$27:$E$27,0)))</f>
        <v>0</v>
      </c>
      <c r="T125" s="45">
        <f t="shared" si="197"/>
        <v>0</v>
      </c>
      <c r="U125" s="33" cm="1">
        <f t="array" ref="U125">IF($N125="NA","NA",$N125*INDEX('Exchange rate'!$A$1:$G$7,MATCH('Project information'!$A$13,'Exchange rate'!$A$1:$A$7,0),MATCH(LOOKUP(2,1/({"China";"Korea";"India";"Japan";"EUR";"NAO"}=$E125),{"CNY";"KRW";"INR";"JPY";"EUR";"USD"}),'Exchange rate'!$A$1:$G$1,0)))</f>
        <v>5375</v>
      </c>
      <c r="V125" s="33">
        <f t="shared" si="198"/>
        <v>0</v>
      </c>
      <c r="W125" s="33">
        <f t="shared" si="199"/>
        <v>0</v>
      </c>
      <c r="X125" s="33">
        <f t="shared" si="200"/>
        <v>0</v>
      </c>
      <c r="Y125" s="33">
        <f t="shared" si="201"/>
        <v>0</v>
      </c>
      <c r="Z125" s="33">
        <f t="shared" si="202"/>
        <v>0</v>
      </c>
      <c r="AA125" s="33">
        <f t="shared" si="205"/>
        <v>0</v>
      </c>
      <c r="AB125" s="246"/>
      <c r="AC125" s="247"/>
      <c r="AZ125" s="148" t="str">
        <f t="shared" si="206"/>
        <v>5.3</v>
      </c>
      <c r="BA125" s="149" t="s">
        <v>298</v>
      </c>
    </row>
    <row r="126" spans="1:53" ht="25" outlineLevel="1">
      <c r="A126" s="148" t="str">
        <f t="shared" si="204"/>
        <v>5.4</v>
      </c>
      <c r="B126" s="148" t="str">
        <f>INDEX('Standard cost - Testing'!$A$1:$N$497,MATCH(RIGHT($C126,4),'Standard cost - Testing'!$A$1:$A$497,0),3)</f>
        <v>LVE</v>
      </c>
      <c r="C126" s="149" t="str">
        <f>'Standard cost - Testing'!B5&amp;" - "&amp;'Standard cost - Testing'!A5</f>
        <v>Acoustic - A004</v>
      </c>
      <c r="D126" s="150" t="str">
        <f>IF(RIGHT(INDEX('Standard cost - Testing'!$A$1:$N$497,MATCH(RIGHT($C126,4),'Standard cost - Testing'!$A$1:$A$497,0),4),1)="]",INDEX('Standard cost - Testing'!$A$1:$N$497,MATCH(RIGHT($C126,4),'Standard cost - Testing'!$A$1:$A$497,0),4),IF(INDEX('Standard cost - Testing'!$A$1:$N$497,MATCH(RIGHT($C126,4),'Standard cost - Testing'!$A$1:$A$497,0),10)=1,INDEX('Standard cost - Testing'!$A$1:$N$497,MATCH(RIGHT($C126,4),'Standard cost - Testing'!$A$1:$A$497,0),4)&amp;" [1 part]",INDEX('Standard cost - Testing'!$A$1:$N$497,MATCH(RIGHT($C126,4),'Standard cost - Testing'!$A$1:$A$497,0),4)&amp;" ["&amp;INDEX('Standard cost - Testing'!$A$1:$N$497,MATCH(RIGHT($C126,4),'Standard cost - Testing'!$A$1:$A$497,0),10)&amp;" parts]"))</f>
        <v>Dynamic pressure measurement [1 part]</v>
      </c>
      <c r="E126" s="51" t="str">
        <f>IF('Project information'!$A$4="","",'Project information'!$A$4)</f>
        <v>China</v>
      </c>
      <c r="F126" s="149" t="str">
        <f>INDEX('Standard cost - Testing'!$A$1:$N$497,MATCH(RIGHT($C126,4),'Standard cost - Testing'!$A$1:$A$497,0),5)</f>
        <v>Faurecia</v>
      </c>
      <c r="G126" s="149" t="str">
        <f>IF($E126='Standard cost - Testing'!$F$1,INDEX('Standard cost - Testing'!$A$1:$N$497,MATCH(RIGHT($C126,4),'Standard cost - Testing'!$A$1:$A$497,0),6),INDEX('Standard cost - Testing'!$A$1:$N$497,MATCH(RIGHT($C126,4),'Standard cost - Testing'!$A$1:$A$497,0),7))</f>
        <v>CHD-I-DSE-2018</v>
      </c>
      <c r="H126" s="46"/>
      <c r="I126" s="46"/>
      <c r="J126" s="46"/>
      <c r="K126" s="46"/>
      <c r="L126" s="46"/>
      <c r="M126" s="33">
        <f t="shared" si="196"/>
        <v>0</v>
      </c>
      <c r="N126" s="157">
        <f>IF(E126="","",IF(ISERROR(INDEX('Standard cost - Testing'!$A$1:$N$497,MATCH(RIGHT($C126,4),'Standard cost - Testing'!$A$1:$A$497,0),MATCH($E126,'Standard cost - Testing'!$K$1:$N$1,0)+10)),"NA",INDEX('Standard cost - Testing'!$A$1:$N$497,MATCH(RIGHT($C126,4),'Standard cost - Testing'!$A$1:$A$497,0),MATCH($E126,'Standard cost - Testing'!$K$1:$N$1,0)+10)))</f>
        <v>5375</v>
      </c>
      <c r="O126" s="45">
        <f>IF(OR(ISERROR($N126),$N126="",$N126="NA"),0,H126*$N126)*(1+INDEX('For Finance Control'!$B$27:$E$29,2,MATCH('Project information'!$A$4,'For Finance Control'!$B$27:$E$27,0)))</f>
        <v>0</v>
      </c>
      <c r="P126" s="45">
        <f>IF(OR(ISERROR($N126),$N126="",$N126="NA"),0,I126*$N126)*(1+INDEX('For Finance Control'!$B$27:$E$29,2,MATCH('Project information'!$A$4,'For Finance Control'!$B$27:$E$27,0)))</f>
        <v>0</v>
      </c>
      <c r="Q126" s="45">
        <f>IF(OR(ISERROR($N126),$N126="",$N126="NA"),0,J126*$N126)*(1+INDEX('For Finance Control'!$B$27:$E$29,2,MATCH('Project information'!$A$4,'For Finance Control'!$B$27:$E$27,0)))</f>
        <v>0</v>
      </c>
      <c r="R126" s="45">
        <f>IF(OR(ISERROR($N126),$N126="",$N126="NA"),0,K126*$N126)*(1+INDEX('For Finance Control'!$B$27:$E$29,2,MATCH('Project information'!$A$4,'For Finance Control'!$B$27:$E$27,0)))</f>
        <v>0</v>
      </c>
      <c r="S126" s="45">
        <f>IF(OR(ISERROR($N126),$N126="",$N126="NA"),0,L126*$N126)*(1+INDEX('For Finance Control'!$B$27:$E$29,2,MATCH('Project information'!$A$4,'For Finance Control'!$B$27:$E$27,0)))</f>
        <v>0</v>
      </c>
      <c r="T126" s="45">
        <f t="shared" si="197"/>
        <v>0</v>
      </c>
      <c r="U126" s="33" cm="1">
        <f t="array" ref="U126">IF($N126="NA","NA",$N126*INDEX('Exchange rate'!$A$1:$G$7,MATCH('Project information'!$A$13,'Exchange rate'!$A$1:$A$7,0),MATCH(LOOKUP(2,1/({"China";"Korea";"India";"Japan";"EUR";"NAO"}=$E126),{"CNY";"KRW";"INR";"JPY";"EUR";"USD"}),'Exchange rate'!$A$1:$G$1,0)))</f>
        <v>5375</v>
      </c>
      <c r="V126" s="33">
        <f t="shared" si="198"/>
        <v>0</v>
      </c>
      <c r="W126" s="33">
        <f t="shared" si="199"/>
        <v>0</v>
      </c>
      <c r="X126" s="33">
        <f t="shared" si="200"/>
        <v>0</v>
      </c>
      <c r="Y126" s="33">
        <f t="shared" si="201"/>
        <v>0</v>
      </c>
      <c r="Z126" s="33">
        <f t="shared" si="202"/>
        <v>0</v>
      </c>
      <c r="AA126" s="33">
        <f t="shared" si="205"/>
        <v>0</v>
      </c>
      <c r="AB126" s="246"/>
      <c r="AC126" s="247"/>
      <c r="AZ126" s="148" t="str">
        <f t="shared" si="206"/>
        <v>5.4</v>
      </c>
      <c r="BA126" s="149" t="s">
        <v>299</v>
      </c>
    </row>
    <row r="127" spans="1:53" ht="25" outlineLevel="1">
      <c r="A127" s="148" t="str">
        <f t="shared" si="204"/>
        <v>5.5</v>
      </c>
      <c r="B127" s="148" t="str">
        <f>INDEX('Standard cost - Testing'!$A$1:$N$497,MATCH(RIGHT($C127,4),'Standard cost - Testing'!$A$1:$A$497,0),3)</f>
        <v>LVE</v>
      </c>
      <c r="C127" s="149" t="str">
        <f>'Standard cost - Testing'!B6&amp;" - "&amp;'Standard cost - Testing'!A6</f>
        <v>Acoustic - A005</v>
      </c>
      <c r="D127" s="150" t="str">
        <f>IF(RIGHT(INDEX('Standard cost - Testing'!$A$1:$N$497,MATCH(RIGHT($C127,4),'Standard cost - Testing'!$A$1:$A$497,0),4),1)="]",INDEX('Standard cost - Testing'!$A$1:$N$497,MATCH(RIGHT($C127,4),'Standard cost - Testing'!$A$1:$A$497,0),4),IF(INDEX('Standard cost - Testing'!$A$1:$N$497,MATCH(RIGHT($C127,4),'Standard cost - Testing'!$A$1:$A$497,0),10)=1,INDEX('Standard cost - Testing'!$A$1:$N$497,MATCH(RIGHT($C127,4),'Standard cost - Testing'!$A$1:$A$497,0),4)&amp;" [1 part]",INDEX('Standard cost - Testing'!$A$1:$N$497,MATCH(RIGHT($C127,4),'Standard cost - Testing'!$A$1:$A$497,0),4)&amp;" ["&amp;INDEX('Standard cost - Testing'!$A$1:$N$497,MATCH(RIGHT($C127,4),'Standard cost - Testing'!$A$1:$A$497,0),10)&amp;" parts]"))</f>
        <v>Engine performance / Characterization [1 part]</v>
      </c>
      <c r="E127" s="51" t="str">
        <f>IF('Project information'!$A$4="","",'Project information'!$A$4)</f>
        <v>China</v>
      </c>
      <c r="F127" s="149" t="str">
        <f>INDEX('Standard cost - Testing'!$A$1:$N$497,MATCH(RIGHT($C127,4),'Standard cost - Testing'!$A$1:$A$497,0),5)</f>
        <v>Faurecia</v>
      </c>
      <c r="G127" s="149" t="str">
        <f>IF($E127='Standard cost - Testing'!$F$1,INDEX('Standard cost - Testing'!$A$1:$N$497,MATCH(RIGHT($C127,4),'Standard cost - Testing'!$A$1:$A$497,0),6),INDEX('Standard cost - Testing'!$A$1:$N$497,MATCH(RIGHT($C127,4),'Standard cost - Testing'!$A$1:$A$497,0),7))</f>
        <v>CHD-I-DSE-2016</v>
      </c>
      <c r="H127" s="46"/>
      <c r="I127" s="46"/>
      <c r="J127" s="46"/>
      <c r="K127" s="46"/>
      <c r="L127" s="46"/>
      <c r="M127" s="33">
        <f t="shared" si="196"/>
        <v>0</v>
      </c>
      <c r="N127" s="157">
        <f>IF(E127="","",IF(ISERROR(INDEX('Standard cost - Testing'!$A$1:$N$497,MATCH(RIGHT($C127,4),'Standard cost - Testing'!$A$1:$A$497,0),MATCH($E127,'Standard cost - Testing'!$K$1:$N$1,0)+10)),"NA",INDEX('Standard cost - Testing'!$A$1:$N$497,MATCH(RIGHT($C127,4),'Standard cost - Testing'!$A$1:$A$497,0),MATCH($E127,'Standard cost - Testing'!$K$1:$N$1,0)+10)))</f>
        <v>41530</v>
      </c>
      <c r="O127" s="45">
        <f>IF(OR(ISERROR($N127),$N127="",$N127="NA"),0,H127*$N127)*(1+INDEX('For Finance Control'!$B$27:$E$29,2,MATCH('Project information'!$A$4,'For Finance Control'!$B$27:$E$27,0)))</f>
        <v>0</v>
      </c>
      <c r="P127" s="45">
        <f>IF(OR(ISERROR($N127),$N127="",$N127="NA"),0,I127*$N127)*(1+INDEX('For Finance Control'!$B$27:$E$29,2,MATCH('Project information'!$A$4,'For Finance Control'!$B$27:$E$27,0)))</f>
        <v>0</v>
      </c>
      <c r="Q127" s="45">
        <f>IF(OR(ISERROR($N127),$N127="",$N127="NA"),0,J127*$N127)*(1+INDEX('For Finance Control'!$B$27:$E$29,2,MATCH('Project information'!$A$4,'For Finance Control'!$B$27:$E$27,0)))</f>
        <v>0</v>
      </c>
      <c r="R127" s="45">
        <f>IF(OR(ISERROR($N127),$N127="",$N127="NA"),0,K127*$N127)*(1+INDEX('For Finance Control'!$B$27:$E$29,2,MATCH('Project information'!$A$4,'For Finance Control'!$B$27:$E$27,0)))</f>
        <v>0</v>
      </c>
      <c r="S127" s="45">
        <f>IF(OR(ISERROR($N127),$N127="",$N127="NA"),0,L127*$N127)*(1+INDEX('For Finance Control'!$B$27:$E$29,2,MATCH('Project information'!$A$4,'For Finance Control'!$B$27:$E$27,0)))</f>
        <v>0</v>
      </c>
      <c r="T127" s="45">
        <f t="shared" si="197"/>
        <v>0</v>
      </c>
      <c r="U127" s="33" cm="1">
        <f t="array" ref="U127">IF($N127="NA","NA",$N127*INDEX('Exchange rate'!$A$1:$G$7,MATCH('Project information'!$A$13,'Exchange rate'!$A$1:$A$7,0),MATCH(LOOKUP(2,1/({"China";"Korea";"India";"Japan";"EUR";"NAO"}=$E127),{"CNY";"KRW";"INR";"JPY";"EUR";"USD"}),'Exchange rate'!$A$1:$G$1,0)))</f>
        <v>41530</v>
      </c>
      <c r="V127" s="33">
        <f t="shared" si="198"/>
        <v>0</v>
      </c>
      <c r="W127" s="33">
        <f t="shared" si="199"/>
        <v>0</v>
      </c>
      <c r="X127" s="33">
        <f t="shared" si="200"/>
        <v>0</v>
      </c>
      <c r="Y127" s="33">
        <f t="shared" si="201"/>
        <v>0</v>
      </c>
      <c r="Z127" s="33">
        <f t="shared" si="202"/>
        <v>0</v>
      </c>
      <c r="AA127" s="33">
        <f t="shared" si="205"/>
        <v>0</v>
      </c>
      <c r="AB127" s="246"/>
      <c r="AC127" s="247"/>
      <c r="AZ127" s="148" t="str">
        <f t="shared" si="206"/>
        <v>5.5</v>
      </c>
      <c r="BA127" s="149" t="s">
        <v>300</v>
      </c>
    </row>
    <row r="128" spans="1:53" outlineLevel="1">
      <c r="A128" s="148" t="str">
        <f t="shared" si="204"/>
        <v>5.6</v>
      </c>
      <c r="B128" s="148" t="str">
        <f>INDEX('Standard cost - Testing'!$A$1:$N$497,MATCH(RIGHT($C128,4),'Standard cost - Testing'!$A$1:$A$497,0),3)</f>
        <v>LVE</v>
      </c>
      <c r="C128" s="149" t="str">
        <f>'Standard cost - Testing'!B7&amp;" - "&amp;'Standard cost - Testing'!A7</f>
        <v>Acoustic - A006</v>
      </c>
      <c r="D128" s="150" t="str">
        <f>IF(RIGHT(INDEX('Standard cost - Testing'!$A$1:$N$497,MATCH(RIGHT($C128,4),'Standard cost - Testing'!$A$1:$A$497,0),4),1)="]",INDEX('Standard cost - Testing'!$A$1:$N$497,MATCH(RIGHT($C128,4),'Standard cost - Testing'!$A$1:$A$497,0),4),IF(INDEX('Standard cost - Testing'!$A$1:$N$497,MATCH(RIGHT($C128,4),'Standard cost - Testing'!$A$1:$A$497,0),10)=1,INDEX('Standard cost - Testing'!$A$1:$N$497,MATCH(RIGHT($C128,4),'Standard cost - Testing'!$A$1:$A$497,0),4)&amp;" [1 part]",INDEX('Standard cost - Testing'!$A$1:$N$497,MATCH(RIGHT($C128,4),'Standard cost - Testing'!$A$1:$A$497,0),4)&amp;" ["&amp;INDEX('Standard cost - Testing'!$A$1:$N$497,MATCH(RIGHT($C128,4),'Standard cost - Testing'!$A$1:$A$497,0),10)&amp;" parts]"))</f>
        <v>Idle noise measurement [1 part]</v>
      </c>
      <c r="E128" s="51" t="str">
        <f>IF('Project information'!$A$4="","",'Project information'!$A$4)</f>
        <v>China</v>
      </c>
      <c r="F128" s="149" t="str">
        <f>INDEX('Standard cost - Testing'!$A$1:$N$497,MATCH(RIGHT($C128,4),'Standard cost - Testing'!$A$1:$A$497,0),5)</f>
        <v>Faurecia</v>
      </c>
      <c r="G128" s="149" t="str">
        <f>IF($E128='Standard cost - Testing'!$F$1,INDEX('Standard cost - Testing'!$A$1:$N$497,MATCH(RIGHT($C128,4),'Standard cost - Testing'!$A$1:$A$497,0),6),INDEX('Standard cost - Testing'!$A$1:$N$497,MATCH(RIGHT($C128,4),'Standard cost - Testing'!$A$1:$A$497,0),7))</f>
        <v>CHD-I-DSE-2017</v>
      </c>
      <c r="H128" s="46"/>
      <c r="I128" s="46"/>
      <c r="J128" s="46"/>
      <c r="K128" s="46"/>
      <c r="L128" s="46"/>
      <c r="M128" s="33">
        <f t="shared" si="196"/>
        <v>0</v>
      </c>
      <c r="N128" s="157">
        <f>IF(E128="","",IF(ISERROR(INDEX('Standard cost - Testing'!$A$1:$N$497,MATCH(RIGHT($C128,4),'Standard cost - Testing'!$A$1:$A$497,0),MATCH($E128,'Standard cost - Testing'!$K$1:$N$1,0)+10)),"NA",INDEX('Standard cost - Testing'!$A$1:$N$497,MATCH(RIGHT($C128,4),'Standard cost - Testing'!$A$1:$A$497,0),MATCH($E128,'Standard cost - Testing'!$K$1:$N$1,0)+10)))</f>
        <v>5375</v>
      </c>
      <c r="O128" s="45">
        <f>IF(OR(ISERROR($N128),$N128="",$N128="NA"),0,H128*$N128)*(1+INDEX('For Finance Control'!$B$27:$E$29,2,MATCH('Project information'!$A$4,'For Finance Control'!$B$27:$E$27,0)))</f>
        <v>0</v>
      </c>
      <c r="P128" s="45">
        <f>IF(OR(ISERROR($N128),$N128="",$N128="NA"),0,I128*$N128)*(1+INDEX('For Finance Control'!$B$27:$E$29,2,MATCH('Project information'!$A$4,'For Finance Control'!$B$27:$E$27,0)))</f>
        <v>0</v>
      </c>
      <c r="Q128" s="45">
        <f>IF(OR(ISERROR($N128),$N128="",$N128="NA"),0,J128*$N128)*(1+INDEX('For Finance Control'!$B$27:$E$29,2,MATCH('Project information'!$A$4,'For Finance Control'!$B$27:$E$27,0)))</f>
        <v>0</v>
      </c>
      <c r="R128" s="45">
        <f>IF(OR(ISERROR($N128),$N128="",$N128="NA"),0,K128*$N128)*(1+INDEX('For Finance Control'!$B$27:$E$29,2,MATCH('Project information'!$A$4,'For Finance Control'!$B$27:$E$27,0)))</f>
        <v>0</v>
      </c>
      <c r="S128" s="45">
        <f>IF(OR(ISERROR($N128),$N128="",$N128="NA"),0,L128*$N128)*(1+INDEX('For Finance Control'!$B$27:$E$29,2,MATCH('Project information'!$A$4,'For Finance Control'!$B$27:$E$27,0)))</f>
        <v>0</v>
      </c>
      <c r="T128" s="45">
        <f t="shared" si="197"/>
        <v>0</v>
      </c>
      <c r="U128" s="33" cm="1">
        <f t="array" ref="U128">IF($N128="NA","NA",$N128*INDEX('Exchange rate'!$A$1:$G$7,MATCH('Project information'!$A$13,'Exchange rate'!$A$1:$A$7,0),MATCH(LOOKUP(2,1/({"China";"Korea";"India";"Japan";"EUR";"NAO"}=$E128),{"CNY";"KRW";"INR";"JPY";"EUR";"USD"}),'Exchange rate'!$A$1:$G$1,0)))</f>
        <v>5375</v>
      </c>
      <c r="V128" s="33">
        <f t="shared" si="198"/>
        <v>0</v>
      </c>
      <c r="W128" s="33">
        <f t="shared" si="199"/>
        <v>0</v>
      </c>
      <c r="X128" s="33">
        <f t="shared" si="200"/>
        <v>0</v>
      </c>
      <c r="Y128" s="33">
        <f t="shared" si="201"/>
        <v>0</v>
      </c>
      <c r="Z128" s="33">
        <f t="shared" si="202"/>
        <v>0</v>
      </c>
      <c r="AA128" s="33">
        <f t="shared" si="205"/>
        <v>0</v>
      </c>
      <c r="AB128" s="246"/>
      <c r="AC128" s="247"/>
      <c r="AZ128" s="148" t="str">
        <f t="shared" si="206"/>
        <v>5.6</v>
      </c>
      <c r="BA128" s="149" t="s">
        <v>301</v>
      </c>
    </row>
    <row r="129" spans="1:53" outlineLevel="1">
      <c r="A129" s="148" t="str">
        <f t="shared" si="204"/>
        <v>5.7</v>
      </c>
      <c r="B129" s="148" t="str">
        <f>INDEX('Standard cost - Testing'!$A$1:$N$497,MATCH(RIGHT($C129,4),'Standard cost - Testing'!$A$1:$A$497,0),3)</f>
        <v>LVE</v>
      </c>
      <c r="C129" s="149" t="str">
        <f>'Standard cost - Testing'!B8&amp;" - "&amp;'Standard cost - Testing'!A8</f>
        <v>Acoustic - A007</v>
      </c>
      <c r="D129" s="150" t="str">
        <f>IF(RIGHT(INDEX('Standard cost - Testing'!$A$1:$N$497,MATCH(RIGHT($C129,4),'Standard cost - Testing'!$A$1:$A$497,0),4),1)="]",INDEX('Standard cost - Testing'!$A$1:$N$497,MATCH(RIGHT($C129,4),'Standard cost - Testing'!$A$1:$A$497,0),4),IF(INDEX('Standard cost - Testing'!$A$1:$N$497,MATCH(RIGHT($C129,4),'Standard cost - Testing'!$A$1:$A$497,0),10)=1,INDEX('Standard cost - Testing'!$A$1:$N$497,MATCH(RIGHT($C129,4),'Standard cost - Testing'!$A$1:$A$497,0),4)&amp;" [1 part]",INDEX('Standard cost - Testing'!$A$1:$N$497,MATCH(RIGHT($C129,4),'Standard cost - Testing'!$A$1:$A$497,0),4)&amp;" ["&amp;INDEX('Standard cost - Testing'!$A$1:$N$497,MATCH(RIGHT($C129,4),'Standard cost - Testing'!$A$1:$A$497,0),10)&amp;" parts]"))</f>
        <v>Radiated noise measurement [1 part]</v>
      </c>
      <c r="E129" s="51" t="str">
        <f>IF('Project information'!$A$4="","",'Project information'!$A$4)</f>
        <v>China</v>
      </c>
      <c r="F129" s="149" t="str">
        <f>INDEX('Standard cost - Testing'!$A$1:$N$497,MATCH(RIGHT($C129,4),'Standard cost - Testing'!$A$1:$A$497,0),5)</f>
        <v>Faurecia</v>
      </c>
      <c r="G129" s="149" t="str">
        <f>IF($E129='Standard cost - Testing'!$F$1,INDEX('Standard cost - Testing'!$A$1:$N$497,MATCH(RIGHT($C129,4),'Standard cost - Testing'!$A$1:$A$497,0),6),INDEX('Standard cost - Testing'!$A$1:$N$497,MATCH(RIGHT($C129,4),'Standard cost - Testing'!$A$1:$A$497,0),7))</f>
        <v>CHD-I-DSE-2014</v>
      </c>
      <c r="H129" s="46"/>
      <c r="I129" s="46"/>
      <c r="J129" s="46"/>
      <c r="K129" s="46"/>
      <c r="L129" s="46"/>
      <c r="M129" s="33">
        <f t="shared" ref="M129:M140" si="207">SUM(H129:L129)</f>
        <v>0</v>
      </c>
      <c r="N129" s="157">
        <f>IF(E129="","",IF(ISERROR(INDEX('Standard cost - Testing'!$A$1:$N$497,MATCH(RIGHT($C129,4),'Standard cost - Testing'!$A$1:$A$497,0),MATCH($E129,'Standard cost - Testing'!$K$1:$N$1,0)+10)),"NA",INDEX('Standard cost - Testing'!$A$1:$N$497,MATCH(RIGHT($C129,4),'Standard cost - Testing'!$A$1:$A$497,0),MATCH($E129,'Standard cost - Testing'!$K$1:$N$1,0)+10)))</f>
        <v>5375</v>
      </c>
      <c r="O129" s="45">
        <f>IF(OR(ISERROR($N129),$N129="",$N129="NA"),0,H129*$N129)*(1+INDEX('For Finance Control'!$B$27:$E$29,2,MATCH('Project information'!$A$4,'For Finance Control'!$B$27:$E$27,0)))</f>
        <v>0</v>
      </c>
      <c r="P129" s="45">
        <f>IF(OR(ISERROR($N129),$N129="",$N129="NA"),0,I129*$N129)*(1+INDEX('For Finance Control'!$B$27:$E$29,2,MATCH('Project information'!$A$4,'For Finance Control'!$B$27:$E$27,0)))</f>
        <v>0</v>
      </c>
      <c r="Q129" s="45">
        <f>IF(OR(ISERROR($N129),$N129="",$N129="NA"),0,J129*$N129)*(1+INDEX('For Finance Control'!$B$27:$E$29,2,MATCH('Project information'!$A$4,'For Finance Control'!$B$27:$E$27,0)))</f>
        <v>0</v>
      </c>
      <c r="R129" s="45">
        <f>IF(OR(ISERROR($N129),$N129="",$N129="NA"),0,K129*$N129)*(1+INDEX('For Finance Control'!$B$27:$E$29,2,MATCH('Project information'!$A$4,'For Finance Control'!$B$27:$E$27,0)))</f>
        <v>0</v>
      </c>
      <c r="S129" s="45">
        <f>IF(OR(ISERROR($N129),$N129="",$N129="NA"),0,L129*$N129)*(1+INDEX('For Finance Control'!$B$27:$E$29,2,MATCH('Project information'!$A$4,'For Finance Control'!$B$27:$E$27,0)))</f>
        <v>0</v>
      </c>
      <c r="T129" s="45">
        <f t="shared" ref="T129:T140" si="208">SUM(O129:S129)</f>
        <v>0</v>
      </c>
      <c r="U129" s="33" cm="1">
        <f t="array" ref="U129">IF($N129="NA","NA",$N129*INDEX('Exchange rate'!$A$1:$G$7,MATCH('Project information'!$A$13,'Exchange rate'!$A$1:$A$7,0),MATCH(LOOKUP(2,1/({"China";"Korea";"India";"Japan";"EUR";"NAO"}=$E129),{"CNY";"KRW";"INR";"JPY";"EUR";"USD"}),'Exchange rate'!$A$1:$G$1,0)))</f>
        <v>5375</v>
      </c>
      <c r="V129" s="33">
        <f t="shared" ref="V129:V140" si="209">IF(OR(ISERROR($U129),$U129="",$U129="NA"),0,H129*$U129)</f>
        <v>0</v>
      </c>
      <c r="W129" s="33">
        <f t="shared" ref="W129:W140" si="210">IF(OR(ISERROR($U129),$U129="",$U129="NA"),0,I129*$U129)</f>
        <v>0</v>
      </c>
      <c r="X129" s="33">
        <f t="shared" ref="X129:X140" si="211">IF(OR(ISERROR($U129),$U129="",$U129="NA"),0,J129*$U129)</f>
        <v>0</v>
      </c>
      <c r="Y129" s="33">
        <f t="shared" ref="Y129:Y140" si="212">IF(OR(ISERROR($U129),$U129="",$U129="NA"),0,K129*$U129)</f>
        <v>0</v>
      </c>
      <c r="Z129" s="33">
        <f t="shared" ref="Z129:Z140" si="213">IF(OR(ISERROR($U129),$U129="",$U129="NA"),0,L129*$U129)</f>
        <v>0</v>
      </c>
      <c r="AA129" s="33">
        <f t="shared" ref="AA129:AA140" si="214">SUM(V129:Z129)</f>
        <v>0</v>
      </c>
      <c r="AB129" s="246"/>
      <c r="AC129" s="247"/>
      <c r="AZ129" s="148" t="str">
        <f t="shared" si="206"/>
        <v>5.7</v>
      </c>
      <c r="BA129" s="149" t="s">
        <v>302</v>
      </c>
    </row>
    <row r="130" spans="1:53" outlineLevel="1">
      <c r="A130" s="148" t="str">
        <f t="shared" si="204"/>
        <v>5.8</v>
      </c>
      <c r="B130" s="148" t="str">
        <f>INDEX('Standard cost - Testing'!$A$1:$N$497,MATCH(RIGHT($C130,4),'Standard cost - Testing'!$A$1:$A$497,0),3)</f>
        <v>LVE</v>
      </c>
      <c r="C130" s="149" t="str">
        <f>'Standard cost - Testing'!B9&amp;" - "&amp;'Standard cost - Testing'!A9</f>
        <v>Acoustic - A008</v>
      </c>
      <c r="D130" s="150" t="str">
        <f>IF(RIGHT(INDEX('Standard cost - Testing'!$A$1:$N$497,MATCH(RIGHT($C130,4),'Standard cost - Testing'!$A$1:$A$497,0),4),1)="]",INDEX('Standard cost - Testing'!$A$1:$N$497,MATCH(RIGHT($C130,4),'Standard cost - Testing'!$A$1:$A$497,0),4),IF(INDEX('Standard cost - Testing'!$A$1:$N$497,MATCH(RIGHT($C130,4),'Standard cost - Testing'!$A$1:$A$497,0),10)=1,INDEX('Standard cost - Testing'!$A$1:$N$497,MATCH(RIGHT($C130,4),'Standard cost - Testing'!$A$1:$A$497,0),4)&amp;" [1 part]",INDEX('Standard cost - Testing'!$A$1:$N$497,MATCH(RIGHT($C130,4),'Standard cost - Testing'!$A$1:$A$497,0),4)&amp;" ["&amp;INDEX('Standard cost - Testing'!$A$1:$N$497,MATCH(RIGHT($C130,4),'Standard cost - Testing'!$A$1:$A$497,0),10)&amp;" parts]"))</f>
        <v>Temperature measurement [1 part]</v>
      </c>
      <c r="E130" s="51" t="str">
        <f>IF('Project information'!$A$4="","",'Project information'!$A$4)</f>
        <v>China</v>
      </c>
      <c r="F130" s="149" t="str">
        <f>INDEX('Standard cost - Testing'!$A$1:$N$497,MATCH(RIGHT($C130,4),'Standard cost - Testing'!$A$1:$A$497,0),5)</f>
        <v>Faurecia</v>
      </c>
      <c r="G130" s="149" t="str">
        <f>IF($E130='Standard cost - Testing'!$F$1,INDEX('Standard cost - Testing'!$A$1:$N$497,MATCH(RIGHT($C130,4),'Standard cost - Testing'!$A$1:$A$497,0),6),INDEX('Standard cost - Testing'!$A$1:$N$497,MATCH(RIGHT($C130,4),'Standard cost - Testing'!$A$1:$A$497,0),7))</f>
        <v>CHD-I-DSE-2015</v>
      </c>
      <c r="H130" s="46"/>
      <c r="I130" s="46"/>
      <c r="J130" s="46"/>
      <c r="K130" s="46"/>
      <c r="L130" s="46"/>
      <c r="M130" s="33">
        <f t="shared" si="207"/>
        <v>0</v>
      </c>
      <c r="N130" s="157">
        <f>IF(E130="","",IF(ISERROR(INDEX('Standard cost - Testing'!$A$1:$N$497,MATCH(RIGHT($C130,4),'Standard cost - Testing'!$A$1:$A$497,0),MATCH($E130,'Standard cost - Testing'!$K$1:$N$1,0)+10)),"NA",INDEX('Standard cost - Testing'!$A$1:$N$497,MATCH(RIGHT($C130,4),'Standard cost - Testing'!$A$1:$A$497,0),MATCH($E130,'Standard cost - Testing'!$K$1:$N$1,0)+10)))</f>
        <v>5375</v>
      </c>
      <c r="O130" s="45">
        <f>IF(OR(ISERROR($N130),$N130="",$N130="NA"),0,H130*$N130)*(1+INDEX('For Finance Control'!$B$27:$E$29,2,MATCH('Project information'!$A$4,'For Finance Control'!$B$27:$E$27,0)))</f>
        <v>0</v>
      </c>
      <c r="P130" s="45">
        <f>IF(OR(ISERROR($N130),$N130="",$N130="NA"),0,I130*$N130)*(1+INDEX('For Finance Control'!$B$27:$E$29,2,MATCH('Project information'!$A$4,'For Finance Control'!$B$27:$E$27,0)))</f>
        <v>0</v>
      </c>
      <c r="Q130" s="45">
        <f>IF(OR(ISERROR($N130),$N130="",$N130="NA"),0,J130*$N130)*(1+INDEX('For Finance Control'!$B$27:$E$29,2,MATCH('Project information'!$A$4,'For Finance Control'!$B$27:$E$27,0)))</f>
        <v>0</v>
      </c>
      <c r="R130" s="45">
        <f>IF(OR(ISERROR($N130),$N130="",$N130="NA"),0,K130*$N130)*(1+INDEX('For Finance Control'!$B$27:$E$29,2,MATCH('Project information'!$A$4,'For Finance Control'!$B$27:$E$27,0)))</f>
        <v>0</v>
      </c>
      <c r="S130" s="45">
        <f>IF(OR(ISERROR($N130),$N130="",$N130="NA"),0,L130*$N130)*(1+INDEX('For Finance Control'!$B$27:$E$29,2,MATCH('Project information'!$A$4,'For Finance Control'!$B$27:$E$27,0)))</f>
        <v>0</v>
      </c>
      <c r="T130" s="45">
        <f t="shared" si="208"/>
        <v>0</v>
      </c>
      <c r="U130" s="33" cm="1">
        <f t="array" ref="U130">IF($N130="NA","NA",$N130*INDEX('Exchange rate'!$A$1:$G$7,MATCH('Project information'!$A$13,'Exchange rate'!$A$1:$A$7,0),MATCH(LOOKUP(2,1/({"China";"Korea";"India";"Japan";"EUR";"NAO"}=$E130),{"CNY";"KRW";"INR";"JPY";"EUR";"USD"}),'Exchange rate'!$A$1:$G$1,0)))</f>
        <v>5375</v>
      </c>
      <c r="V130" s="33">
        <f t="shared" si="209"/>
        <v>0</v>
      </c>
      <c r="W130" s="33">
        <f>IF(OR(ISERROR($U130),$U130="",$U130="NA"),0,I130*$U130)</f>
        <v>0</v>
      </c>
      <c r="X130" s="33">
        <f t="shared" si="211"/>
        <v>0</v>
      </c>
      <c r="Y130" s="33">
        <f t="shared" si="212"/>
        <v>0</v>
      </c>
      <c r="Z130" s="33">
        <f t="shared" si="213"/>
        <v>0</v>
      </c>
      <c r="AA130" s="33">
        <f t="shared" si="214"/>
        <v>0</v>
      </c>
      <c r="AB130" s="246"/>
      <c r="AC130" s="247"/>
      <c r="AZ130" s="148" t="str">
        <f t="shared" si="206"/>
        <v>5.8</v>
      </c>
      <c r="BA130" s="149" t="s">
        <v>303</v>
      </c>
    </row>
    <row r="131" spans="1:53" ht="25" outlineLevel="1">
      <c r="A131" s="148" t="str">
        <f t="shared" si="204"/>
        <v>5.9</v>
      </c>
      <c r="B131" s="148" t="str">
        <f>INDEX('Standard cost - Testing'!$A$1:$N$497,MATCH(RIGHT($C131,4),'Standard cost - Testing'!$A$1:$A$497,0),3)</f>
        <v>LVE</v>
      </c>
      <c r="C131" s="149" t="str">
        <f>'Standard cost - Testing'!B10&amp;" - "&amp;'Standard cost - Testing'!A10</f>
        <v>Acoustic - A009</v>
      </c>
      <c r="D131" s="150" t="str">
        <f>IF(RIGHT(INDEX('Standard cost - Testing'!$A$1:$N$497,MATCH(RIGHT($C131,4),'Standard cost - Testing'!$A$1:$A$497,0),4),1)="]",INDEX('Standard cost - Testing'!$A$1:$N$497,MATCH(RIGHT($C131,4),'Standard cost - Testing'!$A$1:$A$497,0),4),IF(INDEX('Standard cost - Testing'!$A$1:$N$497,MATCH(RIGHT($C131,4),'Standard cost - Testing'!$A$1:$A$497,0),10)=1,INDEX('Standard cost - Testing'!$A$1:$N$497,MATCH(RIGHT($C131,4),'Standard cost - Testing'!$A$1:$A$497,0),4)&amp;" [1 part]",INDEX('Standard cost - Testing'!$A$1:$N$497,MATCH(RIGHT($C131,4),'Standard cost - Testing'!$A$1:$A$497,0),4)&amp;" ["&amp;INDEX('Standard cost - Testing'!$A$1:$N$497,MATCH(RIGHT($C131,4),'Standard cost - Testing'!$A$1:$A$497,0),10)&amp;" parts]"))</f>
        <v>Back pressure measurement (on MT car) [1 part]</v>
      </c>
      <c r="E131" s="51" t="str">
        <f>IF('Project information'!$A$4="","",'Project information'!$A$4)</f>
        <v>China</v>
      </c>
      <c r="F131" s="149" t="str">
        <f>INDEX('Standard cost - Testing'!$A$1:$N$497,MATCH(RIGHT($C131,4),'Standard cost - Testing'!$A$1:$A$497,0),5)</f>
        <v>Faurecia</v>
      </c>
      <c r="G131" s="149" t="str">
        <f>IF($E131='Standard cost - Testing'!$F$1,INDEX('Standard cost - Testing'!$A$1:$N$497,MATCH(RIGHT($C131,4),'Standard cost - Testing'!$A$1:$A$497,0),6),INDEX('Standard cost - Testing'!$A$1:$N$497,MATCH(RIGHT($C131,4),'Standard cost - Testing'!$A$1:$A$497,0),7))</f>
        <v>CHD-I-DSE-2033</v>
      </c>
      <c r="H131" s="46"/>
      <c r="I131" s="46"/>
      <c r="J131" s="46"/>
      <c r="K131" s="46"/>
      <c r="L131" s="46"/>
      <c r="M131" s="33">
        <f t="shared" si="207"/>
        <v>0</v>
      </c>
      <c r="N131" s="157">
        <f>IF(E131="","",IF(ISERROR(INDEX('Standard cost - Testing'!$A$1:$N$497,MATCH(RIGHT($C131,4),'Standard cost - Testing'!$A$1:$A$497,0),MATCH($E131,'Standard cost - Testing'!$K$1:$N$1,0)+10)),"NA",INDEX('Standard cost - Testing'!$A$1:$N$497,MATCH(RIGHT($C131,4),'Standard cost - Testing'!$A$1:$A$497,0),MATCH($E131,'Standard cost - Testing'!$K$1:$N$1,0)+10)))</f>
        <v>15391</v>
      </c>
      <c r="O131" s="45">
        <f>IF(OR(ISERROR($N131),$N131="",$N131="NA"),0,H131*$N131)*(1+INDEX('For Finance Control'!$B$27:$E$29,2,MATCH('Project information'!$A$4,'For Finance Control'!$B$27:$E$27,0)))</f>
        <v>0</v>
      </c>
      <c r="P131" s="45">
        <f>IF(OR(ISERROR($N131),$N131="",$N131="NA"),0,I131*$N131)*(1+INDEX('For Finance Control'!$B$27:$E$29,2,MATCH('Project information'!$A$4,'For Finance Control'!$B$27:$E$27,0)))</f>
        <v>0</v>
      </c>
      <c r="Q131" s="45">
        <f>IF(OR(ISERROR($N131),$N131="",$N131="NA"),0,J131*$N131)*(1+INDEX('For Finance Control'!$B$27:$E$29,2,MATCH('Project information'!$A$4,'For Finance Control'!$B$27:$E$27,0)))</f>
        <v>0</v>
      </c>
      <c r="R131" s="45">
        <f>IF(OR(ISERROR($N131),$N131="",$N131="NA"),0,K131*$N131)*(1+INDEX('For Finance Control'!$B$27:$E$29,2,MATCH('Project information'!$A$4,'For Finance Control'!$B$27:$E$27,0)))</f>
        <v>0</v>
      </c>
      <c r="S131" s="45">
        <f>IF(OR(ISERROR($N131),$N131="",$N131="NA"),0,L131*$N131)*(1+INDEX('For Finance Control'!$B$27:$E$29,2,MATCH('Project information'!$A$4,'For Finance Control'!$B$27:$E$27,0)))</f>
        <v>0</v>
      </c>
      <c r="T131" s="45">
        <f t="shared" si="208"/>
        <v>0</v>
      </c>
      <c r="U131" s="33" cm="1">
        <f t="array" ref="U131">IF($N131="NA","NA",$N131*INDEX('Exchange rate'!$A$1:$G$7,MATCH('Project information'!$A$13,'Exchange rate'!$A$1:$A$7,0),MATCH(LOOKUP(2,1/({"China";"Korea";"India";"Japan";"EUR";"NAO"}=$E131),{"CNY";"KRW";"INR";"JPY";"EUR";"USD"}),'Exchange rate'!$A$1:$G$1,0)))</f>
        <v>15391</v>
      </c>
      <c r="V131" s="33">
        <f t="shared" si="209"/>
        <v>0</v>
      </c>
      <c r="W131" s="33">
        <f>IF(OR(ISERROR($U131),$U131="",$U131="NA"),0,I131*$U131)</f>
        <v>0</v>
      </c>
      <c r="X131" s="33">
        <f t="shared" si="211"/>
        <v>0</v>
      </c>
      <c r="Y131" s="33">
        <f t="shared" si="212"/>
        <v>0</v>
      </c>
      <c r="Z131" s="33">
        <f t="shared" si="213"/>
        <v>0</v>
      </c>
      <c r="AA131" s="33">
        <f t="shared" si="214"/>
        <v>0</v>
      </c>
      <c r="AB131" s="246"/>
      <c r="AC131" s="247"/>
      <c r="AZ131" s="148" t="str">
        <f t="shared" si="206"/>
        <v>5.9</v>
      </c>
      <c r="BA131" s="149" t="s">
        <v>304</v>
      </c>
    </row>
    <row r="132" spans="1:53" ht="25" outlineLevel="1">
      <c r="A132" s="148" t="str">
        <f t="shared" si="204"/>
        <v>5.10</v>
      </c>
      <c r="B132" s="148" t="str">
        <f>INDEX('Standard cost - Testing'!$A$1:$N$497,MATCH(RIGHT($C132,4),'Standard cost - Testing'!$A$1:$A$497,0),3)</f>
        <v>LVE</v>
      </c>
      <c r="C132" s="149" t="str">
        <f>'Standard cost - Testing'!B11&amp;" - "&amp;'Standard cost - Testing'!A11</f>
        <v>Acoustic - A010</v>
      </c>
      <c r="D132" s="150" t="str">
        <f>IF(RIGHT(INDEX('Standard cost - Testing'!$A$1:$N$497,MATCH(RIGHT($C132,4),'Standard cost - Testing'!$A$1:$A$497,0),4),1)="]",INDEX('Standard cost - Testing'!$A$1:$N$497,MATCH(RIGHT($C132,4),'Standard cost - Testing'!$A$1:$A$497,0),4),IF(INDEX('Standard cost - Testing'!$A$1:$N$497,MATCH(RIGHT($C132,4),'Standard cost - Testing'!$A$1:$A$497,0),10)=1,INDEX('Standard cost - Testing'!$A$1:$N$497,MATCH(RIGHT($C132,4),'Standard cost - Testing'!$A$1:$A$497,0),4)&amp;" [1 part]",INDEX('Standard cost - Testing'!$A$1:$N$497,MATCH(RIGHT($C132,4),'Standard cost - Testing'!$A$1:$A$497,0),4)&amp;" ["&amp;INDEX('Standard cost - Testing'!$A$1:$N$497,MATCH(RIGHT($C132,4),'Standard cost - Testing'!$A$1:$A$497,0),10)&amp;" parts]"))</f>
        <v>Interior noise measurement (on MT car) [1 part]</v>
      </c>
      <c r="E132" s="51" t="str">
        <f>IF('Project information'!$A$4="","",'Project information'!$A$4)</f>
        <v>China</v>
      </c>
      <c r="F132" s="149" t="str">
        <f>INDEX('Standard cost - Testing'!$A$1:$N$497,MATCH(RIGHT($C132,4),'Standard cost - Testing'!$A$1:$A$497,0),5)</f>
        <v>Faurecia</v>
      </c>
      <c r="G132" s="149" t="str">
        <f>IF($E132='Standard cost - Testing'!$F$1,INDEX('Standard cost - Testing'!$A$1:$N$497,MATCH(RIGHT($C132,4),'Standard cost - Testing'!$A$1:$A$497,0),6),INDEX('Standard cost - Testing'!$A$1:$N$497,MATCH(RIGHT($C132,4),'Standard cost - Testing'!$A$1:$A$497,0),7))</f>
        <v>CHD-I-DSE-2035</v>
      </c>
      <c r="H132" s="46"/>
      <c r="I132" s="46"/>
      <c r="J132" s="46"/>
      <c r="K132" s="46"/>
      <c r="L132" s="46"/>
      <c r="M132" s="33">
        <f t="shared" si="207"/>
        <v>0</v>
      </c>
      <c r="N132" s="157">
        <f>IF(E132="","",IF(ISERROR(INDEX('Standard cost - Testing'!$A$1:$N$497,MATCH(RIGHT($C132,4),'Standard cost - Testing'!$A$1:$A$497,0),MATCH($E132,'Standard cost - Testing'!$K$1:$N$1,0)+10)),"NA",INDEX('Standard cost - Testing'!$A$1:$N$497,MATCH(RIGHT($C132,4),'Standard cost - Testing'!$A$1:$A$497,0),MATCH($E132,'Standard cost - Testing'!$K$1:$N$1,0)+10)))</f>
        <v>17881</v>
      </c>
      <c r="O132" s="45">
        <f>IF(OR(ISERROR($N132),$N132="",$N132="NA"),0,H132*$N132)*(1+INDEX('For Finance Control'!$B$27:$E$29,2,MATCH('Project information'!$A$4,'For Finance Control'!$B$27:$E$27,0)))</f>
        <v>0</v>
      </c>
      <c r="P132" s="45">
        <f>IF(OR(ISERROR($N132),$N132="",$N132="NA"),0,I132*$N132)*(1+INDEX('For Finance Control'!$B$27:$E$29,2,MATCH('Project information'!$A$4,'For Finance Control'!$B$27:$E$27,0)))</f>
        <v>0</v>
      </c>
      <c r="Q132" s="45">
        <f>IF(OR(ISERROR($N132),$N132="",$N132="NA"),0,J132*$N132)*(1+INDEX('For Finance Control'!$B$27:$E$29,2,MATCH('Project information'!$A$4,'For Finance Control'!$B$27:$E$27,0)))</f>
        <v>0</v>
      </c>
      <c r="R132" s="45">
        <f>IF(OR(ISERROR($N132),$N132="",$N132="NA"),0,K132*$N132)*(1+INDEX('For Finance Control'!$B$27:$E$29,2,MATCH('Project information'!$A$4,'For Finance Control'!$B$27:$E$27,0)))</f>
        <v>0</v>
      </c>
      <c r="S132" s="45">
        <f>IF(OR(ISERROR($N132),$N132="",$N132="NA"),0,L132*$N132)*(1+INDEX('For Finance Control'!$B$27:$E$29,2,MATCH('Project information'!$A$4,'For Finance Control'!$B$27:$E$27,0)))</f>
        <v>0</v>
      </c>
      <c r="T132" s="45">
        <f t="shared" si="208"/>
        <v>0</v>
      </c>
      <c r="U132" s="33" cm="1">
        <f t="array" ref="U132">IF($N132="NA","NA",$N132*INDEX('Exchange rate'!$A$1:$G$7,MATCH('Project information'!$A$13,'Exchange rate'!$A$1:$A$7,0),MATCH(LOOKUP(2,1/({"China";"Korea";"India";"Japan";"EUR";"NAO"}=$E132),{"CNY";"KRW";"INR";"JPY";"EUR";"USD"}),'Exchange rate'!$A$1:$G$1,0)))</f>
        <v>17881</v>
      </c>
      <c r="V132" s="33">
        <f t="shared" si="209"/>
        <v>0</v>
      </c>
      <c r="W132" s="33">
        <f t="shared" si="210"/>
        <v>0</v>
      </c>
      <c r="X132" s="33">
        <f t="shared" si="211"/>
        <v>0</v>
      </c>
      <c r="Y132" s="33">
        <f t="shared" si="212"/>
        <v>0</v>
      </c>
      <c r="Z132" s="33">
        <f t="shared" si="213"/>
        <v>0</v>
      </c>
      <c r="AA132" s="33">
        <f t="shared" si="214"/>
        <v>0</v>
      </c>
      <c r="AB132" s="246"/>
      <c r="AC132" s="247"/>
      <c r="AZ132" s="148" t="str">
        <f t="shared" si="206"/>
        <v>5.10</v>
      </c>
      <c r="BA132" s="149" t="s">
        <v>305</v>
      </c>
    </row>
    <row r="133" spans="1:53" ht="25" outlineLevel="1">
      <c r="A133" s="148" t="str">
        <f t="shared" si="204"/>
        <v>5.11</v>
      </c>
      <c r="B133" s="148" t="str">
        <f>INDEX('Standard cost - Testing'!$A$1:$N$497,MATCH(RIGHT($C133,4),'Standard cost - Testing'!$A$1:$A$497,0),3)</f>
        <v>LVE</v>
      </c>
      <c r="C133" s="149" t="str">
        <f>'Standard cost - Testing'!B12&amp;" - "&amp;'Standard cost - Testing'!A12</f>
        <v>Acoustic - A011</v>
      </c>
      <c r="D133" s="150" t="str">
        <f>IF(RIGHT(INDEX('Standard cost - Testing'!$A$1:$N$497,MATCH(RIGHT($C133,4),'Standard cost - Testing'!$A$1:$A$497,0),4),1)="]",INDEX('Standard cost - Testing'!$A$1:$N$497,MATCH(RIGHT($C133,4),'Standard cost - Testing'!$A$1:$A$497,0),4),IF(INDEX('Standard cost - Testing'!$A$1:$N$497,MATCH(RIGHT($C133,4),'Standard cost - Testing'!$A$1:$A$497,0),10)=1,INDEX('Standard cost - Testing'!$A$1:$N$497,MATCH(RIGHT($C133,4),'Standard cost - Testing'!$A$1:$A$497,0),4)&amp;" [1 part]",INDEX('Standard cost - Testing'!$A$1:$N$497,MATCH(RIGHT($C133,4),'Standard cost - Testing'!$A$1:$A$497,0),4)&amp;" ["&amp;INDEX('Standard cost - Testing'!$A$1:$N$497,MATCH(RIGHT($C133,4),'Standard cost - Testing'!$A$1:$A$497,0),10)&amp;" parts]"))</f>
        <v>Radiated noise measurement (on MT car) [1 part]</v>
      </c>
      <c r="E133" s="51" t="str">
        <f>IF('Project information'!$A$4="","",'Project information'!$A$4)</f>
        <v>China</v>
      </c>
      <c r="F133" s="149" t="str">
        <f>INDEX('Standard cost - Testing'!$A$1:$N$497,MATCH(RIGHT($C133,4),'Standard cost - Testing'!$A$1:$A$497,0),5)</f>
        <v>Faurecia</v>
      </c>
      <c r="G133" s="149" t="str">
        <f>IF($E133='Standard cost - Testing'!$F$1,INDEX('Standard cost - Testing'!$A$1:$N$497,MATCH(RIGHT($C133,4),'Standard cost - Testing'!$A$1:$A$497,0),6),INDEX('Standard cost - Testing'!$A$1:$N$497,MATCH(RIGHT($C133,4),'Standard cost - Testing'!$A$1:$A$497,0),7))</f>
        <v>CHD-I-DSE-2034</v>
      </c>
      <c r="H133" s="46"/>
      <c r="I133" s="46"/>
      <c r="J133" s="46"/>
      <c r="K133" s="46"/>
      <c r="L133" s="46"/>
      <c r="M133" s="33">
        <f t="shared" si="207"/>
        <v>0</v>
      </c>
      <c r="N133" s="157">
        <f>IF(E133="","",IF(ISERROR(INDEX('Standard cost - Testing'!$A$1:$N$497,MATCH(RIGHT($C133,4),'Standard cost - Testing'!$A$1:$A$497,0),MATCH($E133,'Standard cost - Testing'!$K$1:$N$1,0)+10)),"NA",INDEX('Standard cost - Testing'!$A$1:$N$497,MATCH(RIGHT($C133,4),'Standard cost - Testing'!$A$1:$A$497,0),MATCH($E133,'Standard cost - Testing'!$K$1:$N$1,0)+10)))</f>
        <v>17881</v>
      </c>
      <c r="O133" s="45">
        <f>IF(OR(ISERROR($N133),$N133="",$N133="NA"),0,H133*$N133)*(1+INDEX('For Finance Control'!$B$27:$E$29,2,MATCH('Project information'!$A$4,'For Finance Control'!$B$27:$E$27,0)))</f>
        <v>0</v>
      </c>
      <c r="P133" s="45">
        <f>IF(OR(ISERROR($N133),$N133="",$N133="NA"),0,I133*$N133)*(1+INDEX('For Finance Control'!$B$27:$E$29,2,MATCH('Project information'!$A$4,'For Finance Control'!$B$27:$E$27,0)))</f>
        <v>0</v>
      </c>
      <c r="Q133" s="45">
        <f>IF(OR(ISERROR($N133),$N133="",$N133="NA"),0,J133*$N133)*(1+INDEX('For Finance Control'!$B$27:$E$29,2,MATCH('Project information'!$A$4,'For Finance Control'!$B$27:$E$27,0)))</f>
        <v>0</v>
      </c>
      <c r="R133" s="45">
        <f>IF(OR(ISERROR($N133),$N133="",$N133="NA"),0,K133*$N133)*(1+INDEX('For Finance Control'!$B$27:$E$29,2,MATCH('Project information'!$A$4,'For Finance Control'!$B$27:$E$27,0)))</f>
        <v>0</v>
      </c>
      <c r="S133" s="45">
        <f>IF(OR(ISERROR($N133),$N133="",$N133="NA"),0,L133*$N133)*(1+INDEX('For Finance Control'!$B$27:$E$29,2,MATCH('Project information'!$A$4,'For Finance Control'!$B$27:$E$27,0)))</f>
        <v>0</v>
      </c>
      <c r="T133" s="45">
        <f t="shared" si="208"/>
        <v>0</v>
      </c>
      <c r="U133" s="33" cm="1">
        <f t="array" ref="U133">IF($N133="NA","NA",$N133*INDEX('Exchange rate'!$A$1:$G$7,MATCH('Project information'!$A$13,'Exchange rate'!$A$1:$A$7,0),MATCH(LOOKUP(2,1/({"China";"Korea";"India";"Japan";"EUR";"NAO"}=$E133),{"CNY";"KRW";"INR";"JPY";"EUR";"USD"}),'Exchange rate'!$A$1:$G$1,0)))</f>
        <v>17881</v>
      </c>
      <c r="V133" s="33">
        <f t="shared" si="209"/>
        <v>0</v>
      </c>
      <c r="W133" s="33">
        <f t="shared" si="210"/>
        <v>0</v>
      </c>
      <c r="X133" s="33">
        <f t="shared" si="211"/>
        <v>0</v>
      </c>
      <c r="Y133" s="33">
        <f t="shared" si="212"/>
        <v>0</v>
      </c>
      <c r="Z133" s="33">
        <f t="shared" si="213"/>
        <v>0</v>
      </c>
      <c r="AA133" s="33">
        <f t="shared" si="214"/>
        <v>0</v>
      </c>
      <c r="AB133" s="246"/>
      <c r="AC133" s="247"/>
      <c r="AZ133" s="148" t="str">
        <f t="shared" si="206"/>
        <v>5.11</v>
      </c>
      <c r="BA133" s="149" t="s">
        <v>306</v>
      </c>
    </row>
    <row r="134" spans="1:53" ht="25" outlineLevel="1">
      <c r="A134" s="148" t="str">
        <f t="shared" si="204"/>
        <v>5.12</v>
      </c>
      <c r="B134" s="148" t="str">
        <f>INDEX('Standard cost - Testing'!$A$1:$N$497,MATCH(RIGHT($C134,4),'Standard cost - Testing'!$A$1:$A$497,0),3)</f>
        <v>LVE</v>
      </c>
      <c r="C134" s="149" t="str">
        <f>'Standard cost - Testing'!B13&amp;" - "&amp;'Standard cost - Testing'!A13</f>
        <v>Acoustic - A012</v>
      </c>
      <c r="D134" s="150" t="str">
        <f>IF(RIGHT(INDEX('Standard cost - Testing'!$A$1:$N$497,MATCH(RIGHT($C134,4),'Standard cost - Testing'!$A$1:$A$497,0),4),1)="]",INDEX('Standard cost - Testing'!$A$1:$N$497,MATCH(RIGHT($C134,4),'Standard cost - Testing'!$A$1:$A$497,0),4),IF(INDEX('Standard cost - Testing'!$A$1:$N$497,MATCH(RIGHT($C134,4),'Standard cost - Testing'!$A$1:$A$497,0),10)=1,INDEX('Standard cost - Testing'!$A$1:$N$497,MATCH(RIGHT($C134,4),'Standard cost - Testing'!$A$1:$A$497,0),4)&amp;" [1 part]",INDEX('Standard cost - Testing'!$A$1:$N$497,MATCH(RIGHT($C134,4),'Standard cost - Testing'!$A$1:$A$497,0),4)&amp;" ["&amp;INDEX('Standard cost - Testing'!$A$1:$N$497,MATCH(RIGHT($C134,4),'Standard cost - Testing'!$A$1:$A$497,0),10)&amp;" parts]"))</f>
        <v>Stationary noise Measurement (Idle &amp; Interior) [1 part]</v>
      </c>
      <c r="E134" s="51" t="str">
        <f>IF('Project information'!$A$4="","",'Project information'!$A$4)</f>
        <v>China</v>
      </c>
      <c r="F134" s="149" t="str">
        <f>INDEX('Standard cost - Testing'!$A$1:$N$497,MATCH(RIGHT($C134,4),'Standard cost - Testing'!$A$1:$A$497,0),5)</f>
        <v>Faurecia</v>
      </c>
      <c r="G134" s="149" t="str">
        <f>IF($E134='Standard cost - Testing'!$F$1,INDEX('Standard cost - Testing'!$A$1:$N$497,MATCH(RIGHT($C134,4),'Standard cost - Testing'!$A$1:$A$497,0),6),INDEX('Standard cost - Testing'!$A$1:$N$497,MATCH(RIGHT($C134,4),'Standard cost - Testing'!$A$1:$A$497,0),7))</f>
        <v>CHD-I-DSE-2036</v>
      </c>
      <c r="H134" s="46"/>
      <c r="I134" s="46"/>
      <c r="J134" s="46"/>
      <c r="K134" s="46"/>
      <c r="L134" s="46"/>
      <c r="M134" s="33">
        <f t="shared" si="207"/>
        <v>0</v>
      </c>
      <c r="N134" s="157">
        <f>IF(E134="","",IF(ISERROR(INDEX('Standard cost - Testing'!$A$1:$N$497,MATCH(RIGHT($C134,4),'Standard cost - Testing'!$A$1:$A$497,0),MATCH($E134,'Standard cost - Testing'!$K$1:$N$1,0)+10)),"NA",INDEX('Standard cost - Testing'!$A$1:$N$497,MATCH(RIGHT($C134,4),'Standard cost - Testing'!$A$1:$A$497,0),MATCH($E134,'Standard cost - Testing'!$K$1:$N$1,0)+10)))</f>
        <v>17881</v>
      </c>
      <c r="O134" s="45">
        <f>IF(OR(ISERROR($N134),$N134="",$N134="NA"),0,H134*$N134)*(1+INDEX('For Finance Control'!$B$27:$E$29,2,MATCH('Project information'!$A$4,'For Finance Control'!$B$27:$E$27,0)))</f>
        <v>0</v>
      </c>
      <c r="P134" s="45">
        <f>IF(OR(ISERROR($N134),$N134="",$N134="NA"),0,I134*$N134)*(1+INDEX('For Finance Control'!$B$27:$E$29,2,MATCH('Project information'!$A$4,'For Finance Control'!$B$27:$E$27,0)))</f>
        <v>0</v>
      </c>
      <c r="Q134" s="45">
        <f>IF(OR(ISERROR($N134),$N134="",$N134="NA"),0,J134*$N134)*(1+INDEX('For Finance Control'!$B$27:$E$29,2,MATCH('Project information'!$A$4,'For Finance Control'!$B$27:$E$27,0)))</f>
        <v>0</v>
      </c>
      <c r="R134" s="45">
        <f>IF(OR(ISERROR($N134),$N134="",$N134="NA"),0,K134*$N134)*(1+INDEX('For Finance Control'!$B$27:$E$29,2,MATCH('Project information'!$A$4,'For Finance Control'!$B$27:$E$27,0)))</f>
        <v>0</v>
      </c>
      <c r="S134" s="45">
        <f>IF(OR(ISERROR($N134),$N134="",$N134="NA"),0,L134*$N134)*(1+INDEX('For Finance Control'!$B$27:$E$29,2,MATCH('Project information'!$A$4,'For Finance Control'!$B$27:$E$27,0)))</f>
        <v>0</v>
      </c>
      <c r="T134" s="45">
        <f t="shared" si="208"/>
        <v>0</v>
      </c>
      <c r="U134" s="33" cm="1">
        <f t="array" ref="U134">IF($N134="NA","NA",$N134*INDEX('Exchange rate'!$A$1:$G$7,MATCH('Project information'!$A$13,'Exchange rate'!$A$1:$A$7,0),MATCH(LOOKUP(2,1/({"China";"Korea";"India";"Japan";"EUR";"NAO"}=$E134),{"CNY";"KRW";"INR";"JPY";"EUR";"USD"}),'Exchange rate'!$A$1:$G$1,0)))</f>
        <v>17881</v>
      </c>
      <c r="V134" s="33">
        <f t="shared" si="209"/>
        <v>0</v>
      </c>
      <c r="W134" s="33">
        <f t="shared" si="210"/>
        <v>0</v>
      </c>
      <c r="X134" s="33">
        <f t="shared" si="211"/>
        <v>0</v>
      </c>
      <c r="Y134" s="33">
        <f t="shared" si="212"/>
        <v>0</v>
      </c>
      <c r="Z134" s="33">
        <f t="shared" si="213"/>
        <v>0</v>
      </c>
      <c r="AA134" s="33">
        <f t="shared" si="214"/>
        <v>0</v>
      </c>
      <c r="AB134" s="246"/>
      <c r="AC134" s="247"/>
      <c r="AZ134" s="148" t="str">
        <f t="shared" si="206"/>
        <v>5.12</v>
      </c>
      <c r="BA134" s="149" t="s">
        <v>307</v>
      </c>
    </row>
    <row r="135" spans="1:53" ht="25" outlineLevel="1">
      <c r="A135" s="148" t="str">
        <f t="shared" si="204"/>
        <v>5.13</v>
      </c>
      <c r="B135" s="148" t="str">
        <f>INDEX('Standard cost - Testing'!$A$1:$N$497,MATCH(RIGHT($C135,4),'Standard cost - Testing'!$A$1:$A$497,0),3)</f>
        <v>LVE</v>
      </c>
      <c r="C135" s="149" t="str">
        <f>'Standard cost - Testing'!B14&amp;" - "&amp;'Standard cost - Testing'!A14</f>
        <v>Acoustic - A013</v>
      </c>
      <c r="D135" s="150" t="str">
        <f>IF(RIGHT(INDEX('Standard cost - Testing'!$A$1:$N$497,MATCH(RIGHT($C135,4),'Standard cost - Testing'!$A$1:$A$497,0),4),1)="]",INDEX('Standard cost - Testing'!$A$1:$N$497,MATCH(RIGHT($C135,4),'Standard cost - Testing'!$A$1:$A$497,0),4),IF(INDEX('Standard cost - Testing'!$A$1:$N$497,MATCH(RIGHT($C135,4),'Standard cost - Testing'!$A$1:$A$497,0),10)=1,INDEX('Standard cost - Testing'!$A$1:$N$497,MATCH(RIGHT($C135,4),'Standard cost - Testing'!$A$1:$A$497,0),4)&amp;" [1 part]",INDEX('Standard cost - Testing'!$A$1:$N$497,MATCH(RIGHT($C135,4),'Standard cost - Testing'!$A$1:$A$497,0),4)&amp;" ["&amp;INDEX('Standard cost - Testing'!$A$1:$N$497,MATCH(RIGHT($C135,4),'Standard cost - Testing'!$A$1:$A$497,0),10)&amp;" parts]"))</f>
        <v>Tail pipe noise measurement (on MT car) [1 part]</v>
      </c>
      <c r="E135" s="51" t="str">
        <f>IF('Project information'!$A$4="","",'Project information'!$A$4)</f>
        <v>China</v>
      </c>
      <c r="F135" s="149" t="str">
        <f>INDEX('Standard cost - Testing'!$A$1:$N$497,MATCH(RIGHT($C135,4),'Standard cost - Testing'!$A$1:$A$497,0),5)</f>
        <v>Faurecia</v>
      </c>
      <c r="G135" s="149" t="str">
        <f>IF($E135='Standard cost - Testing'!$F$1,INDEX('Standard cost - Testing'!$A$1:$N$497,MATCH(RIGHT($C135,4),'Standard cost - Testing'!$A$1:$A$497,0),6),INDEX('Standard cost - Testing'!$A$1:$N$497,MATCH(RIGHT($C135,4),'Standard cost - Testing'!$A$1:$A$497,0),7))</f>
        <v>CHD-I-DSE-2032</v>
      </c>
      <c r="H135" s="46"/>
      <c r="I135" s="46"/>
      <c r="J135" s="46"/>
      <c r="K135" s="46"/>
      <c r="L135" s="46"/>
      <c r="M135" s="33">
        <f t="shared" si="207"/>
        <v>0</v>
      </c>
      <c r="N135" s="157">
        <f>IF(E135="","",IF(ISERROR(INDEX('Standard cost - Testing'!$A$1:$N$497,MATCH(RIGHT($C135,4),'Standard cost - Testing'!$A$1:$A$497,0),MATCH($E135,'Standard cost - Testing'!$K$1:$N$1,0)+10)),"NA",INDEX('Standard cost - Testing'!$A$1:$N$497,MATCH(RIGHT($C135,4),'Standard cost - Testing'!$A$1:$A$497,0),MATCH($E135,'Standard cost - Testing'!$K$1:$N$1,0)+10)))</f>
        <v>17881</v>
      </c>
      <c r="O135" s="45">
        <f>IF(OR(ISERROR($N135),$N135="",$N135="NA"),0,H135*$N135)*(1+INDEX('For Finance Control'!$B$27:$E$29,2,MATCH('Project information'!$A$4,'For Finance Control'!$B$27:$E$27,0)))</f>
        <v>0</v>
      </c>
      <c r="P135" s="45">
        <f>IF(OR(ISERROR($N135),$N135="",$N135="NA"),0,I135*$N135)*(1+INDEX('For Finance Control'!$B$27:$E$29,2,MATCH('Project information'!$A$4,'For Finance Control'!$B$27:$E$27,0)))</f>
        <v>0</v>
      </c>
      <c r="Q135" s="45">
        <f>IF(OR(ISERROR($N135),$N135="",$N135="NA"),0,J135*$N135)*(1+INDEX('For Finance Control'!$B$27:$E$29,2,MATCH('Project information'!$A$4,'For Finance Control'!$B$27:$E$27,0)))</f>
        <v>0</v>
      </c>
      <c r="R135" s="45">
        <f>IF(OR(ISERROR($N135),$N135="",$N135="NA"),0,K135*$N135)*(1+INDEX('For Finance Control'!$B$27:$E$29,2,MATCH('Project information'!$A$4,'For Finance Control'!$B$27:$E$27,0)))</f>
        <v>0</v>
      </c>
      <c r="S135" s="45">
        <f>IF(OR(ISERROR($N135),$N135="",$N135="NA"),0,L135*$N135)*(1+INDEX('For Finance Control'!$B$27:$E$29,2,MATCH('Project information'!$A$4,'For Finance Control'!$B$27:$E$27,0)))</f>
        <v>0</v>
      </c>
      <c r="T135" s="45">
        <f t="shared" si="208"/>
        <v>0</v>
      </c>
      <c r="U135" s="33" cm="1">
        <f t="array" ref="U135">IF($N135="NA","NA",$N135*INDEX('Exchange rate'!$A$1:$G$7,MATCH('Project information'!$A$13,'Exchange rate'!$A$1:$A$7,0),MATCH(LOOKUP(2,1/({"China";"Korea";"India";"Japan";"EUR";"NAO"}=$E135),{"CNY";"KRW";"INR";"JPY";"EUR";"USD"}),'Exchange rate'!$A$1:$G$1,0)))</f>
        <v>17881</v>
      </c>
      <c r="V135" s="33">
        <f t="shared" si="209"/>
        <v>0</v>
      </c>
      <c r="W135" s="33">
        <f t="shared" si="210"/>
        <v>0</v>
      </c>
      <c r="X135" s="33">
        <f t="shared" si="211"/>
        <v>0</v>
      </c>
      <c r="Y135" s="33">
        <f t="shared" si="212"/>
        <v>0</v>
      </c>
      <c r="Z135" s="33">
        <f t="shared" si="213"/>
        <v>0</v>
      </c>
      <c r="AA135" s="33">
        <f t="shared" si="214"/>
        <v>0</v>
      </c>
      <c r="AB135" s="246"/>
      <c r="AC135" s="247"/>
      <c r="AZ135" s="148" t="str">
        <f t="shared" si="206"/>
        <v>5.13</v>
      </c>
      <c r="BA135" s="149" t="s">
        <v>308</v>
      </c>
    </row>
    <row r="136" spans="1:53" ht="25" outlineLevel="1">
      <c r="A136" s="148" t="str">
        <f t="shared" si="204"/>
        <v>5.14</v>
      </c>
      <c r="B136" s="148" t="str">
        <f>INDEX('Standard cost - Testing'!$A$1:$N$497,MATCH(RIGHT($C136,4),'Standard cost - Testing'!$A$1:$A$497,0),3)</f>
        <v>LVE</v>
      </c>
      <c r="C136" s="149" t="str">
        <f>'Standard cost - Testing'!B15&amp;" - "&amp;'Standard cost - Testing'!A15</f>
        <v>Acoustic - A014</v>
      </c>
      <c r="D136" s="150" t="str">
        <f>IF(RIGHT(INDEX('Standard cost - Testing'!$A$1:$N$497,MATCH(RIGHT($C136,4),'Standard cost - Testing'!$A$1:$A$497,0),4),1)="]",INDEX('Standard cost - Testing'!$A$1:$N$497,MATCH(RIGHT($C136,4),'Standard cost - Testing'!$A$1:$A$497,0),4),IF(INDEX('Standard cost - Testing'!$A$1:$N$497,MATCH(RIGHT($C136,4),'Standard cost - Testing'!$A$1:$A$497,0),10)=1,INDEX('Standard cost - Testing'!$A$1:$N$497,MATCH(RIGHT($C136,4),'Standard cost - Testing'!$A$1:$A$497,0),4)&amp;" [1 part]",INDEX('Standard cost - Testing'!$A$1:$N$497,MATCH(RIGHT($C136,4),'Standard cost - Testing'!$A$1:$A$497,0),4)&amp;" ["&amp;INDEX('Standard cost - Testing'!$A$1:$N$497,MATCH(RIGHT($C136,4),'Standard cost - Testing'!$A$1:$A$497,0),10)&amp;" parts]"))</f>
        <v>Acoustic measurement (TPN, Idle) (on MT car) [1 part]</v>
      </c>
      <c r="E136" s="51" t="str">
        <f>IF('Project information'!$A$4="","",'Project information'!$A$4)</f>
        <v>China</v>
      </c>
      <c r="F136" s="149" t="str">
        <f>INDEX('Standard cost - Testing'!$A$1:$N$497,MATCH(RIGHT($C136,4),'Standard cost - Testing'!$A$1:$A$497,0),5)</f>
        <v>Faurecia</v>
      </c>
      <c r="G136" s="149" t="str">
        <f>IF($E136='Standard cost - Testing'!$F$1,INDEX('Standard cost - Testing'!$A$1:$N$497,MATCH(RIGHT($C136,4),'Standard cost - Testing'!$A$1:$A$497,0),6),INDEX('Standard cost - Testing'!$A$1:$N$497,MATCH(RIGHT($C136,4),'Standard cost - Testing'!$A$1:$A$497,0),7))</f>
        <v>CHD-I-DSE-2032
CHD-I-DSE-2036</v>
      </c>
      <c r="H136" s="46"/>
      <c r="I136" s="46"/>
      <c r="J136" s="46"/>
      <c r="K136" s="46"/>
      <c r="L136" s="46"/>
      <c r="M136" s="33">
        <f t="shared" si="207"/>
        <v>0</v>
      </c>
      <c r="N136" s="157">
        <f>IF(E136="","",IF(ISERROR(INDEX('Standard cost - Testing'!$A$1:$N$497,MATCH(RIGHT($C136,4),'Standard cost - Testing'!$A$1:$A$497,0),MATCH($E136,'Standard cost - Testing'!$K$1:$N$1,0)+10)),"NA",INDEX('Standard cost - Testing'!$A$1:$N$497,MATCH(RIGHT($C136,4),'Standard cost - Testing'!$A$1:$A$497,0),MATCH($E136,'Standard cost - Testing'!$K$1:$N$1,0)+10)))</f>
        <v>23878</v>
      </c>
      <c r="O136" s="45">
        <f>IF(OR(ISERROR($N136),$N136="",$N136="NA"),0,H136*$N136)*(1+INDEX('For Finance Control'!$B$27:$E$29,2,MATCH('Project information'!$A$4,'For Finance Control'!$B$27:$E$27,0)))</f>
        <v>0</v>
      </c>
      <c r="P136" s="45">
        <f>IF(OR(ISERROR($N136),$N136="",$N136="NA"),0,I136*$N136)*(1+INDEX('For Finance Control'!$B$27:$E$29,2,MATCH('Project information'!$A$4,'For Finance Control'!$B$27:$E$27,0)))</f>
        <v>0</v>
      </c>
      <c r="Q136" s="45">
        <f>IF(OR(ISERROR($N136),$N136="",$N136="NA"),0,J136*$N136)*(1+INDEX('For Finance Control'!$B$27:$E$29,2,MATCH('Project information'!$A$4,'For Finance Control'!$B$27:$E$27,0)))</f>
        <v>0</v>
      </c>
      <c r="R136" s="45">
        <f>IF(OR(ISERROR($N136),$N136="",$N136="NA"),0,K136*$N136)*(1+INDEX('For Finance Control'!$B$27:$E$29,2,MATCH('Project information'!$A$4,'For Finance Control'!$B$27:$E$27,0)))</f>
        <v>0</v>
      </c>
      <c r="S136" s="45">
        <f>IF(OR(ISERROR($N136),$N136="",$N136="NA"),0,L136*$N136)*(1+INDEX('For Finance Control'!$B$27:$E$29,2,MATCH('Project information'!$A$4,'For Finance Control'!$B$27:$E$27,0)))</f>
        <v>0</v>
      </c>
      <c r="T136" s="45">
        <f t="shared" si="208"/>
        <v>0</v>
      </c>
      <c r="U136" s="33" cm="1">
        <f t="array" ref="U136">IF($N136="NA","NA",$N136*INDEX('Exchange rate'!$A$1:$G$7,MATCH('Project information'!$A$13,'Exchange rate'!$A$1:$A$7,0),MATCH(LOOKUP(2,1/({"China";"Korea";"India";"Japan";"EUR";"NAO"}=$E136),{"CNY";"KRW";"INR";"JPY";"EUR";"USD"}),'Exchange rate'!$A$1:$G$1,0)))</f>
        <v>23878</v>
      </c>
      <c r="V136" s="33">
        <f t="shared" si="209"/>
        <v>0</v>
      </c>
      <c r="W136" s="33">
        <f t="shared" si="210"/>
        <v>0</v>
      </c>
      <c r="X136" s="33">
        <f t="shared" si="211"/>
        <v>0</v>
      </c>
      <c r="Y136" s="33">
        <f t="shared" si="212"/>
        <v>0</v>
      </c>
      <c r="Z136" s="33">
        <f t="shared" si="213"/>
        <v>0</v>
      </c>
      <c r="AA136" s="33">
        <f t="shared" si="214"/>
        <v>0</v>
      </c>
      <c r="AB136" s="246"/>
      <c r="AC136" s="247"/>
      <c r="AZ136" s="148" t="str">
        <f t="shared" si="206"/>
        <v>5.14</v>
      </c>
      <c r="BA136" s="149" t="s">
        <v>309</v>
      </c>
    </row>
    <row r="137" spans="1:53" outlineLevel="1">
      <c r="A137" s="148" t="str">
        <f t="shared" si="204"/>
        <v>5.15</v>
      </c>
      <c r="B137" s="148" t="str">
        <f>INDEX('Standard cost - Testing'!$A$1:$N$497,MATCH(RIGHT($C137,4),'Standard cost - Testing'!$A$1:$A$497,0),3)</f>
        <v>Common</v>
      </c>
      <c r="C137" s="149" t="str">
        <f>'Standard cost - Testing'!B16&amp;" - "&amp;'Standard cost - Testing'!A16</f>
        <v>Acoustic - A015</v>
      </c>
      <c r="D137" s="150" t="str">
        <f>IF(RIGHT(INDEX('Standard cost - Testing'!$A$1:$N$497,MATCH(RIGHT($C137,4),'Standard cost - Testing'!$A$1:$A$497,0),4),1)="]",INDEX('Standard cost - Testing'!$A$1:$N$497,MATCH(RIGHT($C137,4),'Standard cost - Testing'!$A$1:$A$497,0),4),IF(INDEX('Standard cost - Testing'!$A$1:$N$497,MATCH(RIGHT($C137,4),'Standard cost - Testing'!$A$1:$A$497,0),10)=1,INDEX('Standard cost - Testing'!$A$1:$N$497,MATCH(RIGHT($C137,4),'Standard cost - Testing'!$A$1:$A$497,0),4)&amp;" [1 part]",INDEX('Standard cost - Testing'!$A$1:$N$497,MATCH(RIGHT($C137,4),'Standard cost - Testing'!$A$1:$A$497,0),4)&amp;" ["&amp;INDEX('Standard cost - Testing'!$A$1:$N$497,MATCH(RIGHT($C137,4),'Standard cost - Testing'!$A$1:$A$497,0),10)&amp;" parts]"))</f>
        <v>Vehicle acoustic test on track [1 part]</v>
      </c>
      <c r="E137" s="51" t="str">
        <f>IF('Project information'!$A$4="","",'Project information'!$A$4)</f>
        <v>China</v>
      </c>
      <c r="F137" s="149" t="str">
        <f>INDEX('Standard cost - Testing'!$A$1:$N$497,MATCH(RIGHT($C137,4),'Standard cost - Testing'!$A$1:$A$497,0),5)</f>
        <v>Faurecia</v>
      </c>
      <c r="G137" s="149">
        <f>IF($E137='Standard cost - Testing'!$F$1,INDEX('Standard cost - Testing'!$A$1:$N$497,MATCH(RIGHT($C137,4),'Standard cost - Testing'!$A$1:$A$497,0),6),INDEX('Standard cost - Testing'!$A$1:$N$497,MATCH(RIGHT($C137,4),'Standard cost - Testing'!$A$1:$A$497,0),7))</f>
        <v>0</v>
      </c>
      <c r="H137" s="46"/>
      <c r="I137" s="46"/>
      <c r="J137" s="46"/>
      <c r="K137" s="46"/>
      <c r="L137" s="46"/>
      <c r="M137" s="33">
        <f t="shared" si="207"/>
        <v>0</v>
      </c>
      <c r="N137" s="157">
        <f>IF(E137="","",IF(ISERROR(INDEX('Standard cost - Testing'!$A$1:$N$497,MATCH(RIGHT($C137,4),'Standard cost - Testing'!$A$1:$A$497,0),MATCH($E137,'Standard cost - Testing'!$K$1:$N$1,0)+10)),"NA",INDEX('Standard cost - Testing'!$A$1:$N$497,MATCH(RIGHT($C137,4),'Standard cost - Testing'!$A$1:$A$497,0),MATCH($E137,'Standard cost - Testing'!$K$1:$N$1,0)+10)))</f>
        <v>24113</v>
      </c>
      <c r="O137" s="45">
        <f>IF(OR(ISERROR($N137),$N137="",$N137="NA"),0,H137*$N137)*(1+INDEX('For Finance Control'!$B$27:$E$29,2,MATCH('Project information'!$A$4,'For Finance Control'!$B$27:$E$27,0)))</f>
        <v>0</v>
      </c>
      <c r="P137" s="45">
        <f>IF(OR(ISERROR($N137),$N137="",$N137="NA"),0,I137*$N137)*(1+INDEX('For Finance Control'!$B$27:$E$29,2,MATCH('Project information'!$A$4,'For Finance Control'!$B$27:$E$27,0)))</f>
        <v>0</v>
      </c>
      <c r="Q137" s="45">
        <f>IF(OR(ISERROR($N137),$N137="",$N137="NA"),0,J137*$N137)*(1+INDEX('For Finance Control'!$B$27:$E$29,2,MATCH('Project information'!$A$4,'For Finance Control'!$B$27:$E$27,0)))</f>
        <v>0</v>
      </c>
      <c r="R137" s="45">
        <f>IF(OR(ISERROR($N137),$N137="",$N137="NA"),0,K137*$N137)*(1+INDEX('For Finance Control'!$B$27:$E$29,2,MATCH('Project information'!$A$4,'For Finance Control'!$B$27:$E$27,0)))</f>
        <v>0</v>
      </c>
      <c r="S137" s="45">
        <f>IF(OR(ISERROR($N137),$N137="",$N137="NA"),0,L137*$N137)*(1+INDEX('For Finance Control'!$B$27:$E$29,2,MATCH('Project information'!$A$4,'For Finance Control'!$B$27:$E$27,0)))</f>
        <v>0</v>
      </c>
      <c r="T137" s="45">
        <f t="shared" si="208"/>
        <v>0</v>
      </c>
      <c r="U137" s="33" cm="1">
        <f t="array" ref="U137">IF($N137="NA","NA",$N137*INDEX('Exchange rate'!$A$1:$G$7,MATCH('Project information'!$A$13,'Exchange rate'!$A$1:$A$7,0),MATCH(LOOKUP(2,1/({"China";"Korea";"India";"Japan";"EUR";"NAO"}=$E137),{"CNY";"KRW";"INR";"JPY";"EUR";"USD"}),'Exchange rate'!$A$1:$G$1,0)))</f>
        <v>24113</v>
      </c>
      <c r="V137" s="33">
        <f t="shared" si="209"/>
        <v>0</v>
      </c>
      <c r="W137" s="33">
        <f t="shared" si="210"/>
        <v>0</v>
      </c>
      <c r="X137" s="33">
        <f t="shared" si="211"/>
        <v>0</v>
      </c>
      <c r="Y137" s="33">
        <f t="shared" si="212"/>
        <v>0</v>
      </c>
      <c r="Z137" s="33">
        <f t="shared" si="213"/>
        <v>0</v>
      </c>
      <c r="AA137" s="33">
        <f t="shared" si="214"/>
        <v>0</v>
      </c>
      <c r="AB137" s="246"/>
      <c r="AC137" s="247"/>
      <c r="AZ137" s="148" t="str">
        <f t="shared" si="206"/>
        <v>5.15</v>
      </c>
      <c r="BA137" s="149" t="s">
        <v>101</v>
      </c>
    </row>
    <row r="138" spans="1:53" ht="25" outlineLevel="1">
      <c r="A138" s="148" t="str">
        <f t="shared" si="204"/>
        <v>5.16</v>
      </c>
      <c r="B138" s="148" t="str">
        <f>INDEX('Standard cost - Testing'!$A$1:$N$497,MATCH(RIGHT($C138,4),'Standard cost - Testing'!$A$1:$A$497,0),3)</f>
        <v>Common</v>
      </c>
      <c r="C138" s="149" t="str">
        <f>'Standard cost - Testing'!B17&amp;" - "&amp;'Standard cost - Testing'!A17</f>
        <v>Acoustic - A016</v>
      </c>
      <c r="D138" s="150" t="str">
        <f>IF(RIGHT(INDEX('Standard cost - Testing'!$A$1:$N$497,MATCH(RIGHT($C138,4),'Standard cost - Testing'!$A$1:$A$497,0),4),1)="]",INDEX('Standard cost - Testing'!$A$1:$N$497,MATCH(RIGHT($C138,4),'Standard cost - Testing'!$A$1:$A$497,0),4),IF(INDEX('Standard cost - Testing'!$A$1:$N$497,MATCH(RIGHT($C138,4),'Standard cost - Testing'!$A$1:$A$497,0),10)=1,INDEX('Standard cost - Testing'!$A$1:$N$497,MATCH(RIGHT($C138,4),'Standard cost - Testing'!$A$1:$A$497,0),4)&amp;" [1 part]",INDEX('Standard cost - Testing'!$A$1:$N$497,MATCH(RIGHT($C138,4),'Standard cost - Testing'!$A$1:$A$497,0),4)&amp;" ["&amp;INDEX('Standard cost - Testing'!$A$1:$N$497,MATCH(RIGHT($C138,4),'Standard cost - Testing'!$A$1:$A$497,0),10)&amp;" parts]"))</f>
        <v>Vehicle vibration measurement on track [1 part]</v>
      </c>
      <c r="E138" s="51" t="str">
        <f>IF('Project information'!$A$4="","",'Project information'!$A$4)</f>
        <v>China</v>
      </c>
      <c r="F138" s="149" t="str">
        <f>INDEX('Standard cost - Testing'!$A$1:$N$497,MATCH(RIGHT($C138,4),'Standard cost - Testing'!$A$1:$A$497,0),5)</f>
        <v>Faurecia</v>
      </c>
      <c r="G138" s="149">
        <f>IF($E138='Standard cost - Testing'!$F$1,INDEX('Standard cost - Testing'!$A$1:$N$497,MATCH(RIGHT($C138,4),'Standard cost - Testing'!$A$1:$A$497,0),6),INDEX('Standard cost - Testing'!$A$1:$N$497,MATCH(RIGHT($C138,4),'Standard cost - Testing'!$A$1:$A$497,0),7))</f>
        <v>0</v>
      </c>
      <c r="H138" s="46"/>
      <c r="I138" s="46"/>
      <c r="J138" s="46"/>
      <c r="K138" s="46"/>
      <c r="L138" s="46"/>
      <c r="M138" s="33">
        <f t="shared" si="207"/>
        <v>0</v>
      </c>
      <c r="N138" s="157">
        <f>IF(E138="","",IF(ISERROR(INDEX('Standard cost - Testing'!$A$1:$N$497,MATCH(RIGHT($C138,4),'Standard cost - Testing'!$A$1:$A$497,0),MATCH($E138,'Standard cost - Testing'!$K$1:$N$1,0)+10)),"NA",INDEX('Standard cost - Testing'!$A$1:$N$497,MATCH(RIGHT($C138,4),'Standard cost - Testing'!$A$1:$A$497,0),MATCH($E138,'Standard cost - Testing'!$K$1:$N$1,0)+10)))</f>
        <v>24113</v>
      </c>
      <c r="O138" s="45">
        <f>IF(OR(ISERROR($N138),$N138="",$N138="NA"),0,H138*$N138)*(1+INDEX('For Finance Control'!$B$27:$E$29,2,MATCH('Project information'!$A$4,'For Finance Control'!$B$27:$E$27,0)))</f>
        <v>0</v>
      </c>
      <c r="P138" s="45">
        <f>IF(OR(ISERROR($N138),$N138="",$N138="NA"),0,I138*$N138)*(1+INDEX('For Finance Control'!$B$27:$E$29,2,MATCH('Project information'!$A$4,'For Finance Control'!$B$27:$E$27,0)))</f>
        <v>0</v>
      </c>
      <c r="Q138" s="45">
        <f>IF(OR(ISERROR($N138),$N138="",$N138="NA"),0,J138*$N138)*(1+INDEX('For Finance Control'!$B$27:$E$29,2,MATCH('Project information'!$A$4,'For Finance Control'!$B$27:$E$27,0)))</f>
        <v>0</v>
      </c>
      <c r="R138" s="45">
        <f>IF(OR(ISERROR($N138),$N138="",$N138="NA"),0,K138*$N138)*(1+INDEX('For Finance Control'!$B$27:$E$29,2,MATCH('Project information'!$A$4,'For Finance Control'!$B$27:$E$27,0)))</f>
        <v>0</v>
      </c>
      <c r="S138" s="45">
        <f>IF(OR(ISERROR($N138),$N138="",$N138="NA"),0,L138*$N138)*(1+INDEX('For Finance Control'!$B$27:$E$29,2,MATCH('Project information'!$A$4,'For Finance Control'!$B$27:$E$27,0)))</f>
        <v>0</v>
      </c>
      <c r="T138" s="45">
        <f t="shared" si="208"/>
        <v>0</v>
      </c>
      <c r="U138" s="33" cm="1">
        <f t="array" ref="U138">IF($N138="NA","NA",$N138*INDEX('Exchange rate'!$A$1:$G$7,MATCH('Project information'!$A$13,'Exchange rate'!$A$1:$A$7,0),MATCH(LOOKUP(2,1/({"China";"Korea";"India";"Japan";"EUR";"NAO"}=$E138),{"CNY";"KRW";"INR";"JPY";"EUR";"USD"}),'Exchange rate'!$A$1:$G$1,0)))</f>
        <v>24113</v>
      </c>
      <c r="V138" s="33">
        <f t="shared" si="209"/>
        <v>0</v>
      </c>
      <c r="W138" s="33">
        <f t="shared" si="210"/>
        <v>0</v>
      </c>
      <c r="X138" s="33">
        <f t="shared" si="211"/>
        <v>0</v>
      </c>
      <c r="Y138" s="33">
        <f t="shared" si="212"/>
        <v>0</v>
      </c>
      <c r="Z138" s="33">
        <f t="shared" si="213"/>
        <v>0</v>
      </c>
      <c r="AA138" s="33">
        <f t="shared" si="214"/>
        <v>0</v>
      </c>
      <c r="AB138" s="246"/>
      <c r="AC138" s="247"/>
      <c r="AZ138" s="148" t="str">
        <f t="shared" si="206"/>
        <v>5.16</v>
      </c>
      <c r="BA138" s="149" t="s">
        <v>101</v>
      </c>
    </row>
    <row r="139" spans="1:53" ht="25" outlineLevel="1">
      <c r="A139" s="148" t="str">
        <f t="shared" si="204"/>
        <v>5.17</v>
      </c>
      <c r="B139" s="148" t="str">
        <f>INDEX('Standard cost - Testing'!$A$1:$N$497,MATCH(RIGHT($C139,4),'Standard cost - Testing'!$A$1:$A$497,0),3)</f>
        <v>LVE</v>
      </c>
      <c r="C139" s="149" t="str">
        <f>'Standard cost - Testing'!B18&amp;" - "&amp;'Standard cost - Testing'!A18</f>
        <v>Acoustic - A017</v>
      </c>
      <c r="D139" s="150" t="str">
        <f>IF(RIGHT(INDEX('Standard cost - Testing'!$A$1:$N$497,MATCH(RIGHT($C139,4),'Standard cost - Testing'!$A$1:$A$497,0),4),1)="]",INDEX('Standard cost - Testing'!$A$1:$N$497,MATCH(RIGHT($C139,4),'Standard cost - Testing'!$A$1:$A$497,0),4),IF(INDEX('Standard cost - Testing'!$A$1:$N$497,MATCH(RIGHT($C139,4),'Standard cost - Testing'!$A$1:$A$497,0),10)=1,INDEX('Standard cost - Testing'!$A$1:$N$497,MATCH(RIGHT($C139,4),'Standard cost - Testing'!$A$1:$A$497,0),4)&amp;" [1 part]",INDEX('Standard cost - Testing'!$A$1:$N$497,MATCH(RIGHT($C139,4),'Standard cost - Testing'!$A$1:$A$497,0),4)&amp;" ["&amp;INDEX('Standard cost - Testing'!$A$1:$N$497,MATCH(RIGHT($C139,4),'Standard cost - Testing'!$A$1:$A$497,0),10)&amp;" parts]"))</f>
        <v>Cool down noise measurement [6 parts]</v>
      </c>
      <c r="E139" s="51" t="str">
        <f>IF('Project information'!$A$4="","",'Project information'!$A$4)</f>
        <v>China</v>
      </c>
      <c r="F139" s="149" t="str">
        <f>INDEX('Standard cost - Testing'!$A$1:$N$497,MATCH(RIGHT($C139,4),'Standard cost - Testing'!$A$1:$A$497,0),5)</f>
        <v>GM</v>
      </c>
      <c r="G139" s="149" t="str">
        <f>IF($E139='Standard cost - Testing'!$F$1,INDEX('Standard cost - Testing'!$A$1:$N$497,MATCH(RIGHT($C139,4),'Standard cost - Testing'!$A$1:$A$497,0),6),INDEX('Standard cost - Testing'!$A$1:$N$497,MATCH(RIGHT($C139,4),'Standard cost - Testing'!$A$1:$A$497,0),7))</f>
        <v>GMW15880</v>
      </c>
      <c r="H139" s="46"/>
      <c r="I139" s="46"/>
      <c r="J139" s="46"/>
      <c r="K139" s="46"/>
      <c r="L139" s="46"/>
      <c r="M139" s="33">
        <f t="shared" si="207"/>
        <v>0</v>
      </c>
      <c r="N139" s="157">
        <f>IF(E139="","",IF(ISERROR(INDEX('Standard cost - Testing'!$A$1:$N$497,MATCH(RIGHT($C139,4),'Standard cost - Testing'!$A$1:$A$497,0),MATCH($E139,'Standard cost - Testing'!$K$1:$N$1,0)+10)),"NA",INDEX('Standard cost - Testing'!$A$1:$N$497,MATCH(RIGHT($C139,4),'Standard cost - Testing'!$A$1:$A$497,0),MATCH($E139,'Standard cost - Testing'!$K$1:$N$1,0)+10)))</f>
        <v>38590</v>
      </c>
      <c r="O139" s="45">
        <f>IF(OR(ISERROR($N139),$N139="",$N139="NA"),0,H139*$N139)*(1+INDEX('For Finance Control'!$B$27:$E$29,2,MATCH('Project information'!$A$4,'For Finance Control'!$B$27:$E$27,0)))</f>
        <v>0</v>
      </c>
      <c r="P139" s="45">
        <f>IF(OR(ISERROR($N139),$N139="",$N139="NA"),0,I139*$N139)*(1+INDEX('For Finance Control'!$B$27:$E$29,2,MATCH('Project information'!$A$4,'For Finance Control'!$B$27:$E$27,0)))</f>
        <v>0</v>
      </c>
      <c r="Q139" s="45">
        <f>IF(OR(ISERROR($N139),$N139="",$N139="NA"),0,J139*$N139)*(1+INDEX('For Finance Control'!$B$27:$E$29,2,MATCH('Project information'!$A$4,'For Finance Control'!$B$27:$E$27,0)))</f>
        <v>0</v>
      </c>
      <c r="R139" s="45">
        <f>IF(OR(ISERROR($N139),$N139="",$N139="NA"),0,K139*$N139)*(1+INDEX('For Finance Control'!$B$27:$E$29,2,MATCH('Project information'!$A$4,'For Finance Control'!$B$27:$E$27,0)))</f>
        <v>0</v>
      </c>
      <c r="S139" s="45">
        <f>IF(OR(ISERROR($N139),$N139="",$N139="NA"),0,L139*$N139)*(1+INDEX('For Finance Control'!$B$27:$E$29,2,MATCH('Project information'!$A$4,'For Finance Control'!$B$27:$E$27,0)))</f>
        <v>0</v>
      </c>
      <c r="T139" s="45">
        <f t="shared" si="208"/>
        <v>0</v>
      </c>
      <c r="U139" s="33" cm="1">
        <f t="array" ref="U139">IF($N139="NA","NA",$N139*INDEX('Exchange rate'!$A$1:$G$7,MATCH('Project information'!$A$13,'Exchange rate'!$A$1:$A$7,0),MATCH(LOOKUP(2,1/({"China";"Korea";"India";"Japan";"EUR";"NAO"}=$E139),{"CNY";"KRW";"INR";"JPY";"EUR";"USD"}),'Exchange rate'!$A$1:$G$1,0)))</f>
        <v>38590</v>
      </c>
      <c r="V139" s="33">
        <f t="shared" si="209"/>
        <v>0</v>
      </c>
      <c r="W139" s="33">
        <f t="shared" si="210"/>
        <v>0</v>
      </c>
      <c r="X139" s="33">
        <f t="shared" si="211"/>
        <v>0</v>
      </c>
      <c r="Y139" s="33">
        <f t="shared" si="212"/>
        <v>0</v>
      </c>
      <c r="Z139" s="33">
        <f t="shared" si="213"/>
        <v>0</v>
      </c>
      <c r="AA139" s="33">
        <f t="shared" si="214"/>
        <v>0</v>
      </c>
      <c r="AB139" s="246"/>
      <c r="AC139" s="247"/>
      <c r="AZ139" s="148" t="str">
        <f t="shared" si="206"/>
        <v>5.17</v>
      </c>
      <c r="BA139" s="149" t="s">
        <v>310</v>
      </c>
    </row>
    <row r="140" spans="1:53" ht="25" outlineLevel="1">
      <c r="A140" s="148" t="str">
        <f t="shared" si="204"/>
        <v>5.18</v>
      </c>
      <c r="B140" s="148" t="str">
        <f>INDEX('Standard cost - Testing'!$A$1:$N$497,MATCH(RIGHT($C140,4),'Standard cost - Testing'!$A$1:$A$497,0),3)</f>
        <v>LVE</v>
      </c>
      <c r="C140" s="149" t="str">
        <f>'Standard cost - Testing'!B19&amp;" - "&amp;'Standard cost - Testing'!A19</f>
        <v>Acoustic - A018</v>
      </c>
      <c r="D140" s="150" t="str">
        <f>IF(RIGHT(INDEX('Standard cost - Testing'!$A$1:$N$497,MATCH(RIGHT($C140,4),'Standard cost - Testing'!$A$1:$A$497,0),4),1)="]",INDEX('Standard cost - Testing'!$A$1:$N$497,MATCH(RIGHT($C140,4),'Standard cost - Testing'!$A$1:$A$497,0),4),IF(INDEX('Standard cost - Testing'!$A$1:$N$497,MATCH(RIGHT($C140,4),'Standard cost - Testing'!$A$1:$A$497,0),10)=1,INDEX('Standard cost - Testing'!$A$1:$N$497,MATCH(RIGHT($C140,4),'Standard cost - Testing'!$A$1:$A$497,0),4)&amp;" [1 part]",INDEX('Standard cost - Testing'!$A$1:$N$497,MATCH(RIGHT($C140,4),'Standard cost - Testing'!$A$1:$A$497,0),4)&amp;" ["&amp;INDEX('Standard cost - Testing'!$A$1:$N$497,MATCH(RIGHT($C140,4),'Standard cost - Testing'!$A$1:$A$497,0),10)&amp;" parts]"))</f>
        <v>Acoustic measurement (TPN, BP, Idle) [1 part]</v>
      </c>
      <c r="E140" s="51" t="str">
        <f>IF('Project information'!$A$4="","",'Project information'!$A$4)</f>
        <v>China</v>
      </c>
      <c r="F140" s="149" t="str">
        <f>INDEX('Standard cost - Testing'!$A$1:$N$497,MATCH(RIGHT($C140,4),'Standard cost - Testing'!$A$1:$A$497,0),5)</f>
        <v>Ford</v>
      </c>
      <c r="G140" s="149" t="str">
        <f>IF($E140='Standard cost - Testing'!$F$1,INDEX('Standard cost - Testing'!$A$1:$N$497,MATCH(RIGHT($C140,4),'Standard cost - Testing'!$A$1:$A$497,0),6),INDEX('Standard cost - Testing'!$A$1:$N$497,MATCH(RIGHT($C140,4),'Standard cost - Testing'!$A$1:$A$497,0),7))</f>
        <v>CETP_09.01-L-900</v>
      </c>
      <c r="H140" s="46"/>
      <c r="I140" s="46"/>
      <c r="J140" s="46"/>
      <c r="K140" s="46"/>
      <c r="L140" s="46"/>
      <c r="M140" s="33">
        <f t="shared" si="207"/>
        <v>0</v>
      </c>
      <c r="N140" s="157">
        <f>IF(E140="","",IF(ISERROR(INDEX('Standard cost - Testing'!$A$1:$N$497,MATCH(RIGHT($C140,4),'Standard cost - Testing'!$A$1:$A$497,0),MATCH($E140,'Standard cost - Testing'!$K$1:$N$1,0)+10)),"NA",INDEX('Standard cost - Testing'!$A$1:$N$497,MATCH(RIGHT($C140,4),'Standard cost - Testing'!$A$1:$A$497,0),MATCH($E140,'Standard cost - Testing'!$K$1:$N$1,0)+10)))</f>
        <v>8885</v>
      </c>
      <c r="O140" s="45">
        <f>IF(OR(ISERROR($N140),$N140="",$N140="NA"),0,H140*$N140)*(1+INDEX('For Finance Control'!$B$27:$E$29,2,MATCH('Project information'!$A$4,'For Finance Control'!$B$27:$E$27,0)))</f>
        <v>0</v>
      </c>
      <c r="P140" s="45">
        <f>IF(OR(ISERROR($N140),$N140="",$N140="NA"),0,I140*$N140)*(1+INDEX('For Finance Control'!$B$27:$E$29,2,MATCH('Project information'!$A$4,'For Finance Control'!$B$27:$E$27,0)))</f>
        <v>0</v>
      </c>
      <c r="Q140" s="45">
        <f>IF(OR(ISERROR($N140),$N140="",$N140="NA"),0,J140*$N140)*(1+INDEX('For Finance Control'!$B$27:$E$29,2,MATCH('Project information'!$A$4,'For Finance Control'!$B$27:$E$27,0)))</f>
        <v>0</v>
      </c>
      <c r="R140" s="45">
        <f>IF(OR(ISERROR($N140),$N140="",$N140="NA"),0,K140*$N140)*(1+INDEX('For Finance Control'!$B$27:$E$29,2,MATCH('Project information'!$A$4,'For Finance Control'!$B$27:$E$27,0)))</f>
        <v>0</v>
      </c>
      <c r="S140" s="45">
        <f>IF(OR(ISERROR($N140),$N140="",$N140="NA"),0,L140*$N140)*(1+INDEX('For Finance Control'!$B$27:$E$29,2,MATCH('Project information'!$A$4,'For Finance Control'!$B$27:$E$27,0)))</f>
        <v>0</v>
      </c>
      <c r="T140" s="45">
        <f t="shared" si="208"/>
        <v>0</v>
      </c>
      <c r="U140" s="33" cm="1">
        <f t="array" ref="U140">IF($N140="NA","NA",$N140*INDEX('Exchange rate'!$A$1:$G$7,MATCH('Project information'!$A$13,'Exchange rate'!$A$1:$A$7,0),MATCH(LOOKUP(2,1/({"China";"Korea";"India";"Japan";"EUR";"NAO"}=$E140),{"CNY";"KRW";"INR";"JPY";"EUR";"USD"}),'Exchange rate'!$A$1:$G$1,0)))</f>
        <v>8885</v>
      </c>
      <c r="V140" s="33">
        <f t="shared" si="209"/>
        <v>0</v>
      </c>
      <c r="W140" s="33">
        <f t="shared" si="210"/>
        <v>0</v>
      </c>
      <c r="X140" s="33">
        <f t="shared" si="211"/>
        <v>0</v>
      </c>
      <c r="Y140" s="33">
        <f t="shared" si="212"/>
        <v>0</v>
      </c>
      <c r="Z140" s="33">
        <f t="shared" si="213"/>
        <v>0</v>
      </c>
      <c r="AA140" s="33">
        <f t="shared" si="214"/>
        <v>0</v>
      </c>
      <c r="AB140" s="246"/>
      <c r="AC140" s="247"/>
      <c r="AZ140" s="148" t="str">
        <f t="shared" si="206"/>
        <v>5.18</v>
      </c>
      <c r="BA140" s="149" t="s">
        <v>311</v>
      </c>
    </row>
    <row r="141" spans="1:53" ht="25" outlineLevel="1">
      <c r="A141" s="148" t="str">
        <f t="shared" si="204"/>
        <v>5.19</v>
      </c>
      <c r="B141" s="148" t="str">
        <f>INDEX('Standard cost - Testing'!$A$1:$N$497,MATCH(RIGHT($C141,4),'Standard cost - Testing'!$A$1:$A$497,0),3)</f>
        <v>LVE</v>
      </c>
      <c r="C141" s="149" t="str">
        <f>'Standard cost - Testing'!B20&amp;" - "&amp;'Standard cost - Testing'!A20</f>
        <v>Acoustic - A019</v>
      </c>
      <c r="D141" s="150" t="str">
        <f>IF(RIGHT(INDEX('Standard cost - Testing'!$A$1:$N$497,MATCH(RIGHT($C141,4),'Standard cost - Testing'!$A$1:$A$497,0),4),1)="]",INDEX('Standard cost - Testing'!$A$1:$N$497,MATCH(RIGHT($C141,4),'Standard cost - Testing'!$A$1:$A$497,0),4),IF(INDEX('Standard cost - Testing'!$A$1:$N$497,MATCH(RIGHT($C141,4),'Standard cost - Testing'!$A$1:$A$497,0),10)=1,INDEX('Standard cost - Testing'!$A$1:$N$497,MATCH(RIGHT($C141,4),'Standard cost - Testing'!$A$1:$A$497,0),4)&amp;" [1 part]",INDEX('Standard cost - Testing'!$A$1:$N$497,MATCH(RIGHT($C141,4),'Standard cost - Testing'!$A$1:$A$497,0),4)&amp;" ["&amp;INDEX('Standard cost - Testing'!$A$1:$N$497,MATCH(RIGHT($C141,4),'Standard cost - Testing'!$A$1:$A$497,0),10)&amp;" parts]"))</f>
        <v>Tail pipe Noise Measurement Test [1 part]</v>
      </c>
      <c r="E141" s="51" t="str">
        <f>IF('Project information'!$A$4="","",'Project information'!$A$4)</f>
        <v>China</v>
      </c>
      <c r="F141" s="149" t="str">
        <f>INDEX('Standard cost - Testing'!$A$1:$N$497,MATCH(RIGHT($C141,4),'Standard cost - Testing'!$A$1:$A$497,0),5)</f>
        <v>Ford</v>
      </c>
      <c r="G141" s="149" t="str">
        <f>IF($E141='Standard cost - Testing'!$F$1,INDEX('Standard cost - Testing'!$A$1:$N$497,MATCH(RIGHT($C141,4),'Standard cost - Testing'!$A$1:$A$497,0),6),INDEX('Standard cost - Testing'!$A$1:$N$497,MATCH(RIGHT($C141,4),'Standard cost - Testing'!$A$1:$A$497,0),7))</f>
        <v>CETP_09.01-L-900</v>
      </c>
      <c r="H141" s="46"/>
      <c r="I141" s="46"/>
      <c r="J141" s="46"/>
      <c r="K141" s="46"/>
      <c r="L141" s="46"/>
      <c r="M141" s="33">
        <f t="shared" si="196"/>
        <v>0</v>
      </c>
      <c r="N141" s="157">
        <f>IF(E141="","",IF(ISERROR(INDEX('Standard cost - Testing'!$A$1:$N$497,MATCH(RIGHT($C141,4),'Standard cost - Testing'!$A$1:$A$497,0),MATCH($E141,'Standard cost - Testing'!$K$1:$N$1,0)+10)),"NA",INDEX('Standard cost - Testing'!$A$1:$N$497,MATCH(RIGHT($C141,4),'Standard cost - Testing'!$A$1:$A$497,0),MATCH($E141,'Standard cost - Testing'!$K$1:$N$1,0)+10)))</f>
        <v>5945</v>
      </c>
      <c r="O141" s="45">
        <f>IF(OR(ISERROR($N141),$N141="",$N141="NA"),0,H141*$N141)*(1+INDEX('For Finance Control'!$B$27:$E$29,2,MATCH('Project information'!$A$4,'For Finance Control'!$B$27:$E$27,0)))</f>
        <v>0</v>
      </c>
      <c r="P141" s="45">
        <f>IF(OR(ISERROR($N141),$N141="",$N141="NA"),0,I141*$N141)*(1+INDEX('For Finance Control'!$B$27:$E$29,2,MATCH('Project information'!$A$4,'For Finance Control'!$B$27:$E$27,0)))</f>
        <v>0</v>
      </c>
      <c r="Q141" s="45">
        <f>IF(OR(ISERROR($N141),$N141="",$N141="NA"),0,J141*$N141)*(1+INDEX('For Finance Control'!$B$27:$E$29,2,MATCH('Project information'!$A$4,'For Finance Control'!$B$27:$E$27,0)))</f>
        <v>0</v>
      </c>
      <c r="R141" s="45">
        <f>IF(OR(ISERROR($N141),$N141="",$N141="NA"),0,K141*$N141)*(1+INDEX('For Finance Control'!$B$27:$E$29,2,MATCH('Project information'!$A$4,'For Finance Control'!$B$27:$E$27,0)))</f>
        <v>0</v>
      </c>
      <c r="S141" s="45">
        <f>IF(OR(ISERROR($N141),$N141="",$N141="NA"),0,L141*$N141)*(1+INDEX('For Finance Control'!$B$27:$E$29,2,MATCH('Project information'!$A$4,'For Finance Control'!$B$27:$E$27,0)))</f>
        <v>0</v>
      </c>
      <c r="T141" s="45">
        <f t="shared" si="197"/>
        <v>0</v>
      </c>
      <c r="U141" s="33" cm="1">
        <f t="array" ref="U141">IF($N141="NA","NA",$N141*INDEX('Exchange rate'!$A$1:$G$7,MATCH('Project information'!$A$13,'Exchange rate'!$A$1:$A$7,0),MATCH(LOOKUP(2,1/({"China";"Korea";"India";"Japan";"EUR";"NAO"}=$E141),{"CNY";"KRW";"INR";"JPY";"EUR";"USD"}),'Exchange rate'!$A$1:$G$1,0)))</f>
        <v>5945</v>
      </c>
      <c r="V141" s="33">
        <f t="shared" si="198"/>
        <v>0</v>
      </c>
      <c r="W141" s="33">
        <f t="shared" si="199"/>
        <v>0</v>
      </c>
      <c r="X141" s="33">
        <f t="shared" si="200"/>
        <v>0</v>
      </c>
      <c r="Y141" s="33">
        <f t="shared" si="201"/>
        <v>0</v>
      </c>
      <c r="Z141" s="33">
        <f t="shared" si="202"/>
        <v>0</v>
      </c>
      <c r="AA141" s="33">
        <f t="shared" si="205"/>
        <v>0</v>
      </c>
      <c r="AB141" s="246"/>
      <c r="AC141" s="247"/>
      <c r="AZ141" s="148" t="str">
        <f t="shared" si="206"/>
        <v>5.19</v>
      </c>
      <c r="BA141" s="149" t="s">
        <v>311</v>
      </c>
    </row>
    <row r="142" spans="1:53" outlineLevel="1">
      <c r="A142" s="148" t="str">
        <f t="shared" si="204"/>
        <v>5.20</v>
      </c>
      <c r="B142" s="148" t="str">
        <f>INDEX('Standard cost - Testing'!$A$1:$N$497,MATCH(RIGHT($C142,4),'Standard cost - Testing'!$A$1:$A$497,0),3)</f>
        <v>LVE</v>
      </c>
      <c r="C142" s="149" t="str">
        <f>'Standard cost - Testing'!B21&amp;" - "&amp;'Standard cost - Testing'!A21</f>
        <v>Acoustic - A020</v>
      </c>
      <c r="D142" s="150" t="str">
        <f>IF(RIGHT(INDEX('Standard cost - Testing'!$A$1:$N$497,MATCH(RIGHT($C142,4),'Standard cost - Testing'!$A$1:$A$497,0),4),1)="]",INDEX('Standard cost - Testing'!$A$1:$N$497,MATCH(RIGHT($C142,4),'Standard cost - Testing'!$A$1:$A$497,0),4),IF(INDEX('Standard cost - Testing'!$A$1:$N$497,MATCH(RIGHT($C142,4),'Standard cost - Testing'!$A$1:$A$497,0),10)=1,INDEX('Standard cost - Testing'!$A$1:$N$497,MATCH(RIGHT($C142,4),'Standard cost - Testing'!$A$1:$A$497,0),4)&amp;" [1 part]",INDEX('Standard cost - Testing'!$A$1:$N$497,MATCH(RIGHT($C142,4),'Standard cost - Testing'!$A$1:$A$497,0),4)&amp;" ["&amp;INDEX('Standard cost - Testing'!$A$1:$N$497,MATCH(RIGHT($C142,4),'Standard cost - Testing'!$A$1:$A$497,0),10)&amp;" parts]"))</f>
        <v>Back pressure measurement [1 part]</v>
      </c>
      <c r="E142" s="51" t="str">
        <f>IF('Project information'!$A$4="","",'Project information'!$A$4)</f>
        <v>China</v>
      </c>
      <c r="F142" s="149" t="str">
        <f>INDEX('Standard cost - Testing'!$A$1:$N$497,MATCH(RIGHT($C142,4),'Standard cost - Testing'!$A$1:$A$497,0),5)</f>
        <v>HMC</v>
      </c>
      <c r="G142" s="149" t="str">
        <f>IF($E142='Standard cost - Testing'!$F$1,INDEX('Standard cost - Testing'!$A$1:$N$497,MATCH(RIGHT($C142,4),'Standard cost - Testing'!$A$1:$A$497,0),6),INDEX('Standard cost - Testing'!$A$1:$N$497,MATCH(RIGHT($C142,4),'Standard cost - Testing'!$A$1:$A$497,0),7))</f>
        <v>ES28600-09 6.1</v>
      </c>
      <c r="H142" s="46"/>
      <c r="I142" s="46"/>
      <c r="J142" s="46"/>
      <c r="K142" s="46"/>
      <c r="L142" s="46"/>
      <c r="M142" s="33">
        <f t="shared" si="196"/>
        <v>0</v>
      </c>
      <c r="N142" s="157">
        <f>IF(E142="","",IF(ISERROR(INDEX('Standard cost - Testing'!$A$1:$N$497,MATCH(RIGHT($C142,4),'Standard cost - Testing'!$A$1:$A$497,0),MATCH($E142,'Standard cost - Testing'!$K$1:$N$1,0)+10)),"NA",INDEX('Standard cost - Testing'!$A$1:$N$497,MATCH(RIGHT($C142,4),'Standard cost - Testing'!$A$1:$A$497,0),MATCH($E142,'Standard cost - Testing'!$K$1:$N$1,0)+10)))</f>
        <v>12457.5</v>
      </c>
      <c r="O142" s="45">
        <f>IF(OR(ISERROR($N142),$N142="",$N142="NA"),0,H142*$N142)*(1+INDEX('For Finance Control'!$B$27:$E$29,2,MATCH('Project information'!$A$4,'For Finance Control'!$B$27:$E$27,0)))</f>
        <v>0</v>
      </c>
      <c r="P142" s="45">
        <f>IF(OR(ISERROR($N142),$N142="",$N142="NA"),0,I142*$N142)*(1+INDEX('For Finance Control'!$B$27:$E$29,2,MATCH('Project information'!$A$4,'For Finance Control'!$B$27:$E$27,0)))</f>
        <v>0</v>
      </c>
      <c r="Q142" s="45">
        <f>IF(OR(ISERROR($N142),$N142="",$N142="NA"),0,J142*$N142)*(1+INDEX('For Finance Control'!$B$27:$E$29,2,MATCH('Project information'!$A$4,'For Finance Control'!$B$27:$E$27,0)))</f>
        <v>0</v>
      </c>
      <c r="R142" s="45">
        <f>IF(OR(ISERROR($N142),$N142="",$N142="NA"),0,K142*$N142)*(1+INDEX('For Finance Control'!$B$27:$E$29,2,MATCH('Project information'!$A$4,'For Finance Control'!$B$27:$E$27,0)))</f>
        <v>0</v>
      </c>
      <c r="S142" s="45">
        <f>IF(OR(ISERROR($N142),$N142="",$N142="NA"),0,L142*$N142)*(1+INDEX('For Finance Control'!$B$27:$E$29,2,MATCH('Project information'!$A$4,'For Finance Control'!$B$27:$E$27,0)))</f>
        <v>0</v>
      </c>
      <c r="T142" s="45">
        <f t="shared" si="197"/>
        <v>0</v>
      </c>
      <c r="U142" s="33" cm="1">
        <f t="array" ref="U142">IF($N142="NA","NA",$N142*INDEX('Exchange rate'!$A$1:$G$7,MATCH('Project information'!$A$13,'Exchange rate'!$A$1:$A$7,0),MATCH(LOOKUP(2,1/({"China";"Korea";"India";"Japan";"EUR";"NAO"}=$E142),{"CNY";"KRW";"INR";"JPY";"EUR";"USD"}),'Exchange rate'!$A$1:$G$1,0)))</f>
        <v>12457.5</v>
      </c>
      <c r="V142" s="33">
        <f t="shared" si="198"/>
        <v>0</v>
      </c>
      <c r="W142" s="33">
        <f t="shared" si="199"/>
        <v>0</v>
      </c>
      <c r="X142" s="33">
        <f t="shared" si="200"/>
        <v>0</v>
      </c>
      <c r="Y142" s="33">
        <f t="shared" si="201"/>
        <v>0</v>
      </c>
      <c r="Z142" s="33">
        <f t="shared" si="202"/>
        <v>0</v>
      </c>
      <c r="AA142" s="33">
        <f t="shared" si="205"/>
        <v>0</v>
      </c>
      <c r="AB142" s="246"/>
      <c r="AC142" s="247"/>
      <c r="AZ142" s="148" t="str">
        <f t="shared" si="206"/>
        <v>5.20</v>
      </c>
      <c r="BA142" s="149" t="s">
        <v>312</v>
      </c>
    </row>
    <row r="143" spans="1:53" outlineLevel="1">
      <c r="A143" s="148" t="str">
        <f t="shared" si="204"/>
        <v>5.21</v>
      </c>
      <c r="B143" s="148" t="str">
        <f>INDEX('Standard cost - Testing'!$A$1:$N$497,MATCH(RIGHT($C143,4),'Standard cost - Testing'!$A$1:$A$497,0),3)</f>
        <v>LVE</v>
      </c>
      <c r="C143" s="149" t="str">
        <f>'Standard cost - Testing'!B22&amp;" - "&amp;'Standard cost - Testing'!A22</f>
        <v>Acoustic - A021</v>
      </c>
      <c r="D143" s="150" t="str">
        <f>IF(RIGHT(INDEX('Standard cost - Testing'!$A$1:$N$497,MATCH(RIGHT($C143,4),'Standard cost - Testing'!$A$1:$A$497,0),4),1)="]",INDEX('Standard cost - Testing'!$A$1:$N$497,MATCH(RIGHT($C143,4),'Standard cost - Testing'!$A$1:$A$497,0),4),IF(INDEX('Standard cost - Testing'!$A$1:$N$497,MATCH(RIGHT($C143,4),'Standard cost - Testing'!$A$1:$A$497,0),10)=1,INDEX('Standard cost - Testing'!$A$1:$N$497,MATCH(RIGHT($C143,4),'Standard cost - Testing'!$A$1:$A$497,0),4)&amp;" [1 part]",INDEX('Standard cost - Testing'!$A$1:$N$497,MATCH(RIGHT($C143,4),'Standard cost - Testing'!$A$1:$A$497,0),4)&amp;" ["&amp;INDEX('Standard cost - Testing'!$A$1:$N$497,MATCH(RIGHT($C143,4),'Standard cost - Testing'!$A$1:$A$497,0),10)&amp;" parts]"))</f>
        <v>Drainage ability test [1 part]</v>
      </c>
      <c r="E143" s="51" t="str">
        <f>IF('Project information'!$A$4="","",'Project information'!$A$4)</f>
        <v>China</v>
      </c>
      <c r="F143" s="149" t="str">
        <f>INDEX('Standard cost - Testing'!$A$1:$N$497,MATCH(RIGHT($C143,4),'Standard cost - Testing'!$A$1:$A$497,0),5)</f>
        <v>HMC</v>
      </c>
      <c r="G143" s="149" t="str">
        <f>IF($E143='Standard cost - Testing'!$F$1,INDEX('Standard cost - Testing'!$A$1:$N$497,MATCH(RIGHT($C143,4),'Standard cost - Testing'!$A$1:$A$497,0),6),INDEX('Standard cost - Testing'!$A$1:$N$497,MATCH(RIGHT($C143,4),'Standard cost - Testing'!$A$1:$A$497,0),7))</f>
        <v>ES28600-09 6.2</v>
      </c>
      <c r="H143" s="46"/>
      <c r="I143" s="46"/>
      <c r="J143" s="46"/>
      <c r="K143" s="46"/>
      <c r="L143" s="46"/>
      <c r="M143" s="33">
        <f t="shared" si="196"/>
        <v>0</v>
      </c>
      <c r="N143" s="157">
        <f>IF(E143="","",IF(ISERROR(INDEX('Standard cost - Testing'!$A$1:$N$497,MATCH(RIGHT($C143,4),'Standard cost - Testing'!$A$1:$A$497,0),MATCH($E143,'Standard cost - Testing'!$K$1:$N$1,0)+10)),"NA",INDEX('Standard cost - Testing'!$A$1:$N$497,MATCH(RIGHT($C143,4),'Standard cost - Testing'!$A$1:$A$497,0),MATCH($E143,'Standard cost - Testing'!$K$1:$N$1,0)+10)))</f>
        <v>10560</v>
      </c>
      <c r="O143" s="45">
        <f>IF(OR(ISERROR($N143),$N143="",$N143="NA"),0,H143*$N143)*(1+INDEX('For Finance Control'!$B$27:$E$29,2,MATCH('Project information'!$A$4,'For Finance Control'!$B$27:$E$27,0)))</f>
        <v>0</v>
      </c>
      <c r="P143" s="45">
        <f>IF(OR(ISERROR($N143),$N143="",$N143="NA"),0,I143*$N143)*(1+INDEX('For Finance Control'!$B$27:$E$29,2,MATCH('Project information'!$A$4,'For Finance Control'!$B$27:$E$27,0)))</f>
        <v>0</v>
      </c>
      <c r="Q143" s="45">
        <f>IF(OR(ISERROR($N143),$N143="",$N143="NA"),0,J143*$N143)*(1+INDEX('For Finance Control'!$B$27:$E$29,2,MATCH('Project information'!$A$4,'For Finance Control'!$B$27:$E$27,0)))</f>
        <v>0</v>
      </c>
      <c r="R143" s="45">
        <f>IF(OR(ISERROR($N143),$N143="",$N143="NA"),0,K143*$N143)*(1+INDEX('For Finance Control'!$B$27:$E$29,2,MATCH('Project information'!$A$4,'For Finance Control'!$B$27:$E$27,0)))</f>
        <v>0</v>
      </c>
      <c r="S143" s="45">
        <f>IF(OR(ISERROR($N143),$N143="",$N143="NA"),0,L143*$N143)*(1+INDEX('For Finance Control'!$B$27:$E$29,2,MATCH('Project information'!$A$4,'For Finance Control'!$B$27:$E$27,0)))</f>
        <v>0</v>
      </c>
      <c r="T143" s="45">
        <f t="shared" si="197"/>
        <v>0</v>
      </c>
      <c r="U143" s="33" cm="1">
        <f t="array" ref="U143">IF($N143="NA","NA",$N143*INDEX('Exchange rate'!$A$1:$G$7,MATCH('Project information'!$A$13,'Exchange rate'!$A$1:$A$7,0),MATCH(LOOKUP(2,1/({"China";"Korea";"India";"Japan";"EUR";"NAO"}=$E143),{"CNY";"KRW";"INR";"JPY";"EUR";"USD"}),'Exchange rate'!$A$1:$G$1,0)))</f>
        <v>10560</v>
      </c>
      <c r="V143" s="33">
        <f t="shared" si="198"/>
        <v>0</v>
      </c>
      <c r="W143" s="33">
        <f t="shared" si="199"/>
        <v>0</v>
      </c>
      <c r="X143" s="33">
        <f t="shared" si="200"/>
        <v>0</v>
      </c>
      <c r="Y143" s="33">
        <f t="shared" si="201"/>
        <v>0</v>
      </c>
      <c r="Z143" s="33">
        <f t="shared" si="202"/>
        <v>0</v>
      </c>
      <c r="AA143" s="33">
        <f t="shared" si="205"/>
        <v>0</v>
      </c>
      <c r="AB143" s="246"/>
      <c r="AC143" s="247"/>
      <c r="AZ143" s="148" t="str">
        <f t="shared" si="206"/>
        <v>5.21</v>
      </c>
      <c r="BA143" s="149" t="s">
        <v>313</v>
      </c>
    </row>
    <row r="144" spans="1:53" ht="25" outlineLevel="1">
      <c r="A144" s="148" t="str">
        <f t="shared" si="204"/>
        <v>5.22</v>
      </c>
      <c r="B144" s="148" t="str">
        <f>INDEX('Standard cost - Testing'!$A$1:$N$497,MATCH(RIGHT($C144,4),'Standard cost - Testing'!$A$1:$A$497,0),3)</f>
        <v>LVE</v>
      </c>
      <c r="C144" s="149" t="str">
        <f>'Standard cost - Testing'!B23&amp;" - "&amp;'Standard cost - Testing'!A23</f>
        <v>Acoustic - A022</v>
      </c>
      <c r="D144" s="150" t="str">
        <f>IF(RIGHT(INDEX('Standard cost - Testing'!$A$1:$N$497,MATCH(RIGHT($C144,4),'Standard cost - Testing'!$A$1:$A$497,0),4),1)="]",INDEX('Standard cost - Testing'!$A$1:$N$497,MATCH(RIGHT($C144,4),'Standard cost - Testing'!$A$1:$A$497,0),4),IF(INDEX('Standard cost - Testing'!$A$1:$N$497,MATCH(RIGHT($C144,4),'Standard cost - Testing'!$A$1:$A$497,0),10)=1,INDEX('Standard cost - Testing'!$A$1:$N$497,MATCH(RIGHT($C144,4),'Standard cost - Testing'!$A$1:$A$497,0),4)&amp;" [1 part]",INDEX('Standard cost - Testing'!$A$1:$N$497,MATCH(RIGHT($C144,4),'Standard cost - Testing'!$A$1:$A$497,0),4)&amp;" ["&amp;INDEX('Standard cost - Testing'!$A$1:$N$497,MATCH(RIGHT($C144,4),'Standard cost - Testing'!$A$1:$A$497,0),10)&amp;" parts]"))</f>
        <v>Exhaust noise test By vehicle chassis-dyno bench test） [3 parts]</v>
      </c>
      <c r="E144" s="51" t="str">
        <f>IF('Project information'!$A$4="","",'Project information'!$A$4)</f>
        <v>China</v>
      </c>
      <c r="F144" s="149" t="str">
        <f>INDEX('Standard cost - Testing'!$A$1:$N$497,MATCH(RIGHT($C144,4),'Standard cost - Testing'!$A$1:$A$497,0),5)</f>
        <v>HMC</v>
      </c>
      <c r="G144" s="149" t="str">
        <f>IF($E144='Standard cost - Testing'!$F$1,INDEX('Standard cost - Testing'!$A$1:$N$497,MATCH(RIGHT($C144,4),'Standard cost - Testing'!$A$1:$A$497,0),6),INDEX('Standard cost - Testing'!$A$1:$N$497,MATCH(RIGHT($C144,4),'Standard cost - Testing'!$A$1:$A$497,0),7))</f>
        <v>ES28600-09 6.3</v>
      </c>
      <c r="H144" s="46"/>
      <c r="I144" s="46"/>
      <c r="J144" s="46"/>
      <c r="K144" s="46"/>
      <c r="L144" s="46"/>
      <c r="M144" s="33">
        <f t="shared" si="196"/>
        <v>0</v>
      </c>
      <c r="N144" s="157">
        <f>IF(E144="","",IF(ISERROR(INDEX('Standard cost - Testing'!$A$1:$N$497,MATCH(RIGHT($C144,4),'Standard cost - Testing'!$A$1:$A$497,0),MATCH($E144,'Standard cost - Testing'!$K$1:$N$1,0)+10)),"NA",INDEX('Standard cost - Testing'!$A$1:$N$497,MATCH(RIGHT($C144,4),'Standard cost - Testing'!$A$1:$A$497,0),MATCH($E144,'Standard cost - Testing'!$K$1:$N$1,0)+10)))</f>
        <v>19130</v>
      </c>
      <c r="O144" s="45">
        <f>IF(OR(ISERROR($N144),$N144="",$N144="NA"),0,H144*$N144)*(1+INDEX('For Finance Control'!$B$27:$E$29,2,MATCH('Project information'!$A$4,'For Finance Control'!$B$27:$E$27,0)))</f>
        <v>0</v>
      </c>
      <c r="P144" s="45">
        <f>IF(OR(ISERROR($N144),$N144="",$N144="NA"),0,I144*$N144)*(1+INDEX('For Finance Control'!$B$27:$E$29,2,MATCH('Project information'!$A$4,'For Finance Control'!$B$27:$E$27,0)))</f>
        <v>0</v>
      </c>
      <c r="Q144" s="45">
        <f>IF(OR(ISERROR($N144),$N144="",$N144="NA"),0,J144*$N144)*(1+INDEX('For Finance Control'!$B$27:$E$29,2,MATCH('Project information'!$A$4,'For Finance Control'!$B$27:$E$27,0)))</f>
        <v>0</v>
      </c>
      <c r="R144" s="45">
        <f>IF(OR(ISERROR($N144),$N144="",$N144="NA"),0,K144*$N144)*(1+INDEX('For Finance Control'!$B$27:$E$29,2,MATCH('Project information'!$A$4,'For Finance Control'!$B$27:$E$27,0)))</f>
        <v>0</v>
      </c>
      <c r="S144" s="45">
        <f>IF(OR(ISERROR($N144),$N144="",$N144="NA"),0,L144*$N144)*(1+INDEX('For Finance Control'!$B$27:$E$29,2,MATCH('Project information'!$A$4,'For Finance Control'!$B$27:$E$27,0)))</f>
        <v>0</v>
      </c>
      <c r="T144" s="45">
        <f t="shared" si="197"/>
        <v>0</v>
      </c>
      <c r="U144" s="33" cm="1">
        <f t="array" ref="U144">IF($N144="NA","NA",$N144*INDEX('Exchange rate'!$A$1:$G$7,MATCH('Project information'!$A$13,'Exchange rate'!$A$1:$A$7,0),MATCH(LOOKUP(2,1/({"China";"Korea";"India";"Japan";"EUR";"NAO"}=$E144),{"CNY";"KRW";"INR";"JPY";"EUR";"USD"}),'Exchange rate'!$A$1:$G$1,0)))</f>
        <v>19130</v>
      </c>
      <c r="V144" s="33">
        <f t="shared" si="198"/>
        <v>0</v>
      </c>
      <c r="W144" s="33">
        <f t="shared" si="199"/>
        <v>0</v>
      </c>
      <c r="X144" s="33">
        <f t="shared" si="200"/>
        <v>0</v>
      </c>
      <c r="Y144" s="33">
        <f t="shared" si="201"/>
        <v>0</v>
      </c>
      <c r="Z144" s="33">
        <f t="shared" si="202"/>
        <v>0</v>
      </c>
      <c r="AA144" s="33">
        <f t="shared" si="205"/>
        <v>0</v>
      </c>
      <c r="AB144" s="246"/>
      <c r="AC144" s="247"/>
      <c r="AZ144" s="148" t="str">
        <f t="shared" si="206"/>
        <v>5.22</v>
      </c>
      <c r="BA144" s="149" t="s">
        <v>314</v>
      </c>
    </row>
    <row r="145" spans="1:53" outlineLevel="1">
      <c r="A145" s="148" t="str">
        <f t="shared" si="204"/>
        <v>5.23</v>
      </c>
      <c r="B145" s="148" t="str">
        <f>INDEX('Standard cost - Testing'!$A$1:$N$497,MATCH(RIGHT($C145,4),'Standard cost - Testing'!$A$1:$A$497,0),3)</f>
        <v>LVE</v>
      </c>
      <c r="C145" s="149" t="str">
        <f>'Standard cost - Testing'!B24&amp;" - "&amp;'Standard cost - Testing'!A24</f>
        <v>Acoustic - A023</v>
      </c>
      <c r="D145" s="150" t="str">
        <f>IF(RIGHT(INDEX('Standard cost - Testing'!$A$1:$N$497,MATCH(RIGHT($C145,4),'Standard cost - Testing'!$A$1:$A$497,0),4),1)="]",INDEX('Standard cost - Testing'!$A$1:$N$497,MATCH(RIGHT($C145,4),'Standard cost - Testing'!$A$1:$A$497,0),4),IF(INDEX('Standard cost - Testing'!$A$1:$N$497,MATCH(RIGHT($C145,4),'Standard cost - Testing'!$A$1:$A$497,0),10)=1,INDEX('Standard cost - Testing'!$A$1:$N$497,MATCH(RIGHT($C145,4),'Standard cost - Testing'!$A$1:$A$497,0),4)&amp;" [1 part]",INDEX('Standard cost - Testing'!$A$1:$N$497,MATCH(RIGHT($C145,4),'Standard cost - Testing'!$A$1:$A$497,0),4)&amp;" ["&amp;INDEX('Standard cost - Testing'!$A$1:$N$497,MATCH(RIGHT($C145,4),'Standard cost - Testing'!$A$1:$A$497,0),10)&amp;" parts]"))</f>
        <v>Shell radiation noise test [1 part]</v>
      </c>
      <c r="E145" s="51" t="str">
        <f>IF('Project information'!$A$4="","",'Project information'!$A$4)</f>
        <v>China</v>
      </c>
      <c r="F145" s="149" t="str">
        <f>INDEX('Standard cost - Testing'!$A$1:$N$497,MATCH(RIGHT($C145,4),'Standard cost - Testing'!$A$1:$A$497,0),5)</f>
        <v>HMC</v>
      </c>
      <c r="G145" s="149" t="str">
        <f>IF($E145='Standard cost - Testing'!$F$1,INDEX('Standard cost - Testing'!$A$1:$N$497,MATCH(RIGHT($C145,4),'Standard cost - Testing'!$A$1:$A$497,0),6),INDEX('Standard cost - Testing'!$A$1:$N$497,MATCH(RIGHT($C145,4),'Standard cost - Testing'!$A$1:$A$497,0),7))</f>
        <v>ES28600-09 6.4</v>
      </c>
      <c r="H145" s="46"/>
      <c r="I145" s="46"/>
      <c r="J145" s="46"/>
      <c r="K145" s="46"/>
      <c r="L145" s="46"/>
      <c r="M145" s="33">
        <f t="shared" si="196"/>
        <v>0</v>
      </c>
      <c r="N145" s="157">
        <f>IF(E145="","",IF(ISERROR(INDEX('Standard cost - Testing'!$A$1:$N$497,MATCH(RIGHT($C145,4),'Standard cost - Testing'!$A$1:$A$497,0),MATCH($E145,'Standard cost - Testing'!$K$1:$N$1,0)+10)),"NA",INDEX('Standard cost - Testing'!$A$1:$N$497,MATCH(RIGHT($C145,4),'Standard cost - Testing'!$A$1:$A$497,0),MATCH($E145,'Standard cost - Testing'!$K$1:$N$1,0)+10)))</f>
        <v>9865</v>
      </c>
      <c r="O145" s="45">
        <f>IF(OR(ISERROR($N145),$N145="",$N145="NA"),0,H145*$N145)*(1+INDEX('For Finance Control'!$B$27:$E$29,2,MATCH('Project information'!$A$4,'For Finance Control'!$B$27:$E$27,0)))</f>
        <v>0</v>
      </c>
      <c r="P145" s="45">
        <f>IF(OR(ISERROR($N145),$N145="",$N145="NA"),0,I145*$N145)*(1+INDEX('For Finance Control'!$B$27:$E$29,2,MATCH('Project information'!$A$4,'For Finance Control'!$B$27:$E$27,0)))</f>
        <v>0</v>
      </c>
      <c r="Q145" s="45">
        <f>IF(OR(ISERROR($N145),$N145="",$N145="NA"),0,J145*$N145)*(1+INDEX('For Finance Control'!$B$27:$E$29,2,MATCH('Project information'!$A$4,'For Finance Control'!$B$27:$E$27,0)))</f>
        <v>0</v>
      </c>
      <c r="R145" s="45">
        <f>IF(OR(ISERROR($N145),$N145="",$N145="NA"),0,K145*$N145)*(1+INDEX('For Finance Control'!$B$27:$E$29,2,MATCH('Project information'!$A$4,'For Finance Control'!$B$27:$E$27,0)))</f>
        <v>0</v>
      </c>
      <c r="S145" s="45">
        <f>IF(OR(ISERROR($N145),$N145="",$N145="NA"),0,L145*$N145)*(1+INDEX('For Finance Control'!$B$27:$E$29,2,MATCH('Project information'!$A$4,'For Finance Control'!$B$27:$E$27,0)))</f>
        <v>0</v>
      </c>
      <c r="T145" s="45">
        <f t="shared" si="197"/>
        <v>0</v>
      </c>
      <c r="U145" s="33" cm="1">
        <f t="array" ref="U145">IF($N145="NA","NA",$N145*INDEX('Exchange rate'!$A$1:$G$7,MATCH('Project information'!$A$13,'Exchange rate'!$A$1:$A$7,0),MATCH(LOOKUP(2,1/({"China";"Korea";"India";"Japan";"EUR";"NAO"}=$E145),{"CNY";"KRW";"INR";"JPY";"EUR";"USD"}),'Exchange rate'!$A$1:$G$1,0)))</f>
        <v>9865</v>
      </c>
      <c r="V145" s="33">
        <f t="shared" si="198"/>
        <v>0</v>
      </c>
      <c r="W145" s="33">
        <f t="shared" si="199"/>
        <v>0</v>
      </c>
      <c r="X145" s="33">
        <f t="shared" si="200"/>
        <v>0</v>
      </c>
      <c r="Y145" s="33">
        <f t="shared" si="201"/>
        <v>0</v>
      </c>
      <c r="Z145" s="33">
        <f t="shared" si="202"/>
        <v>0</v>
      </c>
      <c r="AA145" s="33">
        <f t="shared" si="205"/>
        <v>0</v>
      </c>
      <c r="AB145" s="246"/>
      <c r="AC145" s="247"/>
      <c r="AZ145" s="148" t="str">
        <f t="shared" si="206"/>
        <v>5.23</v>
      </c>
      <c r="BA145" s="149" t="s">
        <v>315</v>
      </c>
    </row>
    <row r="146" spans="1:53" ht="25" outlineLevel="1">
      <c r="A146" s="148" t="str">
        <f t="shared" si="204"/>
        <v>5.24</v>
      </c>
      <c r="B146" s="148" t="str">
        <f>INDEX('Standard cost - Testing'!$A$1:$N$497,MATCH(RIGHT($C146,4),'Standard cost - Testing'!$A$1:$A$497,0),3)</f>
        <v>LVE</v>
      </c>
      <c r="C146" s="149" t="str">
        <f>'Standard cost - Testing'!B25&amp;" - "&amp;'Standard cost - Testing'!A25</f>
        <v>Acoustic - A024</v>
      </c>
      <c r="D146" s="150" t="str">
        <f>IF(RIGHT(INDEX('Standard cost - Testing'!$A$1:$N$497,MATCH(RIGHT($C146,4),'Standard cost - Testing'!$A$1:$A$497,0),4),1)="]",INDEX('Standard cost - Testing'!$A$1:$N$497,MATCH(RIGHT($C146,4),'Standard cost - Testing'!$A$1:$A$497,0),4),IF(INDEX('Standard cost - Testing'!$A$1:$N$497,MATCH(RIGHT($C146,4),'Standard cost - Testing'!$A$1:$A$497,0),10)=1,INDEX('Standard cost - Testing'!$A$1:$N$497,MATCH(RIGHT($C146,4),'Standard cost - Testing'!$A$1:$A$497,0),4)&amp;" [1 part]",INDEX('Standard cost - Testing'!$A$1:$N$497,MATCH(RIGHT($C146,4),'Standard cost - Testing'!$A$1:$A$497,0),4)&amp;" ["&amp;INDEX('Standard cost - Testing'!$A$1:$N$497,MATCH(RIGHT($C146,4),'Standard cost - Testing'!$A$1:$A$497,0),10)&amp;" parts]"))</f>
        <v>Radiated noise measurement (on a MT car) [1 part]</v>
      </c>
      <c r="E146" s="51" t="str">
        <f>IF('Project information'!$A$4="","",'Project information'!$A$4)</f>
        <v>China</v>
      </c>
      <c r="F146" s="149" t="str">
        <f>INDEX('Standard cost - Testing'!$A$1:$N$497,MATCH(RIGHT($C146,4),'Standard cost - Testing'!$A$1:$A$497,0),5)</f>
        <v>GM</v>
      </c>
      <c r="G146" s="149" t="str">
        <f>IF($E146='Standard cost - Testing'!$F$1,INDEX('Standard cost - Testing'!$A$1:$N$497,MATCH(RIGHT($C146,4),'Standard cost - Testing'!$A$1:$A$497,0),6),INDEX('Standard cost - Testing'!$A$1:$N$497,MATCH(RIGHT($C146,4),'Standard cost - Testing'!$A$1:$A$497,0),7))</f>
        <v>GMW14161</v>
      </c>
      <c r="H146" s="46"/>
      <c r="I146" s="46"/>
      <c r="J146" s="46"/>
      <c r="K146" s="46"/>
      <c r="L146" s="46"/>
      <c r="M146" s="33">
        <f t="shared" si="196"/>
        <v>0</v>
      </c>
      <c r="N146" s="157">
        <f>IF(E146="","",IF(ISERROR(INDEX('Standard cost - Testing'!$A$1:$N$497,MATCH(RIGHT($C146,4),'Standard cost - Testing'!$A$1:$A$497,0),MATCH($E146,'Standard cost - Testing'!$K$1:$N$1,0)+10)),"NA",INDEX('Standard cost - Testing'!$A$1:$N$497,MATCH(RIGHT($C146,4),'Standard cost - Testing'!$A$1:$A$497,0),MATCH($E146,'Standard cost - Testing'!$K$1:$N$1,0)+10)))</f>
        <v>18451</v>
      </c>
      <c r="O146" s="45">
        <f>IF(OR(ISERROR($N146),$N146="",$N146="NA"),0,H146*$N146)*(1+INDEX('For Finance Control'!$B$27:$E$29,2,MATCH('Project information'!$A$4,'For Finance Control'!$B$27:$E$27,0)))</f>
        <v>0</v>
      </c>
      <c r="P146" s="45">
        <f>IF(OR(ISERROR($N146),$N146="",$N146="NA"),0,I146*$N146)*(1+INDEX('For Finance Control'!$B$27:$E$29,2,MATCH('Project information'!$A$4,'For Finance Control'!$B$27:$E$27,0)))</f>
        <v>0</v>
      </c>
      <c r="Q146" s="45">
        <f>IF(OR(ISERROR($N146),$N146="",$N146="NA"),0,J146*$N146)*(1+INDEX('For Finance Control'!$B$27:$E$29,2,MATCH('Project information'!$A$4,'For Finance Control'!$B$27:$E$27,0)))</f>
        <v>0</v>
      </c>
      <c r="R146" s="45">
        <f>IF(OR(ISERROR($N146),$N146="",$N146="NA"),0,K146*$N146)*(1+INDEX('For Finance Control'!$B$27:$E$29,2,MATCH('Project information'!$A$4,'For Finance Control'!$B$27:$E$27,0)))</f>
        <v>0</v>
      </c>
      <c r="S146" s="45">
        <f>IF(OR(ISERROR($N146),$N146="",$N146="NA"),0,L146*$N146)*(1+INDEX('For Finance Control'!$B$27:$E$29,2,MATCH('Project information'!$A$4,'For Finance Control'!$B$27:$E$27,0)))</f>
        <v>0</v>
      </c>
      <c r="T146" s="45">
        <f t="shared" si="197"/>
        <v>0</v>
      </c>
      <c r="U146" s="33" cm="1">
        <f t="array" ref="U146">IF($N146="NA","NA",$N146*INDEX('Exchange rate'!$A$1:$G$7,MATCH('Project information'!$A$13,'Exchange rate'!$A$1:$A$7,0),MATCH(LOOKUP(2,1/({"China";"Korea";"India";"Japan";"EUR";"NAO"}=$E146),{"CNY";"KRW";"INR";"JPY";"EUR";"USD"}),'Exchange rate'!$A$1:$G$1,0)))</f>
        <v>18451</v>
      </c>
      <c r="V146" s="33">
        <f t="shared" si="198"/>
        <v>0</v>
      </c>
      <c r="W146" s="33">
        <f t="shared" si="199"/>
        <v>0</v>
      </c>
      <c r="X146" s="33">
        <f t="shared" si="200"/>
        <v>0</v>
      </c>
      <c r="Y146" s="33">
        <f t="shared" si="201"/>
        <v>0</v>
      </c>
      <c r="Z146" s="33">
        <f t="shared" si="202"/>
        <v>0</v>
      </c>
      <c r="AA146" s="33">
        <f t="shared" si="205"/>
        <v>0</v>
      </c>
      <c r="AB146" s="246"/>
      <c r="AC146" s="247"/>
      <c r="AZ146" s="148" t="str">
        <f t="shared" si="206"/>
        <v>5.24</v>
      </c>
      <c r="BA146" s="149" t="s">
        <v>316</v>
      </c>
    </row>
    <row r="147" spans="1:53" ht="25" outlineLevel="1">
      <c r="A147" s="148" t="str">
        <f t="shared" si="204"/>
        <v>5.25</v>
      </c>
      <c r="B147" s="148" t="str">
        <f>INDEX('Standard cost - Testing'!$A$1:$N$497,MATCH(RIGHT($C147,4),'Standard cost - Testing'!$A$1:$A$497,0),3)</f>
        <v>LVE</v>
      </c>
      <c r="C147" s="149" t="str">
        <f>'Standard cost - Testing'!B26&amp;" - "&amp;'Standard cost - Testing'!A26</f>
        <v>Acoustic - A025</v>
      </c>
      <c r="D147" s="150" t="str">
        <f>IF(RIGHT(INDEX('Standard cost - Testing'!$A$1:$N$497,MATCH(RIGHT($C147,4),'Standard cost - Testing'!$A$1:$A$497,0),4),1)="]",INDEX('Standard cost - Testing'!$A$1:$N$497,MATCH(RIGHT($C147,4),'Standard cost - Testing'!$A$1:$A$497,0),4),IF(INDEX('Standard cost - Testing'!$A$1:$N$497,MATCH(RIGHT($C147,4),'Standard cost - Testing'!$A$1:$A$497,0),10)=1,INDEX('Standard cost - Testing'!$A$1:$N$497,MATCH(RIGHT($C147,4),'Standard cost - Testing'!$A$1:$A$497,0),4)&amp;" [1 part]",INDEX('Standard cost - Testing'!$A$1:$N$497,MATCH(RIGHT($C147,4),'Standard cost - Testing'!$A$1:$A$497,0),4)&amp;" ["&amp;INDEX('Standard cost - Testing'!$A$1:$N$497,MATCH(RIGHT($C147,4),'Standard cost - Testing'!$A$1:$A$497,0),10)&amp;" parts]"))</f>
        <v>Tail pipe noise measurement (on a MT car) [1 part]</v>
      </c>
      <c r="E147" s="51" t="str">
        <f>IF('Project information'!$A$4="","",'Project information'!$A$4)</f>
        <v>China</v>
      </c>
      <c r="F147" s="149" t="str">
        <f>INDEX('Standard cost - Testing'!$A$1:$N$497,MATCH(RIGHT($C147,4),'Standard cost - Testing'!$A$1:$A$497,0),5)</f>
        <v>GM</v>
      </c>
      <c r="G147" s="149" t="str">
        <f>IF($E147='Standard cost - Testing'!$F$1,INDEX('Standard cost - Testing'!$A$1:$N$497,MATCH(RIGHT($C147,4),'Standard cost - Testing'!$A$1:$A$497,0),6),INDEX('Standard cost - Testing'!$A$1:$N$497,MATCH(RIGHT($C147,4),'Standard cost - Testing'!$A$1:$A$497,0),7))</f>
        <v>GMW14218</v>
      </c>
      <c r="H147" s="46"/>
      <c r="I147" s="46"/>
      <c r="J147" s="46"/>
      <c r="K147" s="46"/>
      <c r="L147" s="46"/>
      <c r="M147" s="33">
        <f t="shared" si="196"/>
        <v>0</v>
      </c>
      <c r="N147" s="157">
        <f>IF(E147="","",IF(ISERROR(INDEX('Standard cost - Testing'!$A$1:$N$497,MATCH(RIGHT($C147,4),'Standard cost - Testing'!$A$1:$A$497,0),MATCH($E147,'Standard cost - Testing'!$K$1:$N$1,0)+10)),"NA",INDEX('Standard cost - Testing'!$A$1:$N$497,MATCH(RIGHT($C147,4),'Standard cost - Testing'!$A$1:$A$497,0),MATCH($E147,'Standard cost - Testing'!$K$1:$N$1,0)+10)))</f>
        <v>18451</v>
      </c>
      <c r="O147" s="45">
        <f>IF(OR(ISERROR($N147),$N147="",$N147="NA"),0,H147*$N147)*(1+INDEX('For Finance Control'!$B$27:$E$29,2,MATCH('Project information'!$A$4,'For Finance Control'!$B$27:$E$27,0)))</f>
        <v>0</v>
      </c>
      <c r="P147" s="45">
        <f>IF(OR(ISERROR($N147),$N147="",$N147="NA"),0,I147*$N147)*(1+INDEX('For Finance Control'!$B$27:$E$29,2,MATCH('Project information'!$A$4,'For Finance Control'!$B$27:$E$27,0)))</f>
        <v>0</v>
      </c>
      <c r="Q147" s="45">
        <f>IF(OR(ISERROR($N147),$N147="",$N147="NA"),0,J147*$N147)*(1+INDEX('For Finance Control'!$B$27:$E$29,2,MATCH('Project information'!$A$4,'For Finance Control'!$B$27:$E$27,0)))</f>
        <v>0</v>
      </c>
      <c r="R147" s="45">
        <f>IF(OR(ISERROR($N147),$N147="",$N147="NA"),0,K147*$N147)*(1+INDEX('For Finance Control'!$B$27:$E$29,2,MATCH('Project information'!$A$4,'For Finance Control'!$B$27:$E$27,0)))</f>
        <v>0</v>
      </c>
      <c r="S147" s="45">
        <f>IF(OR(ISERROR($N147),$N147="",$N147="NA"),0,L147*$N147)*(1+INDEX('For Finance Control'!$B$27:$E$29,2,MATCH('Project information'!$A$4,'For Finance Control'!$B$27:$E$27,0)))</f>
        <v>0</v>
      </c>
      <c r="T147" s="45">
        <f t="shared" si="197"/>
        <v>0</v>
      </c>
      <c r="U147" s="33" cm="1">
        <f t="array" ref="U147">IF($N147="NA","NA",$N147*INDEX('Exchange rate'!$A$1:$G$7,MATCH('Project information'!$A$13,'Exchange rate'!$A$1:$A$7,0),MATCH(LOOKUP(2,1/({"China";"Korea";"India";"Japan";"EUR";"NAO"}=$E147),{"CNY";"KRW";"INR";"JPY";"EUR";"USD"}),'Exchange rate'!$A$1:$G$1,0)))</f>
        <v>18451</v>
      </c>
      <c r="V147" s="33">
        <f t="shared" si="198"/>
        <v>0</v>
      </c>
      <c r="W147" s="33">
        <f t="shared" si="199"/>
        <v>0</v>
      </c>
      <c r="X147" s="33">
        <f t="shared" si="200"/>
        <v>0</v>
      </c>
      <c r="Y147" s="33">
        <f t="shared" si="201"/>
        <v>0</v>
      </c>
      <c r="Z147" s="33">
        <f t="shared" si="202"/>
        <v>0</v>
      </c>
      <c r="AA147" s="33">
        <f t="shared" si="205"/>
        <v>0</v>
      </c>
      <c r="AB147" s="246"/>
      <c r="AC147" s="247"/>
      <c r="AZ147" s="148" t="str">
        <f t="shared" si="206"/>
        <v>5.25</v>
      </c>
      <c r="BA147" s="149" t="s">
        <v>317</v>
      </c>
    </row>
    <row r="148" spans="1:53" ht="37.5" outlineLevel="1">
      <c r="A148" s="148" t="str">
        <f t="shared" si="204"/>
        <v>5.26</v>
      </c>
      <c r="B148" s="148" t="str">
        <f>INDEX('Standard cost - Testing'!$A$1:$N$497,MATCH(RIGHT($C148,4),'Standard cost - Testing'!$A$1:$A$497,0),3)</f>
        <v>LVE</v>
      </c>
      <c r="C148" s="149" t="str">
        <f>'Standard cost - Testing'!B27&amp;" - "&amp;'Standard cost - Testing'!A27</f>
        <v>Acoustic - A026</v>
      </c>
      <c r="D148" s="150" t="str">
        <f>IF(RIGHT(INDEX('Standard cost - Testing'!$A$1:$N$497,MATCH(RIGHT($C148,4),'Standard cost - Testing'!$A$1:$A$497,0),4),1)="]",INDEX('Standard cost - Testing'!$A$1:$N$497,MATCH(RIGHT($C148,4),'Standard cost - Testing'!$A$1:$A$497,0),4),IF(INDEX('Standard cost - Testing'!$A$1:$N$497,MATCH(RIGHT($C148,4),'Standard cost - Testing'!$A$1:$A$497,0),10)=1,INDEX('Standard cost - Testing'!$A$1:$N$497,MATCH(RIGHT($C148,4),'Standard cost - Testing'!$A$1:$A$497,0),4)&amp;" [1 part]",INDEX('Standard cost - Testing'!$A$1:$N$497,MATCH(RIGHT($C148,4),'Standard cost - Testing'!$A$1:$A$497,0),4)&amp;" ["&amp;INDEX('Standard cost - Testing'!$A$1:$N$497,MATCH(RIGHT($C148,4),'Standard cost - Testing'!$A$1:$A$497,0),10)&amp;" parts]"))</f>
        <v>Cool down noise for converter ASSY [1 part]</v>
      </c>
      <c r="E148" s="51" t="str">
        <f>IF('Project information'!$A$4="","",'Project information'!$A$4)</f>
        <v>China</v>
      </c>
      <c r="F148" s="149" t="str">
        <f>INDEX('Standard cost - Testing'!$A$1:$N$497,MATCH(RIGHT($C148,4),'Standard cost - Testing'!$A$1:$A$497,0),5)</f>
        <v>HMC</v>
      </c>
      <c r="G148" s="149" t="str">
        <f>IF($E148='Standard cost - Testing'!$F$1,INDEX('Standard cost - Testing'!$A$1:$N$497,MATCH(RIGHT($C148,4),'Standard cost - Testing'!$A$1:$A$497,0),6),INDEX('Standard cost - Testing'!$A$1:$N$497,MATCH(RIGHT($C148,4),'Standard cost - Testing'!$A$1:$A$497,0),7))</f>
        <v>ES28530-01 5.1
ES28530-02 6.1
ES28990-01 6.1</v>
      </c>
      <c r="H148" s="46"/>
      <c r="I148" s="46"/>
      <c r="J148" s="46"/>
      <c r="K148" s="46"/>
      <c r="L148" s="46"/>
      <c r="M148" s="33">
        <f t="shared" si="196"/>
        <v>0</v>
      </c>
      <c r="N148" s="157">
        <f>IF(E148="","",IF(ISERROR(INDEX('Standard cost - Testing'!$A$1:$N$497,MATCH(RIGHT($C148,4),'Standard cost - Testing'!$A$1:$A$497,0),MATCH($E148,'Standard cost - Testing'!$K$1:$N$1,0)+10)),"NA",INDEX('Standard cost - Testing'!$A$1:$N$497,MATCH(RIGHT($C148,4),'Standard cost - Testing'!$A$1:$A$497,0),MATCH($E148,'Standard cost - Testing'!$K$1:$N$1,0)+10)))</f>
        <v>11365</v>
      </c>
      <c r="O148" s="45">
        <f>IF(OR(ISERROR($N148),$N148="",$N148="NA"),0,H148*$N148)*(1+INDEX('For Finance Control'!$B$27:$E$29,2,MATCH('Project information'!$A$4,'For Finance Control'!$B$27:$E$27,0)))</f>
        <v>0</v>
      </c>
      <c r="P148" s="45">
        <f>IF(OR(ISERROR($N148),$N148="",$N148="NA"),0,I148*$N148)*(1+INDEX('For Finance Control'!$B$27:$E$29,2,MATCH('Project information'!$A$4,'For Finance Control'!$B$27:$E$27,0)))</f>
        <v>0</v>
      </c>
      <c r="Q148" s="45">
        <f>IF(OR(ISERROR($N148),$N148="",$N148="NA"),0,J148*$N148)*(1+INDEX('For Finance Control'!$B$27:$E$29,2,MATCH('Project information'!$A$4,'For Finance Control'!$B$27:$E$27,0)))</f>
        <v>0</v>
      </c>
      <c r="R148" s="45">
        <f>IF(OR(ISERROR($N148),$N148="",$N148="NA"),0,K148*$N148)*(1+INDEX('For Finance Control'!$B$27:$E$29,2,MATCH('Project information'!$A$4,'For Finance Control'!$B$27:$E$27,0)))</f>
        <v>0</v>
      </c>
      <c r="S148" s="45">
        <f>IF(OR(ISERROR($N148),$N148="",$N148="NA"),0,L148*$N148)*(1+INDEX('For Finance Control'!$B$27:$E$29,2,MATCH('Project information'!$A$4,'For Finance Control'!$B$27:$E$27,0)))</f>
        <v>0</v>
      </c>
      <c r="T148" s="45">
        <f t="shared" si="197"/>
        <v>0</v>
      </c>
      <c r="U148" s="33" cm="1">
        <f t="array" ref="U148">IF($N148="NA","NA",$N148*INDEX('Exchange rate'!$A$1:$G$7,MATCH('Project information'!$A$13,'Exchange rate'!$A$1:$A$7,0),MATCH(LOOKUP(2,1/({"China";"Korea";"India";"Japan";"EUR";"NAO"}=$E148),{"CNY";"KRW";"INR";"JPY";"EUR";"USD"}),'Exchange rate'!$A$1:$G$1,0)))</f>
        <v>11365</v>
      </c>
      <c r="V148" s="33">
        <f t="shared" si="198"/>
        <v>0</v>
      </c>
      <c r="W148" s="33">
        <f t="shared" si="199"/>
        <v>0</v>
      </c>
      <c r="X148" s="33">
        <f t="shared" si="200"/>
        <v>0</v>
      </c>
      <c r="Y148" s="33">
        <f t="shared" si="201"/>
        <v>0</v>
      </c>
      <c r="Z148" s="33">
        <f t="shared" si="202"/>
        <v>0</v>
      </c>
      <c r="AA148" s="33">
        <f t="shared" si="205"/>
        <v>0</v>
      </c>
      <c r="AB148" s="246"/>
      <c r="AC148" s="247"/>
      <c r="AZ148" s="148" t="str">
        <f t="shared" si="206"/>
        <v>5.26</v>
      </c>
      <c r="BA148" s="149" t="s">
        <v>318</v>
      </c>
    </row>
    <row r="149" spans="1:53" ht="25" outlineLevel="1">
      <c r="A149" s="148" t="str">
        <f t="shared" si="204"/>
        <v>5.27</v>
      </c>
      <c r="B149" s="148" t="str">
        <f>INDEX('Standard cost - Testing'!$A$1:$N$497,MATCH(RIGHT($C149,4),'Standard cost - Testing'!$A$1:$A$497,0),3)</f>
        <v>LVE</v>
      </c>
      <c r="C149" s="149" t="str">
        <f>'Standard cost - Testing'!B28&amp;" - "&amp;'Standard cost - Testing'!A28</f>
        <v>Acoustic - A027</v>
      </c>
      <c r="D149" s="150" t="str">
        <f>IF(RIGHT(INDEX('Standard cost - Testing'!$A$1:$N$497,MATCH(RIGHT($C149,4),'Standard cost - Testing'!$A$1:$A$497,0),4),1)="]",INDEX('Standard cost - Testing'!$A$1:$N$497,MATCH(RIGHT($C149,4),'Standard cost - Testing'!$A$1:$A$497,0),4),IF(INDEX('Standard cost - Testing'!$A$1:$N$497,MATCH(RIGHT($C149,4),'Standard cost - Testing'!$A$1:$A$497,0),10)=1,INDEX('Standard cost - Testing'!$A$1:$N$497,MATCH(RIGHT($C149,4),'Standard cost - Testing'!$A$1:$A$497,0),4)&amp;" [1 part]",INDEX('Standard cost - Testing'!$A$1:$N$497,MATCH(RIGHT($C149,4),'Standard cost - Testing'!$A$1:$A$497,0),4)&amp;" ["&amp;INDEX('Standard cost - Testing'!$A$1:$N$497,MATCH(RIGHT($C149,4),'Standard cost - Testing'!$A$1:$A$497,0),10)&amp;" parts]"))</f>
        <v>Tuning element condensate expulsion test [1 part]</v>
      </c>
      <c r="E149" s="51" t="str">
        <f>IF('Project information'!$A$4="","",'Project information'!$A$4)</f>
        <v>China</v>
      </c>
      <c r="F149" s="149" t="str">
        <f>INDEX('Standard cost - Testing'!$A$1:$N$497,MATCH(RIGHT($C149,4),'Standard cost - Testing'!$A$1:$A$497,0),5)</f>
        <v>GM</v>
      </c>
      <c r="G149" s="149" t="str">
        <f>IF($E149='Standard cost - Testing'!$F$1,INDEX('Standard cost - Testing'!$A$1:$N$497,MATCH(RIGHT($C149,4),'Standard cost - Testing'!$A$1:$A$497,0),6),INDEX('Standard cost - Testing'!$A$1:$N$497,MATCH(RIGHT($C149,4),'Standard cost - Testing'!$A$1:$A$497,0),7))</f>
        <v>GMW14379-2012</v>
      </c>
      <c r="H149" s="46"/>
      <c r="I149" s="46"/>
      <c r="J149" s="46"/>
      <c r="K149" s="46"/>
      <c r="L149" s="46"/>
      <c r="M149" s="33">
        <f t="shared" si="196"/>
        <v>0</v>
      </c>
      <c r="N149" s="157">
        <f>IF(E149="","",IF(ISERROR(INDEX('Standard cost - Testing'!$A$1:$N$497,MATCH(RIGHT($C149,4),'Standard cost - Testing'!$A$1:$A$497,0),MATCH($E149,'Standard cost - Testing'!$K$1:$N$1,0)+10)),"NA",INDEX('Standard cost - Testing'!$A$1:$N$497,MATCH(RIGHT($C149,4),'Standard cost - Testing'!$A$1:$A$497,0),MATCH($E149,'Standard cost - Testing'!$K$1:$N$1,0)+10)))</f>
        <v>42846</v>
      </c>
      <c r="O149" s="45">
        <f>IF(OR(ISERROR($N149),$N149="",$N149="NA"),0,H149*$N149)*(1+INDEX('For Finance Control'!$B$27:$E$29,2,MATCH('Project information'!$A$4,'For Finance Control'!$B$27:$E$27,0)))</f>
        <v>0</v>
      </c>
      <c r="P149" s="45">
        <f>IF(OR(ISERROR($N149),$N149="",$N149="NA"),0,I149*$N149)*(1+INDEX('For Finance Control'!$B$27:$E$29,2,MATCH('Project information'!$A$4,'For Finance Control'!$B$27:$E$27,0)))</f>
        <v>0</v>
      </c>
      <c r="Q149" s="45">
        <f>IF(OR(ISERROR($N149),$N149="",$N149="NA"),0,J149*$N149)*(1+INDEX('For Finance Control'!$B$27:$E$29,2,MATCH('Project information'!$A$4,'For Finance Control'!$B$27:$E$27,0)))</f>
        <v>0</v>
      </c>
      <c r="R149" s="45">
        <f>IF(OR(ISERROR($N149),$N149="",$N149="NA"),0,K149*$N149)*(1+INDEX('For Finance Control'!$B$27:$E$29,2,MATCH('Project information'!$A$4,'For Finance Control'!$B$27:$E$27,0)))</f>
        <v>0</v>
      </c>
      <c r="S149" s="45">
        <f>IF(OR(ISERROR($N149),$N149="",$N149="NA"),0,L149*$N149)*(1+INDEX('For Finance Control'!$B$27:$E$29,2,MATCH('Project information'!$A$4,'For Finance Control'!$B$27:$E$27,0)))</f>
        <v>0</v>
      </c>
      <c r="T149" s="45">
        <f t="shared" si="197"/>
        <v>0</v>
      </c>
      <c r="U149" s="33" cm="1">
        <f t="array" ref="U149">IF($N149="NA","NA",$N149*INDEX('Exchange rate'!$A$1:$G$7,MATCH('Project information'!$A$13,'Exchange rate'!$A$1:$A$7,0),MATCH(LOOKUP(2,1/({"China";"Korea";"India";"Japan";"EUR";"NAO"}=$E149),{"CNY";"KRW";"INR";"JPY";"EUR";"USD"}),'Exchange rate'!$A$1:$G$1,0)))</f>
        <v>42846</v>
      </c>
      <c r="V149" s="33">
        <f t="shared" si="198"/>
        <v>0</v>
      </c>
      <c r="W149" s="33">
        <f t="shared" si="199"/>
        <v>0</v>
      </c>
      <c r="X149" s="33">
        <f t="shared" si="200"/>
        <v>0</v>
      </c>
      <c r="Y149" s="33">
        <f t="shared" si="201"/>
        <v>0</v>
      </c>
      <c r="Z149" s="33">
        <f t="shared" si="202"/>
        <v>0</v>
      </c>
      <c r="AA149" s="33">
        <f t="shared" si="205"/>
        <v>0</v>
      </c>
      <c r="AB149" s="246"/>
      <c r="AC149" s="247"/>
      <c r="AZ149" s="148" t="str">
        <f t="shared" si="206"/>
        <v>5.27</v>
      </c>
      <c r="BA149" s="149" t="s">
        <v>319</v>
      </c>
    </row>
    <row r="150" spans="1:53" outlineLevel="1">
      <c r="A150" s="148" t="str">
        <f t="shared" si="204"/>
        <v>5.28</v>
      </c>
      <c r="B150" s="148" t="str">
        <f>INDEX('Standard cost - Testing'!$A$1:$N$497,MATCH(RIGHT($C150,4),'Standard cost - Testing'!$A$1:$A$497,0),3)</f>
        <v>LVE</v>
      </c>
      <c r="C150" s="149" t="str">
        <f>'Standard cost - Testing'!B29&amp;" - "&amp;'Standard cost - Testing'!A29</f>
        <v>Acoustic - A028</v>
      </c>
      <c r="D150" s="150" t="str">
        <f>IF(RIGHT(INDEX('Standard cost - Testing'!$A$1:$N$497,MATCH(RIGHT($C150,4),'Standard cost - Testing'!$A$1:$A$497,0),4),1)="]",INDEX('Standard cost - Testing'!$A$1:$N$497,MATCH(RIGHT($C150,4),'Standard cost - Testing'!$A$1:$A$497,0),4),IF(INDEX('Standard cost - Testing'!$A$1:$N$497,MATCH(RIGHT($C150,4),'Standard cost - Testing'!$A$1:$A$497,0),10)=1,INDEX('Standard cost - Testing'!$A$1:$N$497,MATCH(RIGHT($C150,4),'Standard cost - Testing'!$A$1:$A$497,0),4)&amp;" [1 part]",INDEX('Standard cost - Testing'!$A$1:$N$497,MATCH(RIGHT($C150,4),'Standard cost - Testing'!$A$1:$A$497,0),4)&amp;" ["&amp;INDEX('Standard cost - Testing'!$A$1:$N$497,MATCH(RIGHT($C150,4),'Standard cost - Testing'!$A$1:$A$497,0),10)&amp;" parts]"))</f>
        <v>Vehicle roller bench [1 part]</v>
      </c>
      <c r="E150" s="51" t="str">
        <f>IF('Project information'!$A$4="","",'Project information'!$A$4)</f>
        <v>China</v>
      </c>
      <c r="F150" s="149" t="str">
        <f>INDEX('Standard cost - Testing'!$A$1:$N$497,MATCH(RIGHT($C150,4),'Standard cost - Testing'!$A$1:$A$497,0),5)</f>
        <v>FCA</v>
      </c>
      <c r="G150" s="149" t="str">
        <f>IF($E150='Standard cost - Testing'!$F$1,INDEX('Standard cost - Testing'!$A$1:$N$497,MATCH(RIGHT($C150,4),'Standard cost - Testing'!$A$1:$A$497,0),6),INDEX('Standard cost - Testing'!$A$1:$N$497,MATCH(RIGHT($C150,4),'Standard cost - Testing'!$A$1:$A$497,0),7))</f>
        <v>PF.90160 9.3.5</v>
      </c>
      <c r="H150" s="46"/>
      <c r="I150" s="46"/>
      <c r="J150" s="46"/>
      <c r="K150" s="46"/>
      <c r="L150" s="46"/>
      <c r="M150" s="33">
        <f t="shared" si="196"/>
        <v>0</v>
      </c>
      <c r="N150" s="157">
        <f>IF(E150="","",IF(ISERROR(INDEX('Standard cost - Testing'!$A$1:$N$497,MATCH(RIGHT($C150,4),'Standard cost - Testing'!$A$1:$A$497,0),MATCH($E150,'Standard cost - Testing'!$K$1:$N$1,0)+10)),"NA",INDEX('Standard cost - Testing'!$A$1:$N$497,MATCH(RIGHT($C150,4),'Standard cost - Testing'!$A$1:$A$497,0),MATCH($E150,'Standard cost - Testing'!$K$1:$N$1,0)+10)))</f>
        <v>382068</v>
      </c>
      <c r="O150" s="45">
        <f>IF(OR(ISERROR($N150),$N150="",$N150="NA"),0,H150*$N150)*(1+INDEX('For Finance Control'!$B$27:$E$29,2,MATCH('Project information'!$A$4,'For Finance Control'!$B$27:$E$27,0)))</f>
        <v>0</v>
      </c>
      <c r="P150" s="45">
        <f>IF(OR(ISERROR($N150),$N150="",$N150="NA"),0,I150*$N150)*(1+INDEX('For Finance Control'!$B$27:$E$29,2,MATCH('Project information'!$A$4,'For Finance Control'!$B$27:$E$27,0)))</f>
        <v>0</v>
      </c>
      <c r="Q150" s="45">
        <f>IF(OR(ISERROR($N150),$N150="",$N150="NA"),0,J150*$N150)*(1+INDEX('For Finance Control'!$B$27:$E$29,2,MATCH('Project information'!$A$4,'For Finance Control'!$B$27:$E$27,0)))</f>
        <v>0</v>
      </c>
      <c r="R150" s="45">
        <f>IF(OR(ISERROR($N150),$N150="",$N150="NA"),0,K150*$N150)*(1+INDEX('For Finance Control'!$B$27:$E$29,2,MATCH('Project information'!$A$4,'For Finance Control'!$B$27:$E$27,0)))</f>
        <v>0</v>
      </c>
      <c r="S150" s="45">
        <f>IF(OR(ISERROR($N150),$N150="",$N150="NA"),0,L150*$N150)*(1+INDEX('For Finance Control'!$B$27:$E$29,2,MATCH('Project information'!$A$4,'For Finance Control'!$B$27:$E$27,0)))</f>
        <v>0</v>
      </c>
      <c r="T150" s="45">
        <f t="shared" si="197"/>
        <v>0</v>
      </c>
      <c r="U150" s="33" cm="1">
        <f t="array" ref="U150">IF($N150="NA","NA",$N150*INDEX('Exchange rate'!$A$1:$G$7,MATCH('Project information'!$A$13,'Exchange rate'!$A$1:$A$7,0),MATCH(LOOKUP(2,1/({"China";"Korea";"India";"Japan";"EUR";"NAO"}=$E150),{"CNY";"KRW";"INR";"JPY";"EUR";"USD"}),'Exchange rate'!$A$1:$G$1,0)))</f>
        <v>382068</v>
      </c>
      <c r="V150" s="33">
        <f t="shared" si="198"/>
        <v>0</v>
      </c>
      <c r="W150" s="33">
        <f t="shared" si="199"/>
        <v>0</v>
      </c>
      <c r="X150" s="33">
        <f t="shared" si="200"/>
        <v>0</v>
      </c>
      <c r="Y150" s="33">
        <f t="shared" si="201"/>
        <v>0</v>
      </c>
      <c r="Z150" s="33">
        <f t="shared" si="202"/>
        <v>0</v>
      </c>
      <c r="AA150" s="33">
        <f t="shared" si="205"/>
        <v>0</v>
      </c>
      <c r="AB150" s="246"/>
      <c r="AC150" s="247"/>
      <c r="AZ150" s="148" t="str">
        <f t="shared" si="206"/>
        <v>5.28</v>
      </c>
      <c r="BA150" s="149" t="s">
        <v>320</v>
      </c>
    </row>
    <row r="151" spans="1:53" ht="37.5" outlineLevel="1">
      <c r="A151" s="148" t="str">
        <f t="shared" si="204"/>
        <v>5.29</v>
      </c>
      <c r="B151" s="148" t="str">
        <f>INDEX('Standard cost - Testing'!$A$1:$N$497,MATCH(RIGHT($C151,4),'Standard cost - Testing'!$A$1:$A$497,0),3)</f>
        <v>LVE</v>
      </c>
      <c r="C151" s="149" t="str">
        <f>'Standard cost - Testing'!B30&amp;" - "&amp;'Standard cost - Testing'!A30</f>
        <v>Acoustic - A029</v>
      </c>
      <c r="D151" s="150" t="str">
        <f>IF(RIGHT(INDEX('Standard cost - Testing'!$A$1:$N$497,MATCH(RIGHT($C151,4),'Standard cost - Testing'!$A$1:$A$497,0),4),1)="]",INDEX('Standard cost - Testing'!$A$1:$N$497,MATCH(RIGHT($C151,4),'Standard cost - Testing'!$A$1:$A$497,0),4),IF(INDEX('Standard cost - Testing'!$A$1:$N$497,MATCH(RIGHT($C151,4),'Standard cost - Testing'!$A$1:$A$497,0),10)=1,INDEX('Standard cost - Testing'!$A$1:$N$497,MATCH(RIGHT($C151,4),'Standard cost - Testing'!$A$1:$A$497,0),4)&amp;" [1 part]",INDEX('Standard cost - Testing'!$A$1:$N$497,MATCH(RIGHT($C151,4),'Standard cost - Testing'!$A$1:$A$497,0),4)&amp;" ["&amp;INDEX('Standard cost - Testing'!$A$1:$N$497,MATCH(RIGHT($C151,4),'Standard cost - Testing'!$A$1:$A$497,0),10)&amp;" parts]"))</f>
        <v>Acoustic measurement (TPN, BP, Idle) - Package [3 parts]</v>
      </c>
      <c r="E151" s="51" t="str">
        <f>IF('Project information'!$A$4="","",'Project information'!$A$4)</f>
        <v>China</v>
      </c>
      <c r="F151" s="149" t="str">
        <f>INDEX('Standard cost - Testing'!$A$1:$N$497,MATCH(RIGHT($C151,4),'Standard cost - Testing'!$A$1:$A$497,0),5)</f>
        <v>Faurecia</v>
      </c>
      <c r="G151" s="149" t="str">
        <f>IF($E151='Standard cost - Testing'!$F$1,INDEX('Standard cost - Testing'!$A$1:$N$497,MATCH(RIGHT($C151,4),'Standard cost - Testing'!$A$1:$A$497,0),6),INDEX('Standard cost - Testing'!$A$1:$N$497,MATCH(RIGHT($C151,4),'Standard cost - Testing'!$A$1:$A$497,0),7))</f>
        <v>CHD-I-DSE-2012
CHD-I-DSE-2013
CHD-I-DSE-2017</v>
      </c>
      <c r="H151" s="46"/>
      <c r="I151" s="46"/>
      <c r="J151" s="46"/>
      <c r="K151" s="46"/>
      <c r="L151" s="46"/>
      <c r="M151" s="33">
        <f t="shared" si="196"/>
        <v>0</v>
      </c>
      <c r="N151" s="157">
        <f>IF(E151="","",IF(ISERROR(INDEX('Standard cost - Testing'!$A$1:$N$497,MATCH(RIGHT($C151,4),'Standard cost - Testing'!$A$1:$A$497,0),MATCH($E151,'Standard cost - Testing'!$K$1:$N$1,0)+10)),"NA",INDEX('Standard cost - Testing'!$A$1:$N$497,MATCH(RIGHT($C151,4),'Standard cost - Testing'!$A$1:$A$497,0),MATCH($E151,'Standard cost - Testing'!$K$1:$N$1,0)+10)))</f>
        <v>21390</v>
      </c>
      <c r="O151" s="45">
        <f>IF(OR(ISERROR($N151),$N151="",$N151="NA"),0,H151*$N151)*(1+INDEX('For Finance Control'!$B$27:$E$29,2,MATCH('Project information'!$A$4,'For Finance Control'!$B$27:$E$27,0)))</f>
        <v>0</v>
      </c>
      <c r="P151" s="45">
        <f>IF(OR(ISERROR($N151),$N151="",$N151="NA"),0,I151*$N151)*(1+INDEX('For Finance Control'!$B$27:$E$29,2,MATCH('Project information'!$A$4,'For Finance Control'!$B$27:$E$27,0)))</f>
        <v>0</v>
      </c>
      <c r="Q151" s="45">
        <f>IF(OR(ISERROR($N151),$N151="",$N151="NA"),0,J151*$N151)*(1+INDEX('For Finance Control'!$B$27:$E$29,2,MATCH('Project information'!$A$4,'For Finance Control'!$B$27:$E$27,0)))</f>
        <v>0</v>
      </c>
      <c r="R151" s="45">
        <f>IF(OR(ISERROR($N151),$N151="",$N151="NA"),0,K151*$N151)*(1+INDEX('For Finance Control'!$B$27:$E$29,2,MATCH('Project information'!$A$4,'For Finance Control'!$B$27:$E$27,0)))</f>
        <v>0</v>
      </c>
      <c r="S151" s="45">
        <f>IF(OR(ISERROR($N151),$N151="",$N151="NA"),0,L151*$N151)*(1+INDEX('For Finance Control'!$B$27:$E$29,2,MATCH('Project information'!$A$4,'For Finance Control'!$B$27:$E$27,0)))</f>
        <v>0</v>
      </c>
      <c r="T151" s="45">
        <f t="shared" si="197"/>
        <v>0</v>
      </c>
      <c r="U151" s="33" cm="1">
        <f t="array" ref="U151">IF($N151="NA","NA",$N151*INDEX('Exchange rate'!$A$1:$G$7,MATCH('Project information'!$A$13,'Exchange rate'!$A$1:$A$7,0),MATCH(LOOKUP(2,1/({"China";"Korea";"India";"Japan";"EUR";"NAO"}=$E151),{"CNY";"KRW";"INR";"JPY";"EUR";"USD"}),'Exchange rate'!$A$1:$G$1,0)))</f>
        <v>21390</v>
      </c>
      <c r="V151" s="33">
        <f t="shared" si="198"/>
        <v>0</v>
      </c>
      <c r="W151" s="33">
        <f t="shared" si="199"/>
        <v>0</v>
      </c>
      <c r="X151" s="33">
        <f t="shared" si="200"/>
        <v>0</v>
      </c>
      <c r="Y151" s="33">
        <f t="shared" si="201"/>
        <v>0</v>
      </c>
      <c r="Z151" s="33">
        <f t="shared" si="202"/>
        <v>0</v>
      </c>
      <c r="AA151" s="33">
        <f t="shared" si="205"/>
        <v>0</v>
      </c>
      <c r="AB151" s="246"/>
      <c r="AC151" s="247"/>
      <c r="AZ151" s="148" t="str">
        <f t="shared" si="206"/>
        <v>5.29</v>
      </c>
      <c r="BA151" s="149" t="s">
        <v>296</v>
      </c>
    </row>
    <row r="152" spans="1:53" ht="25" outlineLevel="1">
      <c r="A152" s="148" t="str">
        <f t="shared" si="204"/>
        <v>5.30</v>
      </c>
      <c r="B152" s="148" t="str">
        <f>INDEX('Standard cost - Testing'!$A$1:$N$497,MATCH(RIGHT($C152,4),'Standard cost - Testing'!$A$1:$A$497,0),3)</f>
        <v>LVE</v>
      </c>
      <c r="C152" s="149" t="str">
        <f>'Standard cost - Testing'!B31&amp;" - "&amp;'Standard cost - Testing'!A31</f>
        <v>Acoustic - A030</v>
      </c>
      <c r="D152" s="150" t="str">
        <f>IF(RIGHT(INDEX('Standard cost - Testing'!$A$1:$N$497,MATCH(RIGHT($C152,4),'Standard cost - Testing'!$A$1:$A$497,0),4),1)="]",INDEX('Standard cost - Testing'!$A$1:$N$497,MATCH(RIGHT($C152,4),'Standard cost - Testing'!$A$1:$A$497,0),4),IF(INDEX('Standard cost - Testing'!$A$1:$N$497,MATCH(RIGHT($C152,4),'Standard cost - Testing'!$A$1:$A$497,0),10)=1,INDEX('Standard cost - Testing'!$A$1:$N$497,MATCH(RIGHT($C152,4),'Standard cost - Testing'!$A$1:$A$497,0),4)&amp;" [1 part]",INDEX('Standard cost - Testing'!$A$1:$N$497,MATCH(RIGHT($C152,4),'Standard cost - Testing'!$A$1:$A$497,0),4)&amp;" ["&amp;INDEX('Standard cost - Testing'!$A$1:$N$497,MATCH(RIGHT($C152,4),'Standard cost - Testing'!$A$1:$A$497,0),10)&amp;" parts]"))</f>
        <v>Acoustic measurement (TPN, Idle) (on MT car) - Package [3 parts]</v>
      </c>
      <c r="E152" s="51" t="str">
        <f>IF('Project information'!$A$4="","",'Project information'!$A$4)</f>
        <v>China</v>
      </c>
      <c r="F152" s="149" t="str">
        <f>INDEX('Standard cost - Testing'!$A$1:$N$497,MATCH(RIGHT($C152,4),'Standard cost - Testing'!$A$1:$A$497,0),5)</f>
        <v>Faurecia</v>
      </c>
      <c r="G152" s="149" t="str">
        <f>IF($E152='Standard cost - Testing'!$F$1,INDEX('Standard cost - Testing'!$A$1:$N$497,MATCH(RIGHT($C152,4),'Standard cost - Testing'!$A$1:$A$497,0),6),INDEX('Standard cost - Testing'!$A$1:$N$497,MATCH(RIGHT($C152,4),'Standard cost - Testing'!$A$1:$A$497,0),7))</f>
        <v>CHD-I-DSE-2032
CHD-I-DSE-2036</v>
      </c>
      <c r="H152" s="46"/>
      <c r="I152" s="46"/>
      <c r="J152" s="46"/>
      <c r="K152" s="46"/>
      <c r="L152" s="46"/>
      <c r="M152" s="33">
        <f t="shared" si="196"/>
        <v>0</v>
      </c>
      <c r="N152" s="157">
        <f>IF(E152="","",IF(ISERROR(INDEX('Standard cost - Testing'!$A$1:$N$497,MATCH(RIGHT($C152,4),'Standard cost - Testing'!$A$1:$A$497,0),MATCH($E152,'Standard cost - Testing'!$K$1:$N$1,0)+10)),"NA",INDEX('Standard cost - Testing'!$A$1:$N$497,MATCH(RIGHT($C152,4),'Standard cost - Testing'!$A$1:$A$497,0),MATCH($E152,'Standard cost - Testing'!$K$1:$N$1,0)+10)))</f>
        <v>67294</v>
      </c>
      <c r="O152" s="45">
        <f>IF(OR(ISERROR($N152),$N152="",$N152="NA"),0,H152*$N152)*(1+INDEX('For Finance Control'!$B$27:$E$29,2,MATCH('Project information'!$A$4,'For Finance Control'!$B$27:$E$27,0)))</f>
        <v>0</v>
      </c>
      <c r="P152" s="45">
        <f>IF(OR(ISERROR($N152),$N152="",$N152="NA"),0,I152*$N152)*(1+INDEX('For Finance Control'!$B$27:$E$29,2,MATCH('Project information'!$A$4,'For Finance Control'!$B$27:$E$27,0)))</f>
        <v>0</v>
      </c>
      <c r="Q152" s="45">
        <f>IF(OR(ISERROR($N152),$N152="",$N152="NA"),0,J152*$N152)*(1+INDEX('For Finance Control'!$B$27:$E$29,2,MATCH('Project information'!$A$4,'For Finance Control'!$B$27:$E$27,0)))</f>
        <v>0</v>
      </c>
      <c r="R152" s="45">
        <f>IF(OR(ISERROR($N152),$N152="",$N152="NA"),0,K152*$N152)*(1+INDEX('For Finance Control'!$B$27:$E$29,2,MATCH('Project information'!$A$4,'For Finance Control'!$B$27:$E$27,0)))</f>
        <v>0</v>
      </c>
      <c r="S152" s="45">
        <f>IF(OR(ISERROR($N152),$N152="",$N152="NA"),0,L152*$N152)*(1+INDEX('For Finance Control'!$B$27:$E$29,2,MATCH('Project information'!$A$4,'For Finance Control'!$B$27:$E$27,0)))</f>
        <v>0</v>
      </c>
      <c r="T152" s="45">
        <f t="shared" si="197"/>
        <v>0</v>
      </c>
      <c r="U152" s="33" cm="1">
        <f t="array" ref="U152">IF($N152="NA","NA",$N152*INDEX('Exchange rate'!$A$1:$G$7,MATCH('Project information'!$A$13,'Exchange rate'!$A$1:$A$7,0),MATCH(LOOKUP(2,1/({"China";"Korea";"India";"Japan";"EUR";"NAO"}=$E152),{"CNY";"KRW";"INR";"JPY";"EUR";"USD"}),'Exchange rate'!$A$1:$G$1,0)))</f>
        <v>67294</v>
      </c>
      <c r="V152" s="33">
        <f t="shared" si="198"/>
        <v>0</v>
      </c>
      <c r="W152" s="33">
        <f t="shared" si="199"/>
        <v>0</v>
      </c>
      <c r="X152" s="33">
        <f t="shared" si="200"/>
        <v>0</v>
      </c>
      <c r="Y152" s="33">
        <f t="shared" si="201"/>
        <v>0</v>
      </c>
      <c r="Z152" s="33">
        <f t="shared" si="202"/>
        <v>0</v>
      </c>
      <c r="AA152" s="33">
        <f t="shared" si="205"/>
        <v>0</v>
      </c>
      <c r="AB152" s="246"/>
      <c r="AC152" s="247"/>
      <c r="AZ152" s="148" t="str">
        <f t="shared" si="206"/>
        <v>5.30</v>
      </c>
      <c r="BA152" s="149" t="s">
        <v>309</v>
      </c>
    </row>
    <row r="153" spans="1:53" ht="25" outlineLevel="1">
      <c r="A153" s="148" t="str">
        <f t="shared" si="204"/>
        <v>5.31</v>
      </c>
      <c r="B153" s="148" t="str">
        <f>INDEX('Standard cost - Testing'!$A$1:$N$497,MATCH(RIGHT($C153,4),'Standard cost - Testing'!$A$1:$A$497,0),3)</f>
        <v>LVE</v>
      </c>
      <c r="C153" s="149" t="str">
        <f>'Standard cost - Testing'!B32&amp;" - "&amp;'Standard cost - Testing'!A32</f>
        <v>Acoustic - A031</v>
      </c>
      <c r="D153" s="150" t="str">
        <f>IF(RIGHT(INDEX('Standard cost - Testing'!$A$1:$N$497,MATCH(RIGHT($C153,4),'Standard cost - Testing'!$A$1:$A$497,0),4),1)="]",INDEX('Standard cost - Testing'!$A$1:$N$497,MATCH(RIGHT($C153,4),'Standard cost - Testing'!$A$1:$A$497,0),4),IF(INDEX('Standard cost - Testing'!$A$1:$N$497,MATCH(RIGHT($C153,4),'Standard cost - Testing'!$A$1:$A$497,0),10)=1,INDEX('Standard cost - Testing'!$A$1:$N$497,MATCH(RIGHT($C153,4),'Standard cost - Testing'!$A$1:$A$497,0),4)&amp;" [1 part]",INDEX('Standard cost - Testing'!$A$1:$N$497,MATCH(RIGHT($C153,4),'Standard cost - Testing'!$A$1:$A$497,0),4)&amp;" ["&amp;INDEX('Standard cost - Testing'!$A$1:$N$497,MATCH(RIGHT($C153,4),'Standard cost - Testing'!$A$1:$A$497,0),10)&amp;" parts]"))</f>
        <v>Acoustic measurement (TPN, BP, Idle) - Package [3 parts]</v>
      </c>
      <c r="E153" s="51" t="str">
        <f>IF('Project information'!$A$4="","",'Project information'!$A$4)</f>
        <v>China</v>
      </c>
      <c r="F153" s="149" t="str">
        <f>INDEX('Standard cost - Testing'!$A$1:$N$497,MATCH(RIGHT($C153,4),'Standard cost - Testing'!$A$1:$A$497,0),5)</f>
        <v>Ford</v>
      </c>
      <c r="G153" s="149" t="str">
        <f>IF($E153='Standard cost - Testing'!$F$1,INDEX('Standard cost - Testing'!$A$1:$N$497,MATCH(RIGHT($C153,4),'Standard cost - Testing'!$A$1:$A$497,0),6),INDEX('Standard cost - Testing'!$A$1:$N$497,MATCH(RIGHT($C153,4),'Standard cost - Testing'!$A$1:$A$497,0),7))</f>
        <v>CETP_09.01-L-900</v>
      </c>
      <c r="H153" s="46"/>
      <c r="I153" s="46"/>
      <c r="J153" s="46"/>
      <c r="K153" s="46"/>
      <c r="L153" s="46"/>
      <c r="M153" s="33">
        <f t="shared" si="196"/>
        <v>0</v>
      </c>
      <c r="N153" s="157">
        <f>IF(E153="","",IF(ISERROR(INDEX('Standard cost - Testing'!$A$1:$N$497,MATCH(RIGHT($C153,4),'Standard cost - Testing'!$A$1:$A$497,0),MATCH($E153,'Standard cost - Testing'!$K$1:$N$1,0)+10)),"NA",INDEX('Standard cost - Testing'!$A$1:$N$497,MATCH(RIGHT($C153,4),'Standard cost - Testing'!$A$1:$A$497,0),MATCH($E153,'Standard cost - Testing'!$K$1:$N$1,0)+10)))</f>
        <v>21390</v>
      </c>
      <c r="O153" s="45">
        <f>IF(OR(ISERROR($N153),$N153="",$N153="NA"),0,H153*$N153)*(1+INDEX('For Finance Control'!$B$27:$E$29,2,MATCH('Project information'!$A$4,'For Finance Control'!$B$27:$E$27,0)))</f>
        <v>0</v>
      </c>
      <c r="P153" s="45">
        <f>IF(OR(ISERROR($N153),$N153="",$N153="NA"),0,I153*$N153)*(1+INDEX('For Finance Control'!$B$27:$E$29,2,MATCH('Project information'!$A$4,'For Finance Control'!$B$27:$E$27,0)))</f>
        <v>0</v>
      </c>
      <c r="Q153" s="45">
        <f>IF(OR(ISERROR($N153),$N153="",$N153="NA"),0,J153*$N153)*(1+INDEX('For Finance Control'!$B$27:$E$29,2,MATCH('Project information'!$A$4,'For Finance Control'!$B$27:$E$27,0)))</f>
        <v>0</v>
      </c>
      <c r="R153" s="45">
        <f>IF(OR(ISERROR($N153),$N153="",$N153="NA"),0,K153*$N153)*(1+INDEX('For Finance Control'!$B$27:$E$29,2,MATCH('Project information'!$A$4,'For Finance Control'!$B$27:$E$27,0)))</f>
        <v>0</v>
      </c>
      <c r="S153" s="45">
        <f>IF(OR(ISERROR($N153),$N153="",$N153="NA"),0,L153*$N153)*(1+INDEX('For Finance Control'!$B$27:$E$29,2,MATCH('Project information'!$A$4,'For Finance Control'!$B$27:$E$27,0)))</f>
        <v>0</v>
      </c>
      <c r="T153" s="45">
        <f t="shared" si="197"/>
        <v>0</v>
      </c>
      <c r="U153" s="33" cm="1">
        <f t="array" ref="U153">IF($N153="NA","NA",$N153*INDEX('Exchange rate'!$A$1:$G$7,MATCH('Project information'!$A$13,'Exchange rate'!$A$1:$A$7,0),MATCH(LOOKUP(2,1/({"China";"Korea";"India";"Japan";"EUR";"NAO"}=$E153),{"CNY";"KRW";"INR";"JPY";"EUR";"USD"}),'Exchange rate'!$A$1:$G$1,0)))</f>
        <v>21390</v>
      </c>
      <c r="V153" s="33">
        <f t="shared" si="198"/>
        <v>0</v>
      </c>
      <c r="W153" s="33">
        <f t="shared" si="199"/>
        <v>0</v>
      </c>
      <c r="X153" s="33">
        <f t="shared" si="200"/>
        <v>0</v>
      </c>
      <c r="Y153" s="33">
        <f t="shared" si="201"/>
        <v>0</v>
      </c>
      <c r="Z153" s="33">
        <f t="shared" si="202"/>
        <v>0</v>
      </c>
      <c r="AA153" s="33">
        <f t="shared" si="205"/>
        <v>0</v>
      </c>
      <c r="AB153" s="246"/>
      <c r="AC153" s="247"/>
      <c r="AZ153" s="148" t="str">
        <f t="shared" si="206"/>
        <v>5.31</v>
      </c>
      <c r="BA153" s="149" t="s">
        <v>311</v>
      </c>
    </row>
    <row r="154" spans="1:53" ht="25" outlineLevel="1">
      <c r="A154" s="148" t="str">
        <f t="shared" si="204"/>
        <v>5.32</v>
      </c>
      <c r="B154" s="148" t="str">
        <f>INDEX('Standard cost - Testing'!$A$1:$N$497,MATCH(RIGHT($C154,4),'Standard cost - Testing'!$A$1:$A$497,0),3)</f>
        <v>LVE</v>
      </c>
      <c r="C154" s="149" t="str">
        <f>'Standard cost - Testing'!B33&amp;" - "&amp;'Standard cost - Testing'!A33</f>
        <v>Acoustic - A032</v>
      </c>
      <c r="D154" s="150" t="str">
        <f>IF(RIGHT(INDEX('Standard cost - Testing'!$A$1:$N$497,MATCH(RIGHT($C154,4),'Standard cost - Testing'!$A$1:$A$497,0),4),1)="]",INDEX('Standard cost - Testing'!$A$1:$N$497,MATCH(RIGHT($C154,4),'Standard cost - Testing'!$A$1:$A$497,0),4),IF(INDEX('Standard cost - Testing'!$A$1:$N$497,MATCH(RIGHT($C154,4),'Standard cost - Testing'!$A$1:$A$497,0),10)=1,INDEX('Standard cost - Testing'!$A$1:$N$497,MATCH(RIGHT($C154,4),'Standard cost - Testing'!$A$1:$A$497,0),4)&amp;" [1 part]",INDEX('Standard cost - Testing'!$A$1:$N$497,MATCH(RIGHT($C154,4),'Standard cost - Testing'!$A$1:$A$497,0),4)&amp;" ["&amp;INDEX('Standard cost - Testing'!$A$1:$N$497,MATCH(RIGHT($C154,4),'Standard cost - Testing'!$A$1:$A$497,0),10)&amp;" parts]"))</f>
        <v>Full exhaust condensate frozen test [1 part]</v>
      </c>
      <c r="E154" s="51" t="str">
        <f>IF('Project information'!$A$4="","",'Project information'!$A$4)</f>
        <v>China</v>
      </c>
      <c r="F154" s="149" t="str">
        <f>INDEX('Standard cost - Testing'!$A$1:$N$497,MATCH(RIGHT($C154,4),'Standard cost - Testing'!$A$1:$A$497,0),5)</f>
        <v>HMC</v>
      </c>
      <c r="G154" s="149">
        <f>IF($E154='Standard cost - Testing'!$F$1,INDEX('Standard cost - Testing'!$A$1:$N$497,MATCH(RIGHT($C154,4),'Standard cost - Testing'!$A$1:$A$497,0),6),INDEX('Standard cost - Testing'!$A$1:$N$497,MATCH(RIGHT($C154,4),'Standard cost - Testing'!$A$1:$A$497,0),7))</f>
        <v>0</v>
      </c>
      <c r="H154" s="46"/>
      <c r="I154" s="46"/>
      <c r="J154" s="46"/>
      <c r="K154" s="46"/>
      <c r="L154" s="46"/>
      <c r="M154" s="33">
        <f t="shared" si="196"/>
        <v>0</v>
      </c>
      <c r="N154" s="157" t="str">
        <f>IF(E154="","",IF(ISERROR(INDEX('Standard cost - Testing'!$A$1:$N$497,MATCH(RIGHT($C154,4),'Standard cost - Testing'!$A$1:$A$497,0),MATCH($E154,'Standard cost - Testing'!$K$1:$N$1,0)+10)),"NA",INDEX('Standard cost - Testing'!$A$1:$N$497,MATCH(RIGHT($C154,4),'Standard cost - Testing'!$A$1:$A$497,0),MATCH($E154,'Standard cost - Testing'!$K$1:$N$1,0)+10)))</f>
        <v>NA</v>
      </c>
      <c r="O154" s="45">
        <f>IF(OR(ISERROR($N154),$N154="",$N154="NA"),0,H154*$N154)*(1+INDEX('For Finance Control'!$B$27:$E$29,2,MATCH('Project information'!$A$4,'For Finance Control'!$B$27:$E$27,0)))</f>
        <v>0</v>
      </c>
      <c r="P154" s="45">
        <f>IF(OR(ISERROR($N154),$N154="",$N154="NA"),0,I154*$N154)*(1+INDEX('For Finance Control'!$B$27:$E$29,2,MATCH('Project information'!$A$4,'For Finance Control'!$B$27:$E$27,0)))</f>
        <v>0</v>
      </c>
      <c r="Q154" s="45">
        <f>IF(OR(ISERROR($N154),$N154="",$N154="NA"),0,J154*$N154)*(1+INDEX('For Finance Control'!$B$27:$E$29,2,MATCH('Project information'!$A$4,'For Finance Control'!$B$27:$E$27,0)))</f>
        <v>0</v>
      </c>
      <c r="R154" s="45">
        <f>IF(OR(ISERROR($N154),$N154="",$N154="NA"),0,K154*$N154)*(1+INDEX('For Finance Control'!$B$27:$E$29,2,MATCH('Project information'!$A$4,'For Finance Control'!$B$27:$E$27,0)))</f>
        <v>0</v>
      </c>
      <c r="S154" s="45">
        <f>IF(OR(ISERROR($N154),$N154="",$N154="NA"),0,L154*$N154)*(1+INDEX('For Finance Control'!$B$27:$E$29,2,MATCH('Project information'!$A$4,'For Finance Control'!$B$27:$E$27,0)))</f>
        <v>0</v>
      </c>
      <c r="T154" s="45">
        <f t="shared" si="197"/>
        <v>0</v>
      </c>
      <c r="U154" s="33" t="str" cm="1">
        <f t="array" ref="U154">IF($N154="NA","NA",$N154*INDEX('Exchange rate'!$A$1:$G$7,MATCH('Project information'!$A$13,'Exchange rate'!$A$1:$A$7,0),MATCH(LOOKUP(2,1/({"China";"Korea";"India";"Japan";"EUR";"NAO"}=$E154),{"CNY";"KRW";"INR";"JPY";"EUR";"USD"}),'Exchange rate'!$A$1:$G$1,0)))</f>
        <v>NA</v>
      </c>
      <c r="V154" s="33">
        <f t="shared" si="198"/>
        <v>0</v>
      </c>
      <c r="W154" s="33">
        <f t="shared" si="199"/>
        <v>0</v>
      </c>
      <c r="X154" s="33">
        <f t="shared" si="200"/>
        <v>0</v>
      </c>
      <c r="Y154" s="33">
        <f t="shared" si="201"/>
        <v>0</v>
      </c>
      <c r="Z154" s="33">
        <f t="shared" si="202"/>
        <v>0</v>
      </c>
      <c r="AA154" s="33">
        <f t="shared" si="205"/>
        <v>0</v>
      </c>
      <c r="AB154" s="246"/>
      <c r="AC154" s="247"/>
      <c r="AZ154" s="148" t="str">
        <f t="shared" si="206"/>
        <v>5.32</v>
      </c>
      <c r="BA154" s="149" t="s">
        <v>101</v>
      </c>
    </row>
    <row r="155" spans="1:53" outlineLevel="1">
      <c r="A155" s="148" t="str">
        <f t="shared" si="204"/>
        <v>5.33</v>
      </c>
      <c r="B155" s="148" t="str">
        <f>INDEX('Standard cost - Testing'!$A$1:$N$497,MATCH(RIGHT($C155,4),'Standard cost - Testing'!$A$1:$A$497,0),3)</f>
        <v>LVE</v>
      </c>
      <c r="C155" s="149" t="str">
        <f>'Standard cost - Testing'!B34&amp;" - "&amp;'Standard cost - Testing'!A34</f>
        <v>Acoustic - A033</v>
      </c>
      <c r="D155" s="150" t="str">
        <f>IF(RIGHT(INDEX('Standard cost - Testing'!$A$1:$N$497,MATCH(RIGHT($C155,4),'Standard cost - Testing'!$A$1:$A$497,0),4),1)="]",INDEX('Standard cost - Testing'!$A$1:$N$497,MATCH(RIGHT($C155,4),'Standard cost - Testing'!$A$1:$A$497,0),4),IF(INDEX('Standard cost - Testing'!$A$1:$N$497,MATCH(RIGHT($C155,4),'Standard cost - Testing'!$A$1:$A$497,0),10)=1,INDEX('Standard cost - Testing'!$A$1:$N$497,MATCH(RIGHT($C155,4),'Standard cost - Testing'!$A$1:$A$497,0),4)&amp;" [1 part]",INDEX('Standard cost - Testing'!$A$1:$N$497,MATCH(RIGHT($C155,4),'Standard cost - Testing'!$A$1:$A$497,0),4)&amp;" ["&amp;INDEX('Standard cost - Testing'!$A$1:$N$497,MATCH(RIGHT($C155,4),'Standard cost - Testing'!$A$1:$A$497,0),10)&amp;" parts]"))</f>
        <v>Exhaust Pressure [1 part]</v>
      </c>
      <c r="E155" s="51" t="str">
        <f>IF('Project information'!$A$4="","",'Project information'!$A$4)</f>
        <v>China</v>
      </c>
      <c r="F155" s="149" t="str">
        <f>INDEX('Standard cost - Testing'!$A$1:$N$497,MATCH(RIGHT($C155,4),'Standard cost - Testing'!$A$1:$A$497,0),5)</f>
        <v>Nissan</v>
      </c>
      <c r="G155" s="149" t="str">
        <f>IF($E155='Standard cost - Testing'!$F$1,INDEX('Standard cost - Testing'!$A$1:$N$497,MATCH(RIGHT($C155,4),'Standard cost - Testing'!$A$1:$A$497,0),6),INDEX('Standard cost - Testing'!$A$1:$N$497,MATCH(RIGHT($C155,4),'Standard cost - Testing'!$A$1:$A$497,0),7))</f>
        <v>E_20000NDS01_10 3.3.1</v>
      </c>
      <c r="H155" s="46"/>
      <c r="I155" s="46"/>
      <c r="J155" s="46"/>
      <c r="K155" s="46"/>
      <c r="L155" s="46"/>
      <c r="M155" s="33">
        <f t="shared" si="196"/>
        <v>0</v>
      </c>
      <c r="N155" s="157">
        <f>IF(E155="","",IF(ISERROR(INDEX('Standard cost - Testing'!$A$1:$N$497,MATCH(RIGHT($C155,4),'Standard cost - Testing'!$A$1:$A$497,0),MATCH($E155,'Standard cost - Testing'!$K$1:$N$1,0)+10)),"NA",INDEX('Standard cost - Testing'!$A$1:$N$497,MATCH(RIGHT($C155,4),'Standard cost - Testing'!$A$1:$A$497,0),MATCH($E155,'Standard cost - Testing'!$K$1:$N$1,0)+10)))</f>
        <v>9170</v>
      </c>
      <c r="O155" s="45">
        <f>IF(OR(ISERROR($N155),$N155="",$N155="NA"),0,H155*$N155)*(1+INDEX('For Finance Control'!$B$27:$E$29,2,MATCH('Project information'!$A$4,'For Finance Control'!$B$27:$E$27,0)))</f>
        <v>0</v>
      </c>
      <c r="P155" s="45">
        <f>IF(OR(ISERROR($N155),$N155="",$N155="NA"),0,I155*$N155)*(1+INDEX('For Finance Control'!$B$27:$E$29,2,MATCH('Project information'!$A$4,'For Finance Control'!$B$27:$E$27,0)))</f>
        <v>0</v>
      </c>
      <c r="Q155" s="45">
        <f>IF(OR(ISERROR($N155),$N155="",$N155="NA"),0,J155*$N155)*(1+INDEX('For Finance Control'!$B$27:$E$29,2,MATCH('Project information'!$A$4,'For Finance Control'!$B$27:$E$27,0)))</f>
        <v>0</v>
      </c>
      <c r="R155" s="45">
        <f>IF(OR(ISERROR($N155),$N155="",$N155="NA"),0,K155*$N155)*(1+INDEX('For Finance Control'!$B$27:$E$29,2,MATCH('Project information'!$A$4,'For Finance Control'!$B$27:$E$27,0)))</f>
        <v>0</v>
      </c>
      <c r="S155" s="45">
        <f>IF(OR(ISERROR($N155),$N155="",$N155="NA"),0,L155*$N155)*(1+INDEX('For Finance Control'!$B$27:$E$29,2,MATCH('Project information'!$A$4,'For Finance Control'!$B$27:$E$27,0)))</f>
        <v>0</v>
      </c>
      <c r="T155" s="45">
        <f t="shared" si="197"/>
        <v>0</v>
      </c>
      <c r="U155" s="33" cm="1">
        <f t="array" ref="U155">IF($N155="NA","NA",$N155*INDEX('Exchange rate'!$A$1:$G$7,MATCH('Project information'!$A$13,'Exchange rate'!$A$1:$A$7,0),MATCH(LOOKUP(2,1/({"China";"Korea";"India";"Japan";"EUR";"NAO"}=$E155),{"CNY";"KRW";"INR";"JPY";"EUR";"USD"}),'Exchange rate'!$A$1:$G$1,0)))</f>
        <v>9170</v>
      </c>
      <c r="V155" s="33">
        <f t="shared" si="198"/>
        <v>0</v>
      </c>
      <c r="W155" s="33">
        <f t="shared" si="199"/>
        <v>0</v>
      </c>
      <c r="X155" s="33">
        <f t="shared" si="200"/>
        <v>0</v>
      </c>
      <c r="Y155" s="33">
        <f t="shared" si="201"/>
        <v>0</v>
      </c>
      <c r="Z155" s="33">
        <f t="shared" si="202"/>
        <v>0</v>
      </c>
      <c r="AA155" s="33">
        <f t="shared" si="205"/>
        <v>0</v>
      </c>
      <c r="AB155" s="246"/>
      <c r="AC155" s="247"/>
      <c r="AZ155" s="148" t="str">
        <f t="shared" si="206"/>
        <v>5.33</v>
      </c>
      <c r="BA155" s="149" t="s">
        <v>321</v>
      </c>
    </row>
    <row r="156" spans="1:53" outlineLevel="1">
      <c r="A156" s="148" t="str">
        <f t="shared" si="204"/>
        <v>5.34</v>
      </c>
      <c r="B156" s="148" t="str">
        <f>INDEX('Standard cost - Testing'!$A$1:$N$497,MATCH(RIGHT($C156,4),'Standard cost - Testing'!$A$1:$A$497,0),3)</f>
        <v>LVE</v>
      </c>
      <c r="C156" s="149" t="str">
        <f>'Standard cost - Testing'!B35&amp;" - "&amp;'Standard cost - Testing'!A35</f>
        <v>Acoustic - A034</v>
      </c>
      <c r="D156" s="150" t="str">
        <f>IF(RIGHT(INDEX('Standard cost - Testing'!$A$1:$N$497,MATCH(RIGHT($C156,4),'Standard cost - Testing'!$A$1:$A$497,0),4),1)="]",INDEX('Standard cost - Testing'!$A$1:$N$497,MATCH(RIGHT($C156,4),'Standard cost - Testing'!$A$1:$A$497,0),4),IF(INDEX('Standard cost - Testing'!$A$1:$N$497,MATCH(RIGHT($C156,4),'Standard cost - Testing'!$A$1:$A$497,0),10)=1,INDEX('Standard cost - Testing'!$A$1:$N$497,MATCH(RIGHT($C156,4),'Standard cost - Testing'!$A$1:$A$497,0),4)&amp;" [1 part]",INDEX('Standard cost - Testing'!$A$1:$N$497,MATCH(RIGHT($C156,4),'Standard cost - Testing'!$A$1:$A$497,0),4)&amp;" ["&amp;INDEX('Standard cost - Testing'!$A$1:$N$497,MATCH(RIGHT($C156,4),'Standard cost - Testing'!$A$1:$A$497,0),10)&amp;" parts]"))</f>
        <v>Exhaust Pressure [1 part]</v>
      </c>
      <c r="E156" s="51" t="str">
        <f>IF('Project information'!$A$4="","",'Project information'!$A$4)</f>
        <v>China</v>
      </c>
      <c r="F156" s="149" t="str">
        <f>INDEX('Standard cost - Testing'!$A$1:$N$497,MATCH(RIGHT($C156,4),'Standard cost - Testing'!$A$1:$A$497,0),5)</f>
        <v>Nissan</v>
      </c>
      <c r="G156" s="149" t="str">
        <f>IF($E156='Standard cost - Testing'!$F$1,INDEX('Standard cost - Testing'!$A$1:$N$497,MATCH(RIGHT($C156,4),'Standard cost - Testing'!$A$1:$A$497,0),6),INDEX('Standard cost - Testing'!$A$1:$N$497,MATCH(RIGHT($C156,4),'Standard cost - Testing'!$A$1:$A$497,0),7))</f>
        <v>E_20000NDS01_10 3.3.2</v>
      </c>
      <c r="H156" s="46"/>
      <c r="I156" s="46"/>
      <c r="J156" s="46"/>
      <c r="K156" s="46"/>
      <c r="L156" s="46"/>
      <c r="M156" s="33">
        <f t="shared" si="196"/>
        <v>0</v>
      </c>
      <c r="N156" s="157">
        <f>IF(E156="","",IF(ISERROR(INDEX('Standard cost - Testing'!$A$1:$N$497,MATCH(RIGHT($C156,4),'Standard cost - Testing'!$A$1:$A$497,0),MATCH($E156,'Standard cost - Testing'!$K$1:$N$1,0)+10)),"NA",INDEX('Standard cost - Testing'!$A$1:$N$497,MATCH(RIGHT($C156,4),'Standard cost - Testing'!$A$1:$A$497,0),MATCH($E156,'Standard cost - Testing'!$K$1:$N$1,0)+10)))</f>
        <v>25760</v>
      </c>
      <c r="O156" s="45">
        <f>IF(OR(ISERROR($N156),$N156="",$N156="NA"),0,H156*$N156)*(1+INDEX('For Finance Control'!$B$27:$E$29,2,MATCH('Project information'!$A$4,'For Finance Control'!$B$27:$E$27,0)))</f>
        <v>0</v>
      </c>
      <c r="P156" s="45">
        <f>IF(OR(ISERROR($N156),$N156="",$N156="NA"),0,I156*$N156)*(1+INDEX('For Finance Control'!$B$27:$E$29,2,MATCH('Project information'!$A$4,'For Finance Control'!$B$27:$E$27,0)))</f>
        <v>0</v>
      </c>
      <c r="Q156" s="45">
        <f>IF(OR(ISERROR($N156),$N156="",$N156="NA"),0,J156*$N156)*(1+INDEX('For Finance Control'!$B$27:$E$29,2,MATCH('Project information'!$A$4,'For Finance Control'!$B$27:$E$27,0)))</f>
        <v>0</v>
      </c>
      <c r="R156" s="45">
        <f>IF(OR(ISERROR($N156),$N156="",$N156="NA"),0,K156*$N156)*(1+INDEX('For Finance Control'!$B$27:$E$29,2,MATCH('Project information'!$A$4,'For Finance Control'!$B$27:$E$27,0)))</f>
        <v>0</v>
      </c>
      <c r="S156" s="45">
        <f>IF(OR(ISERROR($N156),$N156="",$N156="NA"),0,L156*$N156)*(1+INDEX('For Finance Control'!$B$27:$E$29,2,MATCH('Project information'!$A$4,'For Finance Control'!$B$27:$E$27,0)))</f>
        <v>0</v>
      </c>
      <c r="T156" s="45">
        <f t="shared" si="197"/>
        <v>0</v>
      </c>
      <c r="U156" s="33" cm="1">
        <f t="array" ref="U156">IF($N156="NA","NA",$N156*INDEX('Exchange rate'!$A$1:$G$7,MATCH('Project information'!$A$13,'Exchange rate'!$A$1:$A$7,0),MATCH(LOOKUP(2,1/({"China";"Korea";"India";"Japan";"EUR";"NAO"}=$E156),{"CNY";"KRW";"INR";"JPY";"EUR";"USD"}),'Exchange rate'!$A$1:$G$1,0)))</f>
        <v>25760</v>
      </c>
      <c r="V156" s="33">
        <f t="shared" si="198"/>
        <v>0</v>
      </c>
      <c r="W156" s="33">
        <f t="shared" si="199"/>
        <v>0</v>
      </c>
      <c r="X156" s="33">
        <f t="shared" si="200"/>
        <v>0</v>
      </c>
      <c r="Y156" s="33">
        <f t="shared" si="201"/>
        <v>0</v>
      </c>
      <c r="Z156" s="33">
        <f t="shared" si="202"/>
        <v>0</v>
      </c>
      <c r="AA156" s="33">
        <f t="shared" si="205"/>
        <v>0</v>
      </c>
      <c r="AB156" s="246"/>
      <c r="AC156" s="247"/>
      <c r="AZ156" s="148" t="str">
        <f t="shared" si="206"/>
        <v>5.34</v>
      </c>
      <c r="BA156" s="149" t="s">
        <v>322</v>
      </c>
    </row>
    <row r="157" spans="1:53" outlineLevel="1">
      <c r="A157" s="148" t="str">
        <f t="shared" si="204"/>
        <v>5.35</v>
      </c>
      <c r="B157" s="148" t="str">
        <f>INDEX('Standard cost - Testing'!$A$1:$N$497,MATCH(RIGHT($C157,4),'Standard cost - Testing'!$A$1:$A$497,0),3)</f>
        <v>LVE</v>
      </c>
      <c r="C157" s="149" t="str">
        <f>'Standard cost - Testing'!B36&amp;" - "&amp;'Standard cost - Testing'!A36</f>
        <v>Acoustic - A035</v>
      </c>
      <c r="D157" s="150" t="str">
        <f>IF(RIGHT(INDEX('Standard cost - Testing'!$A$1:$N$497,MATCH(RIGHT($C157,4),'Standard cost - Testing'!$A$1:$A$497,0),4),1)="]",INDEX('Standard cost - Testing'!$A$1:$N$497,MATCH(RIGHT($C157,4),'Standard cost - Testing'!$A$1:$A$497,0),4),IF(INDEX('Standard cost - Testing'!$A$1:$N$497,MATCH(RIGHT($C157,4),'Standard cost - Testing'!$A$1:$A$497,0),10)=1,INDEX('Standard cost - Testing'!$A$1:$N$497,MATCH(RIGHT($C157,4),'Standard cost - Testing'!$A$1:$A$497,0),4)&amp;" [1 part]",INDEX('Standard cost - Testing'!$A$1:$N$497,MATCH(RIGHT($C157,4),'Standard cost - Testing'!$A$1:$A$497,0),4)&amp;" ["&amp;INDEX('Standard cost - Testing'!$A$1:$N$497,MATCH(RIGHT($C157,4),'Standard cost - Testing'!$A$1:$A$497,0),10)&amp;" parts]"))</f>
        <v>Exhaust noise test for Vehicle [1 part]</v>
      </c>
      <c r="E157" s="51" t="str">
        <f>IF('Project information'!$A$4="","",'Project information'!$A$4)</f>
        <v>China</v>
      </c>
      <c r="F157" s="149" t="str">
        <f>INDEX('Standard cost - Testing'!$A$1:$N$497,MATCH(RIGHT($C157,4),'Standard cost - Testing'!$A$1:$A$497,0),5)</f>
        <v>HMC</v>
      </c>
      <c r="G157" s="149">
        <f>IF($E157='Standard cost - Testing'!$F$1,INDEX('Standard cost - Testing'!$A$1:$N$497,MATCH(RIGHT($C157,4),'Standard cost - Testing'!$A$1:$A$497,0),6),INDEX('Standard cost - Testing'!$A$1:$N$497,MATCH(RIGHT($C157,4),'Standard cost - Testing'!$A$1:$A$497,0),7))</f>
        <v>0</v>
      </c>
      <c r="H157" s="46"/>
      <c r="I157" s="46"/>
      <c r="J157" s="46"/>
      <c r="K157" s="46"/>
      <c r="L157" s="46"/>
      <c r="M157" s="33">
        <f t="shared" ref="M157" si="215">SUM(H157:L157)</f>
        <v>0</v>
      </c>
      <c r="N157" s="157" t="str">
        <f>IF(E157="","",IF(ISERROR(INDEX('Standard cost - Testing'!$A$1:$N$497,MATCH(RIGHT($C157,4),'Standard cost - Testing'!$A$1:$A$497,0),MATCH($E157,'Standard cost - Testing'!$K$1:$N$1,0)+10)),"NA",INDEX('Standard cost - Testing'!$A$1:$N$497,MATCH(RIGHT($C157,4),'Standard cost - Testing'!$A$1:$A$497,0),MATCH($E157,'Standard cost - Testing'!$K$1:$N$1,0)+10)))</f>
        <v>NA</v>
      </c>
      <c r="O157" s="45">
        <f>IF(OR(ISERROR($N157),$N157="",$N157="NA"),0,H157*$N157)*(1+INDEX('For Finance Control'!$B$27:$E$29,2,MATCH('Project information'!$A$4,'For Finance Control'!$B$27:$E$27,0)))</f>
        <v>0</v>
      </c>
      <c r="P157" s="45">
        <f>IF(OR(ISERROR($N157),$N157="",$N157="NA"),0,I157*$N157)*(1+INDEX('For Finance Control'!$B$27:$E$29,2,MATCH('Project information'!$A$4,'For Finance Control'!$B$27:$E$27,0)))</f>
        <v>0</v>
      </c>
      <c r="Q157" s="45">
        <f>IF(OR(ISERROR($N157),$N157="",$N157="NA"),0,J157*$N157)*(1+INDEX('For Finance Control'!$B$27:$E$29,2,MATCH('Project information'!$A$4,'For Finance Control'!$B$27:$E$27,0)))</f>
        <v>0</v>
      </c>
      <c r="R157" s="45">
        <f>IF(OR(ISERROR($N157),$N157="",$N157="NA"),0,K157*$N157)*(1+INDEX('For Finance Control'!$B$27:$E$29,2,MATCH('Project information'!$A$4,'For Finance Control'!$B$27:$E$27,0)))</f>
        <v>0</v>
      </c>
      <c r="S157" s="45">
        <f>IF(OR(ISERROR($N157),$N157="",$N157="NA"),0,L157*$N157)*(1+INDEX('For Finance Control'!$B$27:$E$29,2,MATCH('Project information'!$A$4,'For Finance Control'!$B$27:$E$27,0)))</f>
        <v>0</v>
      </c>
      <c r="T157" s="45">
        <f t="shared" ref="T157" si="216">SUM(O157:S157)</f>
        <v>0</v>
      </c>
      <c r="U157" s="33" t="str" cm="1">
        <f t="array" ref="U157">IF($N157="NA","NA",$N157*INDEX('Exchange rate'!$A$1:$G$7,MATCH('Project information'!$A$13,'Exchange rate'!$A$1:$A$7,0),MATCH(LOOKUP(2,1/({"China";"Korea";"India";"Japan";"EUR";"NAO"}=$E157),{"CNY";"KRW";"INR";"JPY";"EUR";"USD"}),'Exchange rate'!$A$1:$G$1,0)))</f>
        <v>NA</v>
      </c>
      <c r="V157" s="33">
        <f t="shared" ref="V157" si="217">IF(OR(ISERROR($U157),$U157="",$U157="NA"),0,H157*$U157)</f>
        <v>0</v>
      </c>
      <c r="W157" s="33">
        <f t="shared" ref="W157" si="218">IF(OR(ISERROR($U157),$U157="",$U157="NA"),0,I157*$U157)</f>
        <v>0</v>
      </c>
      <c r="X157" s="33">
        <f t="shared" ref="X157" si="219">IF(OR(ISERROR($U157),$U157="",$U157="NA"),0,J157*$U157)</f>
        <v>0</v>
      </c>
      <c r="Y157" s="33">
        <f t="shared" ref="Y157" si="220">IF(OR(ISERROR($U157),$U157="",$U157="NA"),0,K157*$U157)</f>
        <v>0</v>
      </c>
      <c r="Z157" s="33">
        <f t="shared" ref="Z157" si="221">IF(OR(ISERROR($U157),$U157="",$U157="NA"),0,L157*$U157)</f>
        <v>0</v>
      </c>
      <c r="AA157" s="33">
        <f t="shared" ref="AA157" si="222">SUM(V157:Z157)</f>
        <v>0</v>
      </c>
      <c r="AB157" s="246"/>
      <c r="AC157" s="247"/>
      <c r="AZ157" s="148" t="str">
        <f t="shared" si="206"/>
        <v>5.35</v>
      </c>
      <c r="BA157" s="149" t="s">
        <v>322</v>
      </c>
    </row>
    <row r="158" spans="1:53" ht="25" outlineLevel="1">
      <c r="A158" s="148" t="str">
        <f t="shared" si="204"/>
        <v>5.36</v>
      </c>
      <c r="B158" s="148" t="str">
        <f>INDEX('Standard cost - Testing'!$A$1:$N$497,MATCH(RIGHT($C158,4),'Standard cost - Testing'!$A$1:$A$497,0),3)</f>
        <v>LVE</v>
      </c>
      <c r="C158" s="149" t="str">
        <f>'Standard cost - Testing'!B37&amp;" - "&amp;'Standard cost - Testing'!A37</f>
        <v>Cold flow &amp; TL - C001</v>
      </c>
      <c r="D158" s="150" t="str">
        <f>IF(RIGHT(INDEX('Standard cost - Testing'!$A$1:$N$497,MATCH(RIGHT($C158,4),'Standard cost - Testing'!$A$1:$A$497,0),4),1)="]",INDEX('Standard cost - Testing'!$A$1:$N$497,MATCH(RIGHT($C158,4),'Standard cost - Testing'!$A$1:$A$497,0),4),IF(INDEX('Standard cost - Testing'!$A$1:$N$497,MATCH(RIGHT($C158,4),'Standard cost - Testing'!$A$1:$A$497,0),10)=1,INDEX('Standard cost - Testing'!$A$1:$N$497,MATCH(RIGHT($C158,4),'Standard cost - Testing'!$A$1:$A$497,0),4)&amp;" [1 part]",INDEX('Standard cost - Testing'!$A$1:$N$497,MATCH(RIGHT($C158,4),'Standard cost - Testing'!$A$1:$A$497,0),4)&amp;" ["&amp;INDEX('Standard cost - Testing'!$A$1:$N$497,MATCH(RIGHT($C158,4),'Standard cost - Testing'!$A$1:$A$497,0),10)&amp;" parts]"))</f>
        <v>Transmission loss measurement with flow [1 part]</v>
      </c>
      <c r="E158" s="51" t="str">
        <f>IF('Project information'!$A$4="","",'Project information'!$A$4)</f>
        <v>China</v>
      </c>
      <c r="F158" s="149" t="str">
        <f>INDEX('Standard cost - Testing'!$A$1:$N$497,MATCH(RIGHT($C158,4),'Standard cost - Testing'!$A$1:$A$497,0),5)</f>
        <v>Faurecia</v>
      </c>
      <c r="G158" s="149" t="str">
        <f>IF($E158='Standard cost - Testing'!$F$1,INDEX('Standard cost - Testing'!$A$1:$N$497,MATCH(RIGHT($C158,4),'Standard cost - Testing'!$A$1:$A$497,0),6),INDEX('Standard cost - Testing'!$A$1:$N$497,MATCH(RIGHT($C158,4),'Standard cost - Testing'!$A$1:$A$497,0),7))</f>
        <v>CHD-I-DSE-2041</v>
      </c>
      <c r="H158" s="46"/>
      <c r="I158" s="46"/>
      <c r="J158" s="46"/>
      <c r="K158" s="46"/>
      <c r="L158" s="46"/>
      <c r="M158" s="33">
        <f t="shared" si="196"/>
        <v>0</v>
      </c>
      <c r="N158" s="157">
        <f>IF(E158="","",IF(ISERROR(INDEX('Standard cost - Testing'!$A$1:$N$497,MATCH(RIGHT($C158,4),'Standard cost - Testing'!$A$1:$A$497,0),MATCH($E158,'Standard cost - Testing'!$K$1:$N$1,0)+10)),"NA",INDEX('Standard cost - Testing'!$A$1:$N$497,MATCH(RIGHT($C158,4),'Standard cost - Testing'!$A$1:$A$497,0),MATCH($E158,'Standard cost - Testing'!$K$1:$N$1,0)+10)))</f>
        <v>2402.5</v>
      </c>
      <c r="O158" s="45">
        <f>IF(OR(ISERROR($N158),$N158="",$N158="NA"),0,H158*$N158)*(1+INDEX('For Finance Control'!$B$27:$E$29,2,MATCH('Project information'!$A$4,'For Finance Control'!$B$27:$E$27,0)))</f>
        <v>0</v>
      </c>
      <c r="P158" s="45">
        <f>IF(OR(ISERROR($N158),$N158="",$N158="NA"),0,I158*$N158)*(1+INDEX('For Finance Control'!$B$27:$E$29,2,MATCH('Project information'!$A$4,'For Finance Control'!$B$27:$E$27,0)))</f>
        <v>0</v>
      </c>
      <c r="Q158" s="45">
        <f>IF(OR(ISERROR($N158),$N158="",$N158="NA"),0,J158*$N158)*(1+INDEX('For Finance Control'!$B$27:$E$29,2,MATCH('Project information'!$A$4,'For Finance Control'!$B$27:$E$27,0)))</f>
        <v>0</v>
      </c>
      <c r="R158" s="45">
        <f>IF(OR(ISERROR($N158),$N158="",$N158="NA"),0,K158*$N158)*(1+INDEX('For Finance Control'!$B$27:$E$29,2,MATCH('Project information'!$A$4,'For Finance Control'!$B$27:$E$27,0)))</f>
        <v>0</v>
      </c>
      <c r="S158" s="45">
        <f>IF(OR(ISERROR($N158),$N158="",$N158="NA"),0,L158*$N158)*(1+INDEX('For Finance Control'!$B$27:$E$29,2,MATCH('Project information'!$A$4,'For Finance Control'!$B$27:$E$27,0)))</f>
        <v>0</v>
      </c>
      <c r="T158" s="45">
        <f t="shared" si="197"/>
        <v>0</v>
      </c>
      <c r="U158" s="33" cm="1">
        <f t="array" ref="U158">IF($N158="NA","NA",$N158*INDEX('Exchange rate'!$A$1:$G$7,MATCH('Project information'!$A$13,'Exchange rate'!$A$1:$A$7,0),MATCH(LOOKUP(2,1/({"China";"Korea";"India";"Japan";"EUR";"NAO"}=$E158),{"CNY";"KRW";"INR";"JPY";"EUR";"USD"}),'Exchange rate'!$A$1:$G$1,0)))</f>
        <v>2402.5</v>
      </c>
      <c r="V158" s="33">
        <f t="shared" si="198"/>
        <v>0</v>
      </c>
      <c r="W158" s="33">
        <f t="shared" si="199"/>
        <v>0</v>
      </c>
      <c r="X158" s="33">
        <f t="shared" si="200"/>
        <v>0</v>
      </c>
      <c r="Y158" s="33">
        <f t="shared" si="201"/>
        <v>0</v>
      </c>
      <c r="Z158" s="33">
        <f t="shared" si="202"/>
        <v>0</v>
      </c>
      <c r="AA158" s="33">
        <f t="shared" si="205"/>
        <v>0</v>
      </c>
      <c r="AB158" s="246"/>
      <c r="AC158" s="247"/>
      <c r="AZ158" s="148" t="str">
        <f t="shared" si="206"/>
        <v>5.36</v>
      </c>
      <c r="BA158" s="149" t="s">
        <v>323</v>
      </c>
    </row>
    <row r="159" spans="1:53" ht="25" outlineLevel="1">
      <c r="A159" s="148" t="str">
        <f t="shared" si="204"/>
        <v>5.37</v>
      </c>
      <c r="B159" s="148" t="str">
        <f>INDEX('Standard cost - Testing'!$A$1:$N$497,MATCH(RIGHT($C159,4),'Standard cost - Testing'!$A$1:$A$497,0),3)</f>
        <v>Common</v>
      </c>
      <c r="C159" s="149" t="str">
        <f>'Standard cost - Testing'!B38&amp;" - "&amp;'Standard cost - Testing'!A38</f>
        <v>Cold flow &amp; TL - C002</v>
      </c>
      <c r="D159" s="150" t="str">
        <f>IF(RIGHT(INDEX('Standard cost - Testing'!$A$1:$N$497,MATCH(RIGHT($C159,4),'Standard cost - Testing'!$A$1:$A$497,0),4),1)="]",INDEX('Standard cost - Testing'!$A$1:$N$497,MATCH(RIGHT($C159,4),'Standard cost - Testing'!$A$1:$A$497,0),4),IF(INDEX('Standard cost - Testing'!$A$1:$N$497,MATCH(RIGHT($C159,4),'Standard cost - Testing'!$A$1:$A$497,0),10)=1,INDEX('Standard cost - Testing'!$A$1:$N$497,MATCH(RIGHT($C159,4),'Standard cost - Testing'!$A$1:$A$497,0),4)&amp;" [1 part]",INDEX('Standard cost - Testing'!$A$1:$N$497,MATCH(RIGHT($C159,4),'Standard cost - Testing'!$A$1:$A$497,0),4)&amp;" ["&amp;INDEX('Standard cost - Testing'!$A$1:$N$497,MATCH(RIGHT($C159,4),'Standard cost - Testing'!$A$1:$A$497,0),10)&amp;" parts]"))</f>
        <v>Equivalent section measurement [1 part]</v>
      </c>
      <c r="E159" s="51" t="str">
        <f>IF('Project information'!$A$4="","",'Project information'!$A$4)</f>
        <v>China</v>
      </c>
      <c r="F159" s="149" t="str">
        <f>INDEX('Standard cost - Testing'!$A$1:$N$497,MATCH(RIGHT($C159,4),'Standard cost - Testing'!$A$1:$A$497,0),5)</f>
        <v>Faurecia</v>
      </c>
      <c r="G159" s="149" t="str">
        <f>IF($E159='Standard cost - Testing'!$F$1,INDEX('Standard cost - Testing'!$A$1:$N$497,MATCH(RIGHT($C159,4),'Standard cost - Testing'!$A$1:$A$497,0),6),INDEX('Standard cost - Testing'!$A$1:$N$497,MATCH(RIGHT($C159,4),'Standard cost - Testing'!$A$1:$A$497,0),7))</f>
        <v>CHD-I-DSE-2010</v>
      </c>
      <c r="H159" s="46"/>
      <c r="I159" s="46"/>
      <c r="J159" s="46"/>
      <c r="K159" s="46"/>
      <c r="L159" s="46"/>
      <c r="M159" s="33">
        <f t="shared" si="196"/>
        <v>0</v>
      </c>
      <c r="N159" s="157">
        <f>IF(E159="","",IF(ISERROR(INDEX('Standard cost - Testing'!$A$1:$N$497,MATCH(RIGHT($C159,4),'Standard cost - Testing'!$A$1:$A$497,0),MATCH($E159,'Standard cost - Testing'!$K$1:$N$1,0)+10)),"NA",INDEX('Standard cost - Testing'!$A$1:$N$497,MATCH(RIGHT($C159,4),'Standard cost - Testing'!$A$1:$A$497,0),MATCH($E159,'Standard cost - Testing'!$K$1:$N$1,0)+10)))</f>
        <v>1137.5</v>
      </c>
      <c r="O159" s="45">
        <f>IF(OR(ISERROR($N159),$N159="",$N159="NA"),0,H159*$N159)*(1+INDEX('For Finance Control'!$B$27:$E$29,2,MATCH('Project information'!$A$4,'For Finance Control'!$B$27:$E$27,0)))</f>
        <v>0</v>
      </c>
      <c r="P159" s="45">
        <f>IF(OR(ISERROR($N159),$N159="",$N159="NA"),0,I159*$N159)*(1+INDEX('For Finance Control'!$B$27:$E$29,2,MATCH('Project information'!$A$4,'For Finance Control'!$B$27:$E$27,0)))</f>
        <v>0</v>
      </c>
      <c r="Q159" s="45">
        <f>IF(OR(ISERROR($N159),$N159="",$N159="NA"),0,J159*$N159)*(1+INDEX('For Finance Control'!$B$27:$E$29,2,MATCH('Project information'!$A$4,'For Finance Control'!$B$27:$E$27,0)))</f>
        <v>0</v>
      </c>
      <c r="R159" s="45">
        <f>IF(OR(ISERROR($N159),$N159="",$N159="NA"),0,K159*$N159)*(1+INDEX('For Finance Control'!$B$27:$E$29,2,MATCH('Project information'!$A$4,'For Finance Control'!$B$27:$E$27,0)))</f>
        <v>0</v>
      </c>
      <c r="S159" s="45">
        <f>IF(OR(ISERROR($N159),$N159="",$N159="NA"),0,L159*$N159)*(1+INDEX('For Finance Control'!$B$27:$E$29,2,MATCH('Project information'!$A$4,'For Finance Control'!$B$27:$E$27,0)))</f>
        <v>0</v>
      </c>
      <c r="T159" s="45">
        <f t="shared" si="197"/>
        <v>0</v>
      </c>
      <c r="U159" s="33" cm="1">
        <f t="array" ref="U159">IF($N159="NA","NA",$N159*INDEX('Exchange rate'!$A$1:$G$7,MATCH('Project information'!$A$13,'Exchange rate'!$A$1:$A$7,0),MATCH(LOOKUP(2,1/({"China";"Korea";"India";"Japan";"EUR";"NAO"}=$E159),{"CNY";"KRW";"INR";"JPY";"EUR";"USD"}),'Exchange rate'!$A$1:$G$1,0)))</f>
        <v>1137.5</v>
      </c>
      <c r="V159" s="33">
        <f t="shared" si="198"/>
        <v>0</v>
      </c>
      <c r="W159" s="33">
        <f t="shared" si="199"/>
        <v>0</v>
      </c>
      <c r="X159" s="33">
        <f t="shared" si="200"/>
        <v>0</v>
      </c>
      <c r="Y159" s="33">
        <f t="shared" si="201"/>
        <v>0</v>
      </c>
      <c r="Z159" s="33">
        <f t="shared" si="202"/>
        <v>0</v>
      </c>
      <c r="AA159" s="33">
        <f t="shared" si="205"/>
        <v>0</v>
      </c>
      <c r="AB159" s="246"/>
      <c r="AC159" s="247"/>
      <c r="AZ159" s="148" t="str">
        <f t="shared" si="206"/>
        <v>5.37</v>
      </c>
      <c r="BA159" s="149" t="s">
        <v>324</v>
      </c>
    </row>
    <row r="160" spans="1:53" ht="25" outlineLevel="1">
      <c r="A160" s="148" t="str">
        <f t="shared" si="204"/>
        <v>5.38</v>
      </c>
      <c r="B160" s="148" t="str">
        <f>INDEX('Standard cost - Testing'!$A$1:$N$497,MATCH(RIGHT($C160,4),'Standard cost - Testing'!$A$1:$A$497,0),3)</f>
        <v>Common</v>
      </c>
      <c r="C160" s="149" t="str">
        <f>'Standard cost - Testing'!B39&amp;" - "&amp;'Standard cost - Testing'!A39</f>
        <v>Cold flow &amp; TL - C003</v>
      </c>
      <c r="D160" s="150" t="str">
        <f>IF(RIGHT(INDEX('Standard cost - Testing'!$A$1:$N$497,MATCH(RIGHT($C160,4),'Standard cost - Testing'!$A$1:$A$497,0),4),1)="]",INDEX('Standard cost - Testing'!$A$1:$N$497,MATCH(RIGHT($C160,4),'Standard cost - Testing'!$A$1:$A$497,0),4),IF(INDEX('Standard cost - Testing'!$A$1:$N$497,MATCH(RIGHT($C160,4),'Standard cost - Testing'!$A$1:$A$497,0),10)=1,INDEX('Standard cost - Testing'!$A$1:$N$497,MATCH(RIGHT($C160,4),'Standard cost - Testing'!$A$1:$A$497,0),4)&amp;" [1 part]",INDEX('Standard cost - Testing'!$A$1:$N$497,MATCH(RIGHT($C160,4),'Standard cost - Testing'!$A$1:$A$497,0),4)&amp;" ["&amp;INDEX('Standard cost - Testing'!$A$1:$N$497,MATCH(RIGHT($C160,4),'Standard cost - Testing'!$A$1:$A$497,0),10)&amp;" parts]"))</f>
        <v>Condensate evacuation [1 part]</v>
      </c>
      <c r="E160" s="51" t="str">
        <f>IF('Project information'!$A$4="","",'Project information'!$A$4)</f>
        <v>China</v>
      </c>
      <c r="F160" s="149" t="str">
        <f>INDEX('Standard cost - Testing'!$A$1:$N$497,MATCH(RIGHT($C160,4),'Standard cost - Testing'!$A$1:$A$497,0),5)</f>
        <v>Faurecia</v>
      </c>
      <c r="G160" s="149" t="str">
        <f>IF($E160='Standard cost - Testing'!$F$1,INDEX('Standard cost - Testing'!$A$1:$N$497,MATCH(RIGHT($C160,4),'Standard cost - Testing'!$A$1:$A$497,0),6),INDEX('Standard cost - Testing'!$A$1:$N$497,MATCH(RIGHT($C160,4),'Standard cost - Testing'!$A$1:$A$497,0),7))</f>
        <v>CHD-I-DSE-2011</v>
      </c>
      <c r="H160" s="46"/>
      <c r="I160" s="46"/>
      <c r="J160" s="46"/>
      <c r="K160" s="46"/>
      <c r="L160" s="46"/>
      <c r="M160" s="33">
        <f t="shared" si="196"/>
        <v>0</v>
      </c>
      <c r="N160" s="157">
        <f>IF(E160="","",IF(ISERROR(INDEX('Standard cost - Testing'!$A$1:$N$497,MATCH(RIGHT($C160,4),'Standard cost - Testing'!$A$1:$A$497,0),MATCH($E160,'Standard cost - Testing'!$K$1:$N$1,0)+10)),"NA",INDEX('Standard cost - Testing'!$A$1:$N$497,MATCH(RIGHT($C160,4),'Standard cost - Testing'!$A$1:$A$497,0),MATCH($E160,'Standard cost - Testing'!$K$1:$N$1,0)+10)))</f>
        <v>1672.5</v>
      </c>
      <c r="O160" s="45">
        <f>IF(OR(ISERROR($N160),$N160="",$N160="NA"),0,H160*$N160)*(1+INDEX('For Finance Control'!$B$27:$E$29,2,MATCH('Project information'!$A$4,'For Finance Control'!$B$27:$E$27,0)))</f>
        <v>0</v>
      </c>
      <c r="P160" s="45">
        <f>IF(OR(ISERROR($N160),$N160="",$N160="NA"),0,I160*$N160)*(1+INDEX('For Finance Control'!$B$27:$E$29,2,MATCH('Project information'!$A$4,'For Finance Control'!$B$27:$E$27,0)))</f>
        <v>0</v>
      </c>
      <c r="Q160" s="45">
        <f>IF(OR(ISERROR($N160),$N160="",$N160="NA"),0,J160*$N160)*(1+INDEX('For Finance Control'!$B$27:$E$29,2,MATCH('Project information'!$A$4,'For Finance Control'!$B$27:$E$27,0)))</f>
        <v>0</v>
      </c>
      <c r="R160" s="45">
        <f>IF(OR(ISERROR($N160),$N160="",$N160="NA"),0,K160*$N160)*(1+INDEX('For Finance Control'!$B$27:$E$29,2,MATCH('Project information'!$A$4,'For Finance Control'!$B$27:$E$27,0)))</f>
        <v>0</v>
      </c>
      <c r="S160" s="45">
        <f>IF(OR(ISERROR($N160),$N160="",$N160="NA"),0,L160*$N160)*(1+INDEX('For Finance Control'!$B$27:$E$29,2,MATCH('Project information'!$A$4,'For Finance Control'!$B$27:$E$27,0)))</f>
        <v>0</v>
      </c>
      <c r="T160" s="45">
        <f t="shared" si="197"/>
        <v>0</v>
      </c>
      <c r="U160" s="33" cm="1">
        <f t="array" ref="U160">IF($N160="NA","NA",$N160*INDEX('Exchange rate'!$A$1:$G$7,MATCH('Project information'!$A$13,'Exchange rate'!$A$1:$A$7,0),MATCH(LOOKUP(2,1/({"China";"Korea";"India";"Japan";"EUR";"NAO"}=$E160),{"CNY";"KRW";"INR";"JPY";"EUR";"USD"}),'Exchange rate'!$A$1:$G$1,0)))</f>
        <v>1672.5</v>
      </c>
      <c r="V160" s="33">
        <f t="shared" si="198"/>
        <v>0</v>
      </c>
      <c r="W160" s="33">
        <f t="shared" si="199"/>
        <v>0</v>
      </c>
      <c r="X160" s="33">
        <f t="shared" si="200"/>
        <v>0</v>
      </c>
      <c r="Y160" s="33">
        <f t="shared" si="201"/>
        <v>0</v>
      </c>
      <c r="Z160" s="33">
        <f t="shared" si="202"/>
        <v>0</v>
      </c>
      <c r="AA160" s="33">
        <f t="shared" si="205"/>
        <v>0</v>
      </c>
      <c r="AB160" s="246"/>
      <c r="AC160" s="247"/>
      <c r="AZ160" s="148" t="str">
        <f t="shared" si="206"/>
        <v>5.38</v>
      </c>
      <c r="BA160" s="149" t="s">
        <v>325</v>
      </c>
    </row>
    <row r="161" spans="1:53" ht="25" outlineLevel="1">
      <c r="A161" s="148" t="str">
        <f t="shared" si="204"/>
        <v>5.39</v>
      </c>
      <c r="B161" s="148" t="str">
        <f>INDEX('Standard cost - Testing'!$A$1:$N$497,MATCH(RIGHT($C161,4),'Standard cost - Testing'!$A$1:$A$497,0),3)</f>
        <v>LVE</v>
      </c>
      <c r="C161" s="149" t="str">
        <f>'Standard cost - Testing'!B40&amp;" - "&amp;'Standard cost - Testing'!A40</f>
        <v>Cold flow &amp; TL - C004</v>
      </c>
      <c r="D161" s="150" t="str">
        <f>IF(RIGHT(INDEX('Standard cost - Testing'!$A$1:$N$497,MATCH(RIGHT($C161,4),'Standard cost - Testing'!$A$1:$A$497,0),4),1)="]",INDEX('Standard cost - Testing'!$A$1:$N$497,MATCH(RIGHT($C161,4),'Standard cost - Testing'!$A$1:$A$497,0),4),IF(INDEX('Standard cost - Testing'!$A$1:$N$497,MATCH(RIGHT($C161,4),'Standard cost - Testing'!$A$1:$A$497,0),10)=1,INDEX('Standard cost - Testing'!$A$1:$N$497,MATCH(RIGHT($C161,4),'Standard cost - Testing'!$A$1:$A$497,0),4)&amp;" [1 part]",INDEX('Standard cost - Testing'!$A$1:$N$497,MATCH(RIGHT($C161,4),'Standard cost - Testing'!$A$1:$A$497,0),4)&amp;" ["&amp;INDEX('Standard cost - Testing'!$A$1:$N$497,MATCH(RIGHT($C161,4),'Standard cost - Testing'!$A$1:$A$497,0),10)&amp;" parts]"))</f>
        <v>Lean acoustic test for component [1 part]</v>
      </c>
      <c r="E161" s="51" t="str">
        <f>IF('Project information'!$A$4="","",'Project information'!$A$4)</f>
        <v>China</v>
      </c>
      <c r="F161" s="149" t="str">
        <f>INDEX('Standard cost - Testing'!$A$1:$N$497,MATCH(RIGHT($C161,4),'Standard cost - Testing'!$A$1:$A$497,0),5)</f>
        <v>Faurecia</v>
      </c>
      <c r="G161" s="149" t="str">
        <f>IF($E161='Standard cost - Testing'!$F$1,INDEX('Standard cost - Testing'!$A$1:$N$497,MATCH(RIGHT($C161,4),'Standard cost - Testing'!$A$1:$A$497,0),6),INDEX('Standard cost - Testing'!$A$1:$N$497,MATCH(RIGHT($C161,4),'Standard cost - Testing'!$A$1:$A$497,0),7))</f>
        <v>CHD-I-DSE-2008</v>
      </c>
      <c r="H161" s="46"/>
      <c r="I161" s="46"/>
      <c r="J161" s="46"/>
      <c r="K161" s="46"/>
      <c r="L161" s="46"/>
      <c r="M161" s="33">
        <f t="shared" si="196"/>
        <v>0</v>
      </c>
      <c r="N161" s="157">
        <f>IF(E161="","",IF(ISERROR(INDEX('Standard cost - Testing'!$A$1:$N$497,MATCH(RIGHT($C161,4),'Standard cost - Testing'!$A$1:$A$497,0),MATCH($E161,'Standard cost - Testing'!$K$1:$N$1,0)+10)),"NA",INDEX('Standard cost - Testing'!$A$1:$N$497,MATCH(RIGHT($C161,4),'Standard cost - Testing'!$A$1:$A$497,0),MATCH($E161,'Standard cost - Testing'!$K$1:$N$1,0)+10)))</f>
        <v>1892.5</v>
      </c>
      <c r="O161" s="45">
        <f>IF(OR(ISERROR($N161),$N161="",$N161="NA"),0,H161*$N161)*(1+INDEX('For Finance Control'!$B$27:$E$29,2,MATCH('Project information'!$A$4,'For Finance Control'!$B$27:$E$27,0)))</f>
        <v>0</v>
      </c>
      <c r="P161" s="45">
        <f>IF(OR(ISERROR($N161),$N161="",$N161="NA"),0,I161*$N161)*(1+INDEX('For Finance Control'!$B$27:$E$29,2,MATCH('Project information'!$A$4,'For Finance Control'!$B$27:$E$27,0)))</f>
        <v>0</v>
      </c>
      <c r="Q161" s="45">
        <f>IF(OR(ISERROR($N161),$N161="",$N161="NA"),0,J161*$N161)*(1+INDEX('For Finance Control'!$B$27:$E$29,2,MATCH('Project information'!$A$4,'For Finance Control'!$B$27:$E$27,0)))</f>
        <v>0</v>
      </c>
      <c r="R161" s="45">
        <f>IF(OR(ISERROR($N161),$N161="",$N161="NA"),0,K161*$N161)*(1+INDEX('For Finance Control'!$B$27:$E$29,2,MATCH('Project information'!$A$4,'For Finance Control'!$B$27:$E$27,0)))</f>
        <v>0</v>
      </c>
      <c r="S161" s="45">
        <f>IF(OR(ISERROR($N161),$N161="",$N161="NA"),0,L161*$N161)*(1+INDEX('For Finance Control'!$B$27:$E$29,2,MATCH('Project information'!$A$4,'For Finance Control'!$B$27:$E$27,0)))</f>
        <v>0</v>
      </c>
      <c r="T161" s="45">
        <f t="shared" si="197"/>
        <v>0</v>
      </c>
      <c r="U161" s="33" cm="1">
        <f t="array" ref="U161">IF($N161="NA","NA",$N161*INDEX('Exchange rate'!$A$1:$G$7,MATCH('Project information'!$A$13,'Exchange rate'!$A$1:$A$7,0),MATCH(LOOKUP(2,1/({"China";"Korea";"India";"Japan";"EUR";"NAO"}=$E161),{"CNY";"KRW";"INR";"JPY";"EUR";"USD"}),'Exchange rate'!$A$1:$G$1,0)))</f>
        <v>1892.5</v>
      </c>
      <c r="V161" s="33">
        <f t="shared" si="198"/>
        <v>0</v>
      </c>
      <c r="W161" s="33">
        <f t="shared" si="199"/>
        <v>0</v>
      </c>
      <c r="X161" s="33">
        <f t="shared" si="200"/>
        <v>0</v>
      </c>
      <c r="Y161" s="33">
        <f t="shared" si="201"/>
        <v>0</v>
      </c>
      <c r="Z161" s="33">
        <f t="shared" si="202"/>
        <v>0</v>
      </c>
      <c r="AA161" s="33">
        <f t="shared" si="205"/>
        <v>0</v>
      </c>
      <c r="AB161" s="246"/>
      <c r="AC161" s="247"/>
      <c r="AZ161" s="148" t="str">
        <f t="shared" si="206"/>
        <v>5.39</v>
      </c>
      <c r="BA161" s="149" t="s">
        <v>326</v>
      </c>
    </row>
    <row r="162" spans="1:53" ht="25" outlineLevel="1">
      <c r="A162" s="148" t="str">
        <f t="shared" si="204"/>
        <v>5.40</v>
      </c>
      <c r="B162" s="148" t="str">
        <f>INDEX('Standard cost - Testing'!$A$1:$N$497,MATCH(RIGHT($C162,4),'Standard cost - Testing'!$A$1:$A$497,0),3)</f>
        <v>LVE</v>
      </c>
      <c r="C162" s="149" t="str">
        <f>'Standard cost - Testing'!B41&amp;" - "&amp;'Standard cost - Testing'!A41</f>
        <v>Cold flow &amp; TL - C005</v>
      </c>
      <c r="D162" s="150" t="str">
        <f>IF(RIGHT(INDEX('Standard cost - Testing'!$A$1:$N$497,MATCH(RIGHT($C162,4),'Standard cost - Testing'!$A$1:$A$497,0),4),1)="]",INDEX('Standard cost - Testing'!$A$1:$N$497,MATCH(RIGHT($C162,4),'Standard cost - Testing'!$A$1:$A$497,0),4),IF(INDEX('Standard cost - Testing'!$A$1:$N$497,MATCH(RIGHT($C162,4),'Standard cost - Testing'!$A$1:$A$497,0),10)=1,INDEX('Standard cost - Testing'!$A$1:$N$497,MATCH(RIGHT($C162,4),'Standard cost - Testing'!$A$1:$A$497,0),4)&amp;" [1 part]",INDEX('Standard cost - Testing'!$A$1:$N$497,MATCH(RIGHT($C162,4),'Standard cost - Testing'!$A$1:$A$497,0),4)&amp;" ["&amp;INDEX('Standard cost - Testing'!$A$1:$N$497,MATCH(RIGHT($C162,4),'Standard cost - Testing'!$A$1:$A$497,0),10)&amp;" parts]"))</f>
        <v>Condensate evacuation [1 part]</v>
      </c>
      <c r="E162" s="51" t="str">
        <f>IF('Project information'!$A$4="","",'Project information'!$A$4)</f>
        <v>China</v>
      </c>
      <c r="F162" s="149" t="str">
        <f>INDEX('Standard cost - Testing'!$A$1:$N$497,MATCH(RIGHT($C162,4),'Standard cost - Testing'!$A$1:$A$497,0),5)</f>
        <v>GM</v>
      </c>
      <c r="G162" s="149" t="str">
        <f>IF($E162='Standard cost - Testing'!$F$1,INDEX('Standard cost - Testing'!$A$1:$N$497,MATCH(RIGHT($C162,4),'Standard cost - Testing'!$A$1:$A$497,0),6),INDEX('Standard cost - Testing'!$A$1:$N$497,MATCH(RIGHT($C162,4),'Standard cost - Testing'!$A$1:$A$497,0),7))</f>
        <v>EDS-T-1480</v>
      </c>
      <c r="H162" s="46"/>
      <c r="I162" s="46"/>
      <c r="J162" s="46"/>
      <c r="K162" s="46"/>
      <c r="L162" s="46"/>
      <c r="M162" s="33">
        <f t="shared" si="196"/>
        <v>0</v>
      </c>
      <c r="N162" s="157">
        <f>IF(E162="","",IF(ISERROR(INDEX('Standard cost - Testing'!$A$1:$N$497,MATCH(RIGHT($C162,4),'Standard cost - Testing'!$A$1:$A$497,0),MATCH($E162,'Standard cost - Testing'!$K$1:$N$1,0)+10)),"NA",INDEX('Standard cost - Testing'!$A$1:$N$497,MATCH(RIGHT($C162,4),'Standard cost - Testing'!$A$1:$A$497,0),MATCH($E162,'Standard cost - Testing'!$K$1:$N$1,0)+10)))</f>
        <v>2612.5</v>
      </c>
      <c r="O162" s="45">
        <f>IF(OR(ISERROR($N162),$N162="",$N162="NA"),0,H162*$N162)*(1+INDEX('For Finance Control'!$B$27:$E$29,2,MATCH('Project information'!$A$4,'For Finance Control'!$B$27:$E$27,0)))</f>
        <v>0</v>
      </c>
      <c r="P162" s="45">
        <f>IF(OR(ISERROR($N162),$N162="",$N162="NA"),0,I162*$N162)*(1+INDEX('For Finance Control'!$B$27:$E$29,2,MATCH('Project information'!$A$4,'For Finance Control'!$B$27:$E$27,0)))</f>
        <v>0</v>
      </c>
      <c r="Q162" s="45">
        <f>IF(OR(ISERROR($N162),$N162="",$N162="NA"),0,J162*$N162)*(1+INDEX('For Finance Control'!$B$27:$E$29,2,MATCH('Project information'!$A$4,'For Finance Control'!$B$27:$E$27,0)))</f>
        <v>0</v>
      </c>
      <c r="R162" s="45">
        <f>IF(OR(ISERROR($N162),$N162="",$N162="NA"),0,K162*$N162)*(1+INDEX('For Finance Control'!$B$27:$E$29,2,MATCH('Project information'!$A$4,'For Finance Control'!$B$27:$E$27,0)))</f>
        <v>0</v>
      </c>
      <c r="S162" s="45">
        <f>IF(OR(ISERROR($N162),$N162="",$N162="NA"),0,L162*$N162)*(1+INDEX('For Finance Control'!$B$27:$E$29,2,MATCH('Project information'!$A$4,'For Finance Control'!$B$27:$E$27,0)))</f>
        <v>0</v>
      </c>
      <c r="T162" s="45">
        <f t="shared" si="197"/>
        <v>0</v>
      </c>
      <c r="U162" s="33" cm="1">
        <f t="array" ref="U162">IF($N162="NA","NA",$N162*INDEX('Exchange rate'!$A$1:$G$7,MATCH('Project information'!$A$13,'Exchange rate'!$A$1:$A$7,0),MATCH(LOOKUP(2,1/({"China";"Korea";"India";"Japan";"EUR";"NAO"}=$E162),{"CNY";"KRW";"INR";"JPY";"EUR";"USD"}),'Exchange rate'!$A$1:$G$1,0)))</f>
        <v>2612.5</v>
      </c>
      <c r="V162" s="33">
        <f t="shared" si="198"/>
        <v>0</v>
      </c>
      <c r="W162" s="33">
        <f t="shared" si="199"/>
        <v>0</v>
      </c>
      <c r="X162" s="33">
        <f t="shared" si="200"/>
        <v>0</v>
      </c>
      <c r="Y162" s="33">
        <f t="shared" si="201"/>
        <v>0</v>
      </c>
      <c r="Z162" s="33">
        <f t="shared" si="202"/>
        <v>0</v>
      </c>
      <c r="AA162" s="33">
        <f t="shared" si="205"/>
        <v>0</v>
      </c>
      <c r="AB162" s="246"/>
      <c r="AC162" s="247"/>
      <c r="AZ162" s="148" t="str">
        <f t="shared" si="206"/>
        <v>5.40</v>
      </c>
      <c r="BA162" s="149" t="s">
        <v>327</v>
      </c>
    </row>
    <row r="163" spans="1:53" ht="25" outlineLevel="1">
      <c r="A163" s="148" t="str">
        <f t="shared" si="204"/>
        <v>5.41</v>
      </c>
      <c r="B163" s="148" t="str">
        <f>INDEX('Standard cost - Testing'!$A$1:$N$497,MATCH(RIGHT($C163,4),'Standard cost - Testing'!$A$1:$A$497,0),3)</f>
        <v>LVE</v>
      </c>
      <c r="C163" s="149" t="str">
        <f>'Standard cost - Testing'!B42&amp;" - "&amp;'Standard cost - Testing'!A42</f>
        <v>Cold flow &amp; TL - C006</v>
      </c>
      <c r="D163" s="150" t="str">
        <f>IF(RIGHT(INDEX('Standard cost - Testing'!$A$1:$N$497,MATCH(RIGHT($C163,4),'Standard cost - Testing'!$A$1:$A$497,0),4),1)="]",INDEX('Standard cost - Testing'!$A$1:$N$497,MATCH(RIGHT($C163,4),'Standard cost - Testing'!$A$1:$A$497,0),4),IF(INDEX('Standard cost - Testing'!$A$1:$N$497,MATCH(RIGHT($C163,4),'Standard cost - Testing'!$A$1:$A$497,0),10)=1,INDEX('Standard cost - Testing'!$A$1:$N$497,MATCH(RIGHT($C163,4),'Standard cost - Testing'!$A$1:$A$497,0),4)&amp;" [1 part]",INDEX('Standard cost - Testing'!$A$1:$N$497,MATCH(RIGHT($C163,4),'Standard cost - Testing'!$A$1:$A$497,0),4)&amp;" ["&amp;INDEX('Standard cost - Testing'!$A$1:$N$497,MATCH(RIGHT($C163,4),'Standard cost - Testing'!$A$1:$A$497,0),10)&amp;" parts]"))</f>
        <v>Exhaust cold end internal corrosion test [1 part]</v>
      </c>
      <c r="E163" s="51" t="str">
        <f>IF('Project information'!$A$4="","",'Project information'!$A$4)</f>
        <v>China</v>
      </c>
      <c r="F163" s="149" t="str">
        <f>INDEX('Standard cost - Testing'!$A$1:$N$497,MATCH(RIGHT($C163,4),'Standard cost - Testing'!$A$1:$A$497,0),5)</f>
        <v>Ford</v>
      </c>
      <c r="G163" s="149" t="str">
        <f>IF($E163='Standard cost - Testing'!$F$1,INDEX('Standard cost - Testing'!$A$1:$N$497,MATCH(RIGHT($C163,4),'Standard cost - Testing'!$A$1:$A$497,0),6),INDEX('Standard cost - Testing'!$A$1:$N$497,MATCH(RIGHT($C163,4),'Standard cost - Testing'!$A$1:$A$497,0),7))</f>
        <v>CETP_09.01-E-400 200201 5.3 step 3</v>
      </c>
      <c r="H163" s="46"/>
      <c r="I163" s="46"/>
      <c r="J163" s="46"/>
      <c r="K163" s="46"/>
      <c r="L163" s="46"/>
      <c r="M163" s="33">
        <f t="shared" si="196"/>
        <v>0</v>
      </c>
      <c r="N163" s="157">
        <f>IF(E163="","",IF(ISERROR(INDEX('Standard cost - Testing'!$A$1:$N$497,MATCH(RIGHT($C163,4),'Standard cost - Testing'!$A$1:$A$497,0),MATCH($E163,'Standard cost - Testing'!$K$1:$N$1,0)+10)),"NA",INDEX('Standard cost - Testing'!$A$1:$N$497,MATCH(RIGHT($C163,4),'Standard cost - Testing'!$A$1:$A$497,0),MATCH($E163,'Standard cost - Testing'!$K$1:$N$1,0)+10)))</f>
        <v>3357.5</v>
      </c>
      <c r="O163" s="45">
        <f>IF(OR(ISERROR($N163),$N163="",$N163="NA"),0,H163*$N163)*(1+INDEX('For Finance Control'!$B$27:$E$29,2,MATCH('Project information'!$A$4,'For Finance Control'!$B$27:$E$27,0)))</f>
        <v>0</v>
      </c>
      <c r="P163" s="45">
        <f>IF(OR(ISERROR($N163),$N163="",$N163="NA"),0,I163*$N163)*(1+INDEX('For Finance Control'!$B$27:$E$29,2,MATCH('Project information'!$A$4,'For Finance Control'!$B$27:$E$27,0)))</f>
        <v>0</v>
      </c>
      <c r="Q163" s="45">
        <f>IF(OR(ISERROR($N163),$N163="",$N163="NA"),0,J163*$N163)*(1+INDEX('For Finance Control'!$B$27:$E$29,2,MATCH('Project information'!$A$4,'For Finance Control'!$B$27:$E$27,0)))</f>
        <v>0</v>
      </c>
      <c r="R163" s="45">
        <f>IF(OR(ISERROR($N163),$N163="",$N163="NA"),0,K163*$N163)*(1+INDEX('For Finance Control'!$B$27:$E$29,2,MATCH('Project information'!$A$4,'For Finance Control'!$B$27:$E$27,0)))</f>
        <v>0</v>
      </c>
      <c r="S163" s="45">
        <f>IF(OR(ISERROR($N163),$N163="",$N163="NA"),0,L163*$N163)*(1+INDEX('For Finance Control'!$B$27:$E$29,2,MATCH('Project information'!$A$4,'For Finance Control'!$B$27:$E$27,0)))</f>
        <v>0</v>
      </c>
      <c r="T163" s="45">
        <f t="shared" si="197"/>
        <v>0</v>
      </c>
      <c r="U163" s="33" cm="1">
        <f t="array" ref="U163">IF($N163="NA","NA",$N163*INDEX('Exchange rate'!$A$1:$G$7,MATCH('Project information'!$A$13,'Exchange rate'!$A$1:$A$7,0),MATCH(LOOKUP(2,1/({"China";"Korea";"India";"Japan";"EUR";"NAO"}=$E163),{"CNY";"KRW";"INR";"JPY";"EUR";"USD"}),'Exchange rate'!$A$1:$G$1,0)))</f>
        <v>3357.5</v>
      </c>
      <c r="V163" s="33">
        <f t="shared" si="198"/>
        <v>0</v>
      </c>
      <c r="W163" s="33">
        <f t="shared" si="199"/>
        <v>0</v>
      </c>
      <c r="X163" s="33">
        <f t="shared" si="200"/>
        <v>0</v>
      </c>
      <c r="Y163" s="33">
        <f t="shared" si="201"/>
        <v>0</v>
      </c>
      <c r="Z163" s="33">
        <f t="shared" si="202"/>
        <v>0</v>
      </c>
      <c r="AA163" s="33">
        <f t="shared" si="205"/>
        <v>0</v>
      </c>
      <c r="AB163" s="246"/>
      <c r="AC163" s="247"/>
      <c r="AZ163" s="148" t="str">
        <f t="shared" si="206"/>
        <v>5.41</v>
      </c>
      <c r="BA163" s="149" t="s">
        <v>328</v>
      </c>
    </row>
    <row r="164" spans="1:53" ht="25" outlineLevel="1">
      <c r="A164" s="148" t="str">
        <f t="shared" si="204"/>
        <v>5.42</v>
      </c>
      <c r="B164" s="148" t="str">
        <f>INDEX('Standard cost - Testing'!$A$1:$N$497,MATCH(RIGHT($C164,4),'Standard cost - Testing'!$A$1:$A$497,0),3)</f>
        <v>LVE</v>
      </c>
      <c r="C164" s="149" t="str">
        <f>'Standard cost - Testing'!B43&amp;" - "&amp;'Standard cost - Testing'!A43</f>
        <v>Cold flow &amp; TL - C007</v>
      </c>
      <c r="D164" s="150" t="str">
        <f>IF(RIGHT(INDEX('Standard cost - Testing'!$A$1:$N$497,MATCH(RIGHT($C164,4),'Standard cost - Testing'!$A$1:$A$497,0),4),1)="]",INDEX('Standard cost - Testing'!$A$1:$N$497,MATCH(RIGHT($C164,4),'Standard cost - Testing'!$A$1:$A$497,0),4),IF(INDEX('Standard cost - Testing'!$A$1:$N$497,MATCH(RIGHT($C164,4),'Standard cost - Testing'!$A$1:$A$497,0),10)=1,INDEX('Standard cost - Testing'!$A$1:$N$497,MATCH(RIGHT($C164,4),'Standard cost - Testing'!$A$1:$A$497,0),4)&amp;" [1 part]",INDEX('Standard cost - Testing'!$A$1:$N$497,MATCH(RIGHT($C164,4),'Standard cost - Testing'!$A$1:$A$497,0),4)&amp;" ["&amp;INDEX('Standard cost - Testing'!$A$1:$N$497,MATCH(RIGHT($C164,4),'Standard cost - Testing'!$A$1:$A$497,0),10)&amp;" parts]"))</f>
        <v>Cold flow back pressure test [1 part]</v>
      </c>
      <c r="E164" s="51" t="str">
        <f>IF('Project information'!$A$4="","",'Project information'!$A$4)</f>
        <v>China</v>
      </c>
      <c r="F164" s="149" t="str">
        <f>INDEX('Standard cost - Testing'!$A$1:$N$497,MATCH(RIGHT($C164,4),'Standard cost - Testing'!$A$1:$A$497,0),5)</f>
        <v>Ford</v>
      </c>
      <c r="G164" s="149" t="str">
        <f>IF($E164='Standard cost - Testing'!$F$1,INDEX('Standard cost - Testing'!$A$1:$N$497,MATCH(RIGHT($C164,4),'Standard cost - Testing'!$A$1:$A$497,0),6),INDEX('Standard cost - Testing'!$A$1:$N$497,MATCH(RIGHT($C164,4),'Standard cost - Testing'!$A$1:$A$497,0),7))</f>
        <v>CETP_09.00-L-403</v>
      </c>
      <c r="H164" s="46"/>
      <c r="I164" s="46"/>
      <c r="J164" s="46"/>
      <c r="K164" s="46"/>
      <c r="L164" s="46"/>
      <c r="M164" s="33">
        <f t="shared" si="196"/>
        <v>0</v>
      </c>
      <c r="N164" s="157">
        <f>IF(E164="","",IF(ISERROR(INDEX('Standard cost - Testing'!$A$1:$N$497,MATCH(RIGHT($C164,4),'Standard cost - Testing'!$A$1:$A$497,0),MATCH($E164,'Standard cost - Testing'!$K$1:$N$1,0)+10)),"NA",INDEX('Standard cost - Testing'!$A$1:$N$497,MATCH(RIGHT($C164,4),'Standard cost - Testing'!$A$1:$A$497,0),MATCH($E164,'Standard cost - Testing'!$K$1:$N$1,0)+10)))</f>
        <v>4027.5</v>
      </c>
      <c r="O164" s="45">
        <f>IF(OR(ISERROR($N164),$N164="",$N164="NA"),0,H164*$N164)*(1+INDEX('For Finance Control'!$B$27:$E$29,2,MATCH('Project information'!$A$4,'For Finance Control'!$B$27:$E$27,0)))</f>
        <v>0</v>
      </c>
      <c r="P164" s="45">
        <f>IF(OR(ISERROR($N164),$N164="",$N164="NA"),0,I164*$N164)*(1+INDEX('For Finance Control'!$B$27:$E$29,2,MATCH('Project information'!$A$4,'For Finance Control'!$B$27:$E$27,0)))</f>
        <v>0</v>
      </c>
      <c r="Q164" s="45">
        <f>IF(OR(ISERROR($N164),$N164="",$N164="NA"),0,J164*$N164)*(1+INDEX('For Finance Control'!$B$27:$E$29,2,MATCH('Project information'!$A$4,'For Finance Control'!$B$27:$E$27,0)))</f>
        <v>0</v>
      </c>
      <c r="R164" s="45">
        <f>IF(OR(ISERROR($N164),$N164="",$N164="NA"),0,K164*$N164)*(1+INDEX('For Finance Control'!$B$27:$E$29,2,MATCH('Project information'!$A$4,'For Finance Control'!$B$27:$E$27,0)))</f>
        <v>0</v>
      </c>
      <c r="S164" s="45">
        <f>IF(OR(ISERROR($N164),$N164="",$N164="NA"),0,L164*$N164)*(1+INDEX('For Finance Control'!$B$27:$E$29,2,MATCH('Project information'!$A$4,'For Finance Control'!$B$27:$E$27,0)))</f>
        <v>0</v>
      </c>
      <c r="T164" s="45">
        <f t="shared" si="197"/>
        <v>0</v>
      </c>
      <c r="U164" s="33" cm="1">
        <f t="array" ref="U164">IF($N164="NA","NA",$N164*INDEX('Exchange rate'!$A$1:$G$7,MATCH('Project information'!$A$13,'Exchange rate'!$A$1:$A$7,0),MATCH(LOOKUP(2,1/({"China";"Korea";"India";"Japan";"EUR";"NAO"}=$E164),{"CNY";"KRW";"INR";"JPY";"EUR";"USD"}),'Exchange rate'!$A$1:$G$1,0)))</f>
        <v>4027.5</v>
      </c>
      <c r="V164" s="33">
        <f t="shared" si="198"/>
        <v>0</v>
      </c>
      <c r="W164" s="33">
        <f t="shared" si="199"/>
        <v>0</v>
      </c>
      <c r="X164" s="33">
        <f t="shared" si="200"/>
        <v>0</v>
      </c>
      <c r="Y164" s="33">
        <f t="shared" si="201"/>
        <v>0</v>
      </c>
      <c r="Z164" s="33">
        <f t="shared" si="202"/>
        <v>0</v>
      </c>
      <c r="AA164" s="33">
        <f t="shared" si="205"/>
        <v>0</v>
      </c>
      <c r="AB164" s="246"/>
      <c r="AC164" s="247"/>
      <c r="AZ164" s="148" t="str">
        <f t="shared" si="206"/>
        <v>5.42</v>
      </c>
      <c r="BA164" s="149" t="s">
        <v>329</v>
      </c>
    </row>
    <row r="165" spans="1:53" ht="25" outlineLevel="1">
      <c r="A165" s="148" t="str">
        <f t="shared" si="204"/>
        <v>5.43</v>
      </c>
      <c r="B165" s="148" t="str">
        <f>INDEX('Standard cost - Testing'!$A$1:$N$497,MATCH(RIGHT($C165,4),'Standard cost - Testing'!$A$1:$A$497,0),3)</f>
        <v>LVE</v>
      </c>
      <c r="C165" s="149" t="str">
        <f>'Standard cost - Testing'!B44&amp;" - "&amp;'Standard cost - Testing'!A44</f>
        <v>Cold flow &amp; TL - C008</v>
      </c>
      <c r="D165" s="150" t="str">
        <f>IF(RIGHT(INDEX('Standard cost - Testing'!$A$1:$N$497,MATCH(RIGHT($C165,4),'Standard cost - Testing'!$A$1:$A$497,0),4),1)="]",INDEX('Standard cost - Testing'!$A$1:$N$497,MATCH(RIGHT($C165,4),'Standard cost - Testing'!$A$1:$A$497,0),4),IF(INDEX('Standard cost - Testing'!$A$1:$N$497,MATCH(RIGHT($C165,4),'Standard cost - Testing'!$A$1:$A$497,0),10)=1,INDEX('Standard cost - Testing'!$A$1:$N$497,MATCH(RIGHT($C165,4),'Standard cost - Testing'!$A$1:$A$497,0),4)&amp;" [1 part]",INDEX('Standard cost - Testing'!$A$1:$N$497,MATCH(RIGHT($C165,4),'Standard cost - Testing'!$A$1:$A$497,0),4)&amp;" ["&amp;INDEX('Standard cost - Testing'!$A$1:$N$497,MATCH(RIGHT($C165,4),'Standard cost - Testing'!$A$1:$A$497,0),10)&amp;" parts]"))</f>
        <v>Transmission loss measurement [1 part]</v>
      </c>
      <c r="E165" s="51" t="str">
        <f>IF('Project information'!$A$4="","",'Project information'!$A$4)</f>
        <v>China</v>
      </c>
      <c r="F165" s="149" t="str">
        <f>INDEX('Standard cost - Testing'!$A$1:$N$497,MATCH(RIGHT($C165,4),'Standard cost - Testing'!$A$1:$A$497,0),5)</f>
        <v>HMC</v>
      </c>
      <c r="G165" s="149" t="str">
        <f>IF($E165='Standard cost - Testing'!$F$1,INDEX('Standard cost - Testing'!$A$1:$N$497,MATCH(RIGHT($C165,4),'Standard cost - Testing'!$A$1:$A$497,0),6),INDEX('Standard cost - Testing'!$A$1:$N$497,MATCH(RIGHT($C165,4),'Standard cost - Testing'!$A$1:$A$497,0),7))</f>
        <v>ES28600-09 6.10</v>
      </c>
      <c r="H165" s="46"/>
      <c r="I165" s="46"/>
      <c r="J165" s="46"/>
      <c r="K165" s="46"/>
      <c r="L165" s="46"/>
      <c r="M165" s="33">
        <f t="shared" si="196"/>
        <v>0</v>
      </c>
      <c r="N165" s="157">
        <f>IF(E165="","",IF(ISERROR(INDEX('Standard cost - Testing'!$A$1:$N$497,MATCH(RIGHT($C165,4),'Standard cost - Testing'!$A$1:$A$497,0),MATCH($E165,'Standard cost - Testing'!$K$1:$N$1,0)+10)),"NA",INDEX('Standard cost - Testing'!$A$1:$N$497,MATCH(RIGHT($C165,4),'Standard cost - Testing'!$A$1:$A$497,0),MATCH($E165,'Standard cost - Testing'!$K$1:$N$1,0)+10)))</f>
        <v>3715</v>
      </c>
      <c r="O165" s="45">
        <f>IF(OR(ISERROR($N165),$N165="",$N165="NA"),0,H165*$N165)*(1+INDEX('For Finance Control'!$B$27:$E$29,2,MATCH('Project information'!$A$4,'For Finance Control'!$B$27:$E$27,0)))</f>
        <v>0</v>
      </c>
      <c r="P165" s="45">
        <f>IF(OR(ISERROR($N165),$N165="",$N165="NA"),0,I165*$N165)*(1+INDEX('For Finance Control'!$B$27:$E$29,2,MATCH('Project information'!$A$4,'For Finance Control'!$B$27:$E$27,0)))</f>
        <v>0</v>
      </c>
      <c r="Q165" s="45">
        <f>IF(OR(ISERROR($N165),$N165="",$N165="NA"),0,J165*$N165)*(1+INDEX('For Finance Control'!$B$27:$E$29,2,MATCH('Project information'!$A$4,'For Finance Control'!$B$27:$E$27,0)))</f>
        <v>0</v>
      </c>
      <c r="R165" s="45">
        <f>IF(OR(ISERROR($N165),$N165="",$N165="NA"),0,K165*$N165)*(1+INDEX('For Finance Control'!$B$27:$E$29,2,MATCH('Project information'!$A$4,'For Finance Control'!$B$27:$E$27,0)))</f>
        <v>0</v>
      </c>
      <c r="S165" s="45">
        <f>IF(OR(ISERROR($N165),$N165="",$N165="NA"),0,L165*$N165)*(1+INDEX('For Finance Control'!$B$27:$E$29,2,MATCH('Project information'!$A$4,'For Finance Control'!$B$27:$E$27,0)))</f>
        <v>0</v>
      </c>
      <c r="T165" s="45">
        <f t="shared" si="197"/>
        <v>0</v>
      </c>
      <c r="U165" s="33" cm="1">
        <f t="array" ref="U165">IF($N165="NA","NA",$N165*INDEX('Exchange rate'!$A$1:$G$7,MATCH('Project information'!$A$13,'Exchange rate'!$A$1:$A$7,0),MATCH(LOOKUP(2,1/({"China";"Korea";"India";"Japan";"EUR";"NAO"}=$E165),{"CNY";"KRW";"INR";"JPY";"EUR";"USD"}),'Exchange rate'!$A$1:$G$1,0)))</f>
        <v>3715</v>
      </c>
      <c r="V165" s="33">
        <f t="shared" si="198"/>
        <v>0</v>
      </c>
      <c r="W165" s="33">
        <f t="shared" si="199"/>
        <v>0</v>
      </c>
      <c r="X165" s="33">
        <f t="shared" si="200"/>
        <v>0</v>
      </c>
      <c r="Y165" s="33">
        <f t="shared" si="201"/>
        <v>0</v>
      </c>
      <c r="Z165" s="33">
        <f t="shared" si="202"/>
        <v>0</v>
      </c>
      <c r="AA165" s="33">
        <f t="shared" si="205"/>
        <v>0</v>
      </c>
      <c r="AB165" s="246"/>
      <c r="AC165" s="247"/>
      <c r="AZ165" s="148" t="str">
        <f t="shared" si="206"/>
        <v>5.43</v>
      </c>
      <c r="BA165" s="149" t="s">
        <v>330</v>
      </c>
    </row>
    <row r="166" spans="1:53" ht="25" outlineLevel="1">
      <c r="A166" s="148" t="str">
        <f t="shared" si="204"/>
        <v>5.44</v>
      </c>
      <c r="B166" s="148" t="str">
        <f>INDEX('Standard cost - Testing'!$A$1:$N$497,MATCH(RIGHT($C166,4),'Standard cost - Testing'!$A$1:$A$497,0),3)</f>
        <v>CVE</v>
      </c>
      <c r="C166" s="149" t="str">
        <f>'Standard cost - Testing'!B45&amp;" - "&amp;'Standard cost - Testing'!A45</f>
        <v>Cold flow &amp; TL - C009</v>
      </c>
      <c r="D166" s="150" t="str">
        <f>IF(RIGHT(INDEX('Standard cost - Testing'!$A$1:$N$497,MATCH(RIGHT($C166,4),'Standard cost - Testing'!$A$1:$A$497,0),4),1)="]",INDEX('Standard cost - Testing'!$A$1:$N$497,MATCH(RIGHT($C166,4),'Standard cost - Testing'!$A$1:$A$497,0),4),IF(INDEX('Standard cost - Testing'!$A$1:$N$497,MATCH(RIGHT($C166,4),'Standard cost - Testing'!$A$1:$A$497,0),10)=1,INDEX('Standard cost - Testing'!$A$1:$N$497,MATCH(RIGHT($C166,4),'Standard cost - Testing'!$A$1:$A$497,0),4)&amp;" [1 part]",INDEX('Standard cost - Testing'!$A$1:$N$497,MATCH(RIGHT($C166,4),'Standard cost - Testing'!$A$1:$A$497,0),4)&amp;" ["&amp;INDEX('Standard cost - Testing'!$A$1:$N$497,MATCH(RIGHT($C166,4),'Standard cost - Testing'!$A$1:$A$497,0),10)&amp;" parts]"))</f>
        <v>Cold flow back pressure measurement [1 part]</v>
      </c>
      <c r="E166" s="51" t="str">
        <f>IF('Project information'!$A$4="","",'Project information'!$A$4)</f>
        <v>China</v>
      </c>
      <c r="F166" s="149" t="str">
        <f>INDEX('Standard cost - Testing'!$A$1:$N$497,MATCH(RIGHT($C166,4),'Standard cost - Testing'!$A$1:$A$497,0),5)</f>
        <v>Faurecia</v>
      </c>
      <c r="G166" s="149" t="str">
        <f>IF($E166='Standard cost - Testing'!$F$1,INDEX('Standard cost - Testing'!$A$1:$N$497,MATCH(RIGHT($C166,4),'Standard cost - Testing'!$A$1:$A$497,0),6),INDEX('Standard cost - Testing'!$A$1:$N$497,MATCH(RIGHT($C166,4),'Standard cost - Testing'!$A$1:$A$497,0),7))</f>
        <v>FSE-I-DSE-C002 S22</v>
      </c>
      <c r="H166" s="46"/>
      <c r="I166" s="46"/>
      <c r="J166" s="46"/>
      <c r="K166" s="46"/>
      <c r="L166" s="46"/>
      <c r="M166" s="33">
        <f t="shared" si="196"/>
        <v>0</v>
      </c>
      <c r="N166" s="157">
        <f>IF(E166="","",IF(ISERROR(INDEX('Standard cost - Testing'!$A$1:$N$497,MATCH(RIGHT($C166,4),'Standard cost - Testing'!$A$1:$A$497,0),MATCH($E166,'Standard cost - Testing'!$K$1:$N$1,0)+10)),"NA",INDEX('Standard cost - Testing'!$A$1:$N$497,MATCH(RIGHT($C166,4),'Standard cost - Testing'!$A$1:$A$497,0),MATCH($E166,'Standard cost - Testing'!$K$1:$N$1,0)+10)))</f>
        <v>1315</v>
      </c>
      <c r="O166" s="45">
        <f>IF(OR(ISERROR($N166),$N166="",$N166="NA"),0,H166*$N166)*(1+INDEX('For Finance Control'!$B$27:$E$29,2,MATCH('Project information'!$A$4,'For Finance Control'!$B$27:$E$27,0)))</f>
        <v>0</v>
      </c>
      <c r="P166" s="45">
        <f>IF(OR(ISERROR($N166),$N166="",$N166="NA"),0,I166*$N166)*(1+INDEX('For Finance Control'!$B$27:$E$29,2,MATCH('Project information'!$A$4,'For Finance Control'!$B$27:$E$27,0)))</f>
        <v>0</v>
      </c>
      <c r="Q166" s="45">
        <f>IF(OR(ISERROR($N166),$N166="",$N166="NA"),0,J166*$N166)*(1+INDEX('For Finance Control'!$B$27:$E$29,2,MATCH('Project information'!$A$4,'For Finance Control'!$B$27:$E$27,0)))</f>
        <v>0</v>
      </c>
      <c r="R166" s="45">
        <f>IF(OR(ISERROR($N166),$N166="",$N166="NA"),0,K166*$N166)*(1+INDEX('For Finance Control'!$B$27:$E$29,2,MATCH('Project information'!$A$4,'For Finance Control'!$B$27:$E$27,0)))</f>
        <v>0</v>
      </c>
      <c r="S166" s="45">
        <f>IF(OR(ISERROR($N166),$N166="",$N166="NA"),0,L166*$N166)*(1+INDEX('For Finance Control'!$B$27:$E$29,2,MATCH('Project information'!$A$4,'For Finance Control'!$B$27:$E$27,0)))</f>
        <v>0</v>
      </c>
      <c r="T166" s="45">
        <f t="shared" si="197"/>
        <v>0</v>
      </c>
      <c r="U166" s="33" cm="1">
        <f t="array" ref="U166">IF($N166="NA","NA",$N166*INDEX('Exchange rate'!$A$1:$G$7,MATCH('Project information'!$A$13,'Exchange rate'!$A$1:$A$7,0),MATCH(LOOKUP(2,1/({"China";"Korea";"India";"Japan";"EUR";"NAO"}=$E166),{"CNY";"KRW";"INR";"JPY";"EUR";"USD"}),'Exchange rate'!$A$1:$G$1,0)))</f>
        <v>1315</v>
      </c>
      <c r="V166" s="33">
        <f t="shared" si="198"/>
        <v>0</v>
      </c>
      <c r="W166" s="33">
        <f t="shared" si="199"/>
        <v>0</v>
      </c>
      <c r="X166" s="33">
        <f t="shared" si="200"/>
        <v>0</v>
      </c>
      <c r="Y166" s="33">
        <f t="shared" si="201"/>
        <v>0</v>
      </c>
      <c r="Z166" s="33">
        <f t="shared" si="202"/>
        <v>0</v>
      </c>
      <c r="AA166" s="33">
        <f t="shared" si="205"/>
        <v>0</v>
      </c>
      <c r="AB166" s="246"/>
      <c r="AC166" s="247"/>
      <c r="AZ166" s="148" t="str">
        <f t="shared" si="206"/>
        <v>5.44</v>
      </c>
      <c r="BA166" s="149" t="s">
        <v>331</v>
      </c>
    </row>
    <row r="167" spans="1:53" ht="25" outlineLevel="1">
      <c r="A167" s="148" t="str">
        <f t="shared" si="204"/>
        <v>5.45</v>
      </c>
      <c r="B167" s="148" t="str">
        <f>INDEX('Standard cost - Testing'!$A$1:$N$497,MATCH(RIGHT($C167,4),'Standard cost - Testing'!$A$1:$A$497,0),3)</f>
        <v>LVE</v>
      </c>
      <c r="C167" s="149" t="str">
        <f>'Standard cost - Testing'!B46&amp;" - "&amp;'Standard cost - Testing'!A46</f>
        <v>Cold flow &amp; TL - C010</v>
      </c>
      <c r="D167" s="150" t="str">
        <f>IF(RIGHT(INDEX('Standard cost - Testing'!$A$1:$N$497,MATCH(RIGHT($C167,4),'Standard cost - Testing'!$A$1:$A$497,0),4),1)="]",INDEX('Standard cost - Testing'!$A$1:$N$497,MATCH(RIGHT($C167,4),'Standard cost - Testing'!$A$1:$A$497,0),4),IF(INDEX('Standard cost - Testing'!$A$1:$N$497,MATCH(RIGHT($C167,4),'Standard cost - Testing'!$A$1:$A$497,0),10)=1,INDEX('Standard cost - Testing'!$A$1:$N$497,MATCH(RIGHT($C167,4),'Standard cost - Testing'!$A$1:$A$497,0),4)&amp;" [1 part]",INDEX('Standard cost - Testing'!$A$1:$N$497,MATCH(RIGHT($C167,4),'Standard cost - Testing'!$A$1:$A$497,0),4)&amp;" ["&amp;INDEX('Standard cost - Testing'!$A$1:$N$497,MATCH(RIGHT($C167,4),'Standard cost - Testing'!$A$1:$A$497,0),10)&amp;" parts]"))</f>
        <v>Full exhaust condensate frozen test [1 part]</v>
      </c>
      <c r="E167" s="51" t="str">
        <f>IF('Project information'!$A$4="","",'Project information'!$A$4)</f>
        <v>China</v>
      </c>
      <c r="F167" s="149" t="str">
        <f>INDEX('Standard cost - Testing'!$A$1:$N$497,MATCH(RIGHT($C167,4),'Standard cost - Testing'!$A$1:$A$497,0),5)</f>
        <v>HMC</v>
      </c>
      <c r="G167" s="149" t="str">
        <f>IF($E167='Standard cost - Testing'!$F$1,INDEX('Standard cost - Testing'!$A$1:$N$497,MATCH(RIGHT($C167,4),'Standard cost - Testing'!$A$1:$A$497,0),6),INDEX('Standard cost - Testing'!$A$1:$N$497,MATCH(RIGHT($C167,4),'Standard cost - Testing'!$A$1:$A$497,0),7))</f>
        <v>ES28600-23</v>
      </c>
      <c r="H167" s="46"/>
      <c r="I167" s="46"/>
      <c r="J167" s="46"/>
      <c r="K167" s="46"/>
      <c r="L167" s="46"/>
      <c r="M167" s="33">
        <f t="shared" ref="M167:M169" si="223">SUM(H167:L167)</f>
        <v>0</v>
      </c>
      <c r="N167" s="157">
        <f>IF(E167="","",IF(ISERROR(INDEX('Standard cost - Testing'!$A$1:$N$497,MATCH(RIGHT($C167,4),'Standard cost - Testing'!$A$1:$A$497,0),MATCH($E167,'Standard cost - Testing'!$K$1:$N$1,0)+10)),"NA",INDEX('Standard cost - Testing'!$A$1:$N$497,MATCH(RIGHT($C167,4),'Standard cost - Testing'!$A$1:$A$497,0),MATCH($E167,'Standard cost - Testing'!$K$1:$N$1,0)+10)))</f>
        <v>4070</v>
      </c>
      <c r="O167" s="45">
        <f>IF(OR(ISERROR($N167),$N167="",$N167="NA"),0,H167*$N167)*(1+INDEX('For Finance Control'!$B$27:$E$29,2,MATCH('Project information'!$A$4,'For Finance Control'!$B$27:$E$27,0)))</f>
        <v>0</v>
      </c>
      <c r="P167" s="45">
        <f>IF(OR(ISERROR($N167),$N167="",$N167="NA"),0,I167*$N167)*(1+INDEX('For Finance Control'!$B$27:$E$29,2,MATCH('Project information'!$A$4,'For Finance Control'!$B$27:$E$27,0)))</f>
        <v>0</v>
      </c>
      <c r="Q167" s="45">
        <f>IF(OR(ISERROR($N167),$N167="",$N167="NA"),0,J167*$N167)*(1+INDEX('For Finance Control'!$B$27:$E$29,2,MATCH('Project information'!$A$4,'For Finance Control'!$B$27:$E$27,0)))</f>
        <v>0</v>
      </c>
      <c r="R167" s="45">
        <f>IF(OR(ISERROR($N167),$N167="",$N167="NA"),0,K167*$N167)*(1+INDEX('For Finance Control'!$B$27:$E$29,2,MATCH('Project information'!$A$4,'For Finance Control'!$B$27:$E$27,0)))</f>
        <v>0</v>
      </c>
      <c r="S167" s="45">
        <f>IF(OR(ISERROR($N167),$N167="",$N167="NA"),0,L167*$N167)*(1+INDEX('For Finance Control'!$B$27:$E$29,2,MATCH('Project information'!$A$4,'For Finance Control'!$B$27:$E$27,0)))</f>
        <v>0</v>
      </c>
      <c r="T167" s="45">
        <f t="shared" ref="T167:T169" si="224">SUM(O167:S167)</f>
        <v>0</v>
      </c>
      <c r="U167" s="33" cm="1">
        <f t="array" ref="U167">IF($N167="NA","NA",$N167*INDEX('Exchange rate'!$A$1:$G$7,MATCH('Project information'!$A$13,'Exchange rate'!$A$1:$A$7,0),MATCH(LOOKUP(2,1/({"China";"Korea";"India";"Japan";"EUR";"NAO"}=$E167),{"CNY";"KRW";"INR";"JPY";"EUR";"USD"}),'Exchange rate'!$A$1:$G$1,0)))</f>
        <v>4070</v>
      </c>
      <c r="V167" s="33">
        <f t="shared" ref="V167:V169" si="225">IF(OR(ISERROR($U167),$U167="",$U167="NA"),0,H167*$U167)</f>
        <v>0</v>
      </c>
      <c r="W167" s="33">
        <f t="shared" ref="W167:W169" si="226">IF(OR(ISERROR($U167),$U167="",$U167="NA"),0,I167*$U167)</f>
        <v>0</v>
      </c>
      <c r="X167" s="33">
        <f t="shared" ref="X167:X169" si="227">IF(OR(ISERROR($U167),$U167="",$U167="NA"),0,J167*$U167)</f>
        <v>0</v>
      </c>
      <c r="Y167" s="33">
        <f t="shared" ref="Y167:Y169" si="228">IF(OR(ISERROR($U167),$U167="",$U167="NA"),0,K167*$U167)</f>
        <v>0</v>
      </c>
      <c r="Z167" s="33">
        <f t="shared" ref="Z167:Z169" si="229">IF(OR(ISERROR($U167),$U167="",$U167="NA"),0,L167*$U167)</f>
        <v>0</v>
      </c>
      <c r="AA167" s="33">
        <f t="shared" ref="AA167:AA169" si="230">SUM(V167:Z167)</f>
        <v>0</v>
      </c>
      <c r="AB167" s="246"/>
      <c r="AC167" s="247"/>
      <c r="AZ167" s="148" t="str">
        <f t="shared" si="206"/>
        <v>5.45</v>
      </c>
      <c r="BA167" s="149" t="s">
        <v>332</v>
      </c>
    </row>
    <row r="168" spans="1:53" ht="25" outlineLevel="1">
      <c r="A168" s="148" t="str">
        <f t="shared" si="204"/>
        <v>5.46</v>
      </c>
      <c r="B168" s="148" t="str">
        <f>INDEX('Standard cost - Testing'!$A$1:$N$497,MATCH(RIGHT($C168,4),'Standard cost - Testing'!$A$1:$A$497,0),3)</f>
        <v>LVE</v>
      </c>
      <c r="C168" s="149" t="str">
        <f>'Standard cost - Testing'!B47&amp;" - "&amp;'Standard cost - Testing'!A47</f>
        <v>Cold flow &amp; TL - C011</v>
      </c>
      <c r="D168" s="150" t="str">
        <f>IF(RIGHT(INDEX('Standard cost - Testing'!$A$1:$N$497,MATCH(RIGHT($C168,4),'Standard cost - Testing'!$A$1:$A$497,0),4),1)="]",INDEX('Standard cost - Testing'!$A$1:$N$497,MATCH(RIGHT($C168,4),'Standard cost - Testing'!$A$1:$A$497,0),4),IF(INDEX('Standard cost - Testing'!$A$1:$N$497,MATCH(RIGHT($C168,4),'Standard cost - Testing'!$A$1:$A$497,0),10)=1,INDEX('Standard cost - Testing'!$A$1:$N$497,MATCH(RIGHT($C168,4),'Standard cost - Testing'!$A$1:$A$497,0),4)&amp;" [1 part]",INDEX('Standard cost - Testing'!$A$1:$N$497,MATCH(RIGHT($C168,4),'Standard cost - Testing'!$A$1:$A$497,0),4)&amp;" ["&amp;INDEX('Standard cost - Testing'!$A$1:$N$497,MATCH(RIGHT($C168,4),'Standard cost - Testing'!$A$1:$A$497,0),10)&amp;" parts]"))</f>
        <v>Flow noise test [1 part]</v>
      </c>
      <c r="E168" s="51" t="str">
        <f>IF('Project information'!$A$4="","",'Project information'!$A$4)</f>
        <v>China</v>
      </c>
      <c r="F168" s="149" t="str">
        <f>INDEX('Standard cost - Testing'!$A$1:$N$497,MATCH(RIGHT($C168,4),'Standard cost - Testing'!$A$1:$A$497,0),5)</f>
        <v>Faurecia</v>
      </c>
      <c r="G168" s="149" t="str">
        <f>IF($E168='Standard cost - Testing'!$F$1,INDEX('Standard cost - Testing'!$A$1:$N$497,MATCH(RIGHT($C168,4),'Standard cost - Testing'!$A$1:$A$497,0),6),INDEX('Standard cost - Testing'!$A$1:$N$497,MATCH(RIGHT($C168,4),'Standard cost - Testing'!$A$1:$A$497,0),7))</f>
        <v>CHD-I-DSE-2039</v>
      </c>
      <c r="H168" s="46"/>
      <c r="I168" s="46"/>
      <c r="J168" s="46"/>
      <c r="K168" s="46"/>
      <c r="L168" s="46"/>
      <c r="M168" s="33">
        <f t="shared" ref="M168" si="231">SUM(H168:L168)</f>
        <v>0</v>
      </c>
      <c r="N168" s="157">
        <f>IF(E168="","",IF(ISERROR(INDEX('Standard cost - Testing'!$A$1:$N$497,MATCH(RIGHT($C168,4),'Standard cost - Testing'!$A$1:$A$497,0),MATCH($E168,'Standard cost - Testing'!$K$1:$N$1,0)+10)),"NA",INDEX('Standard cost - Testing'!$A$1:$N$497,MATCH(RIGHT($C168,4),'Standard cost - Testing'!$A$1:$A$497,0),MATCH($E168,'Standard cost - Testing'!$K$1:$N$1,0)+10)))</f>
        <v>2752.5</v>
      </c>
      <c r="O168" s="45">
        <f>IF(OR(ISERROR($N168),$N168="",$N168="NA"),0,H168*$N168)*(1+INDEX('For Finance Control'!$B$27:$E$29,2,MATCH('Project information'!$A$4,'For Finance Control'!$B$27:$E$27,0)))</f>
        <v>0</v>
      </c>
      <c r="P168" s="45">
        <f>IF(OR(ISERROR($N168),$N168="",$N168="NA"),0,I168*$N168)*(1+INDEX('For Finance Control'!$B$27:$E$29,2,MATCH('Project information'!$A$4,'For Finance Control'!$B$27:$E$27,0)))</f>
        <v>0</v>
      </c>
      <c r="Q168" s="45">
        <f>IF(OR(ISERROR($N168),$N168="",$N168="NA"),0,J168*$N168)*(1+INDEX('For Finance Control'!$B$27:$E$29,2,MATCH('Project information'!$A$4,'For Finance Control'!$B$27:$E$27,0)))</f>
        <v>0</v>
      </c>
      <c r="R168" s="45">
        <f>IF(OR(ISERROR($N168),$N168="",$N168="NA"),0,K168*$N168)*(1+INDEX('For Finance Control'!$B$27:$E$29,2,MATCH('Project information'!$A$4,'For Finance Control'!$B$27:$E$27,0)))</f>
        <v>0</v>
      </c>
      <c r="S168" s="45">
        <f>IF(OR(ISERROR($N168),$N168="",$N168="NA"),0,L168*$N168)*(1+INDEX('For Finance Control'!$B$27:$E$29,2,MATCH('Project information'!$A$4,'For Finance Control'!$B$27:$E$27,0)))</f>
        <v>0</v>
      </c>
      <c r="T168" s="45">
        <f t="shared" ref="T168" si="232">SUM(O168:S168)</f>
        <v>0</v>
      </c>
      <c r="U168" s="33" cm="1">
        <f t="array" ref="U168">IF($N168="NA","NA",$N168*INDEX('Exchange rate'!$A$1:$G$7,MATCH('Project information'!$A$13,'Exchange rate'!$A$1:$A$7,0),MATCH(LOOKUP(2,1/({"China";"Korea";"India";"Japan";"EUR";"NAO"}=$E168),{"CNY";"KRW";"INR";"JPY";"EUR";"USD"}),'Exchange rate'!$A$1:$G$1,0)))</f>
        <v>2752.5</v>
      </c>
      <c r="V168" s="33">
        <f t="shared" ref="V168" si="233">IF(OR(ISERROR($U168),$U168="",$U168="NA"),0,H168*$U168)</f>
        <v>0</v>
      </c>
      <c r="W168" s="33">
        <f t="shared" ref="W168" si="234">IF(OR(ISERROR($U168),$U168="",$U168="NA"),0,I168*$U168)</f>
        <v>0</v>
      </c>
      <c r="X168" s="33">
        <f t="shared" ref="X168" si="235">IF(OR(ISERROR($U168),$U168="",$U168="NA"),0,J168*$U168)</f>
        <v>0</v>
      </c>
      <c r="Y168" s="33">
        <f t="shared" ref="Y168" si="236">IF(OR(ISERROR($U168),$U168="",$U168="NA"),0,K168*$U168)</f>
        <v>0</v>
      </c>
      <c r="Z168" s="33">
        <f t="shared" ref="Z168" si="237">IF(OR(ISERROR($U168),$U168="",$U168="NA"),0,L168*$U168)</f>
        <v>0</v>
      </c>
      <c r="AA168" s="33">
        <f t="shared" ref="AA168" si="238">SUM(V168:Z168)</f>
        <v>0</v>
      </c>
      <c r="AB168" s="246"/>
      <c r="AC168" s="247"/>
      <c r="AZ168" s="148" t="str">
        <f t="shared" si="206"/>
        <v>5.46</v>
      </c>
      <c r="BA168" s="149" t="s">
        <v>333</v>
      </c>
    </row>
    <row r="169" spans="1:53" ht="25" outlineLevel="1">
      <c r="A169" s="148" t="str">
        <f t="shared" si="204"/>
        <v>5.47</v>
      </c>
      <c r="B169" s="148" t="str">
        <f>INDEX('Standard cost - Testing'!$A$1:$N$497,MATCH(RIGHT($C169,4),'Standard cost - Testing'!$A$1:$A$497,0),3)</f>
        <v>Common</v>
      </c>
      <c r="C169" s="149" t="str">
        <f>'Standard cost - Testing'!B48&amp;" - "&amp;'Standard cost - Testing'!A48</f>
        <v>Cold flow &amp; TL - C012</v>
      </c>
      <c r="D169" s="150" t="str">
        <f>IF(RIGHT(INDEX('Standard cost - Testing'!$A$1:$N$497,MATCH(RIGHT($C169,4),'Standard cost - Testing'!$A$1:$A$497,0),4),1)="]",INDEX('Standard cost - Testing'!$A$1:$N$497,MATCH(RIGHT($C169,4),'Standard cost - Testing'!$A$1:$A$497,0),4),IF(INDEX('Standard cost - Testing'!$A$1:$N$497,MATCH(RIGHT($C169,4),'Standard cost - Testing'!$A$1:$A$497,0),10)=1,INDEX('Standard cost - Testing'!$A$1:$N$497,MATCH(RIGHT($C169,4),'Standard cost - Testing'!$A$1:$A$497,0),4)&amp;" [1 part]",INDEX('Standard cost - Testing'!$A$1:$N$497,MATCH(RIGHT($C169,4),'Standard cost - Testing'!$A$1:$A$497,0),4)&amp;" ["&amp;INDEX('Standard cost - Testing'!$A$1:$N$497,MATCH(RIGHT($C169,4),'Standard cost - Testing'!$A$1:$A$497,0),10)&amp;" parts]"))</f>
        <v>Equivalent section measurement - Package [3 parts]</v>
      </c>
      <c r="E169" s="51" t="str">
        <f>IF('Project information'!$A$4="","",'Project information'!$A$4)</f>
        <v>China</v>
      </c>
      <c r="F169" s="149" t="str">
        <f>INDEX('Standard cost - Testing'!$A$1:$N$497,MATCH(RIGHT($C169,4),'Standard cost - Testing'!$A$1:$A$497,0),5)</f>
        <v>Faurecia</v>
      </c>
      <c r="G169" s="149" t="str">
        <f>IF($E169='Standard cost - Testing'!$F$1,INDEX('Standard cost - Testing'!$A$1:$N$497,MATCH(RIGHT($C169,4),'Standard cost - Testing'!$A$1:$A$497,0),6),INDEX('Standard cost - Testing'!$A$1:$N$497,MATCH(RIGHT($C169,4),'Standard cost - Testing'!$A$1:$A$497,0),7))</f>
        <v>CHD-I-DSE-2010</v>
      </c>
      <c r="H169" s="46"/>
      <c r="I169" s="46"/>
      <c r="J169" s="46"/>
      <c r="K169" s="46"/>
      <c r="L169" s="46"/>
      <c r="M169" s="33">
        <f t="shared" si="223"/>
        <v>0</v>
      </c>
      <c r="N169" s="157">
        <f>IF(E169="","",IF(ISERROR(INDEX('Standard cost - Testing'!$A$1:$N$497,MATCH(RIGHT($C169,4),'Standard cost - Testing'!$A$1:$A$497,0),MATCH($E169,'Standard cost - Testing'!$K$1:$N$1,0)+10)),"NA",INDEX('Standard cost - Testing'!$A$1:$N$497,MATCH(RIGHT($C169,4),'Standard cost - Testing'!$A$1:$A$497,0),MATCH($E169,'Standard cost - Testing'!$K$1:$N$1,0)+10)))</f>
        <v>2737.5</v>
      </c>
      <c r="O169" s="45">
        <f>IF(OR(ISERROR($N169),$N169="",$N169="NA"),0,H169*$N169)*(1+INDEX('For Finance Control'!$B$27:$E$29,2,MATCH('Project information'!$A$4,'For Finance Control'!$B$27:$E$27,0)))</f>
        <v>0</v>
      </c>
      <c r="P169" s="45">
        <f>IF(OR(ISERROR($N169),$N169="",$N169="NA"),0,I169*$N169)*(1+INDEX('For Finance Control'!$B$27:$E$29,2,MATCH('Project information'!$A$4,'For Finance Control'!$B$27:$E$27,0)))</f>
        <v>0</v>
      </c>
      <c r="Q169" s="45">
        <f>IF(OR(ISERROR($N169),$N169="",$N169="NA"),0,J169*$N169)*(1+INDEX('For Finance Control'!$B$27:$E$29,2,MATCH('Project information'!$A$4,'For Finance Control'!$B$27:$E$27,0)))</f>
        <v>0</v>
      </c>
      <c r="R169" s="45">
        <f>IF(OR(ISERROR($N169),$N169="",$N169="NA"),0,K169*$N169)*(1+INDEX('For Finance Control'!$B$27:$E$29,2,MATCH('Project information'!$A$4,'For Finance Control'!$B$27:$E$27,0)))</f>
        <v>0</v>
      </c>
      <c r="S169" s="45">
        <f>IF(OR(ISERROR($N169),$N169="",$N169="NA"),0,L169*$N169)*(1+INDEX('For Finance Control'!$B$27:$E$29,2,MATCH('Project information'!$A$4,'For Finance Control'!$B$27:$E$27,0)))</f>
        <v>0</v>
      </c>
      <c r="T169" s="45">
        <f t="shared" si="224"/>
        <v>0</v>
      </c>
      <c r="U169" s="33" cm="1">
        <f t="array" ref="U169">IF($N169="NA","NA",$N169*INDEX('Exchange rate'!$A$1:$G$7,MATCH('Project information'!$A$13,'Exchange rate'!$A$1:$A$7,0),MATCH(LOOKUP(2,1/({"China";"Korea";"India";"Japan";"EUR";"NAO"}=$E169),{"CNY";"KRW";"INR";"JPY";"EUR";"USD"}),'Exchange rate'!$A$1:$G$1,0)))</f>
        <v>2737.5</v>
      </c>
      <c r="V169" s="33">
        <f t="shared" si="225"/>
        <v>0</v>
      </c>
      <c r="W169" s="33">
        <f t="shared" si="226"/>
        <v>0</v>
      </c>
      <c r="X169" s="33">
        <f t="shared" si="227"/>
        <v>0</v>
      </c>
      <c r="Y169" s="33">
        <f t="shared" si="228"/>
        <v>0</v>
      </c>
      <c r="Z169" s="33">
        <f t="shared" si="229"/>
        <v>0</v>
      </c>
      <c r="AA169" s="33">
        <f t="shared" si="230"/>
        <v>0</v>
      </c>
      <c r="AB169" s="246"/>
      <c r="AC169" s="247"/>
      <c r="AZ169" s="148" t="str">
        <f t="shared" si="206"/>
        <v>5.47</v>
      </c>
      <c r="BA169" s="149" t="s">
        <v>324</v>
      </c>
    </row>
    <row r="170" spans="1:53" ht="25" outlineLevel="1">
      <c r="A170" s="148" t="str">
        <f t="shared" si="204"/>
        <v>5.48</v>
      </c>
      <c r="B170" s="148" t="str">
        <f>INDEX('Standard cost - Testing'!$A$1:$N$497,MATCH(RIGHT($C170,4),'Standard cost - Testing'!$A$1:$A$497,0),3)</f>
        <v>LVE</v>
      </c>
      <c r="C170" s="149" t="str">
        <f>'Standard cost - Testing'!B49&amp;" - "&amp;'Standard cost - Testing'!A49</f>
        <v>Engine Dura. Bench - D001</v>
      </c>
      <c r="D170" s="150" t="str">
        <f>IF(RIGHT(INDEX('Standard cost - Testing'!$A$1:$N$497,MATCH(RIGHT($C170,4),'Standard cost - Testing'!$A$1:$A$497,0),4),1)="]",INDEX('Standard cost - Testing'!$A$1:$N$497,MATCH(RIGHT($C170,4),'Standard cost - Testing'!$A$1:$A$497,0),4),IF(INDEX('Standard cost - Testing'!$A$1:$N$497,MATCH(RIGHT($C170,4),'Standard cost - Testing'!$A$1:$A$497,0),10)=1,INDEX('Standard cost - Testing'!$A$1:$N$497,MATCH(RIGHT($C170,4),'Standard cost - Testing'!$A$1:$A$497,0),4)&amp;" [1 part]",INDEX('Standard cost - Testing'!$A$1:$N$497,MATCH(RIGHT($C170,4),'Standard cost - Testing'!$A$1:$A$497,0),4)&amp;" ["&amp;INDEX('Standard cost - Testing'!$A$1:$N$497,MATCH(RIGHT($C170,4),'Standard cost - Testing'!$A$1:$A$497,0),10)&amp;" parts]"))</f>
        <v>Engine vibration endurance - 10M cycles per resonance [1 part]</v>
      </c>
      <c r="E170" s="51" t="str">
        <f>IF('Project information'!$A$4="","",'Project information'!$A$4)</f>
        <v>China</v>
      </c>
      <c r="F170" s="149" t="str">
        <f>INDEX('Standard cost - Testing'!$A$1:$N$497,MATCH(RIGHT($C170,4),'Standard cost - Testing'!$A$1:$A$497,0),5)</f>
        <v>Faurecia</v>
      </c>
      <c r="G170" s="149" t="str">
        <f>IF($E170='Standard cost - Testing'!$F$1,INDEX('Standard cost - Testing'!$A$1:$N$497,MATCH(RIGHT($C170,4),'Standard cost - Testing'!$A$1:$A$497,0),6),INDEX('Standard cost - Testing'!$A$1:$N$497,MATCH(RIGHT($C170,4),'Standard cost - Testing'!$A$1:$A$497,0),7))</f>
        <v>CHD-I-DSE-2006</v>
      </c>
      <c r="H170" s="46"/>
      <c r="I170" s="46"/>
      <c r="J170" s="46"/>
      <c r="K170" s="46"/>
      <c r="L170" s="46"/>
      <c r="M170" s="33">
        <f t="shared" ref="M170" si="239">SUM(H170:L170)</f>
        <v>0</v>
      </c>
      <c r="N170" s="157">
        <f>IF(E170="","",IF(ISERROR(INDEX('Standard cost - Testing'!$A$1:$N$497,MATCH(RIGHT($C170,4),'Standard cost - Testing'!$A$1:$A$497,0),MATCH($E170,'Standard cost - Testing'!$K$1:$N$1,0)+10)),"NA",INDEX('Standard cost - Testing'!$A$1:$N$497,MATCH(RIGHT($C170,4),'Standard cost - Testing'!$A$1:$A$497,0),MATCH($E170,'Standard cost - Testing'!$K$1:$N$1,0)+10)))</f>
        <v>55989</v>
      </c>
      <c r="O170" s="45">
        <f>IF(OR(ISERROR($N170),$N170="",$N170="NA"),0,H170*$N170)*(1+INDEX('For Finance Control'!$B$27:$E$29,2,MATCH('Project information'!$A$4,'For Finance Control'!$B$27:$E$27,0)))</f>
        <v>0</v>
      </c>
      <c r="P170" s="45">
        <f>IF(OR(ISERROR($N170),$N170="",$N170="NA"),0,I170*$N170)*(1+INDEX('For Finance Control'!$B$27:$E$29,2,MATCH('Project information'!$A$4,'For Finance Control'!$B$27:$E$27,0)))</f>
        <v>0</v>
      </c>
      <c r="Q170" s="45">
        <f>IF(OR(ISERROR($N170),$N170="",$N170="NA"),0,J170*$N170)*(1+INDEX('For Finance Control'!$B$27:$E$29,2,MATCH('Project information'!$A$4,'For Finance Control'!$B$27:$E$27,0)))</f>
        <v>0</v>
      </c>
      <c r="R170" s="45">
        <f>IF(OR(ISERROR($N170),$N170="",$N170="NA"),0,K170*$N170)*(1+INDEX('For Finance Control'!$B$27:$E$29,2,MATCH('Project information'!$A$4,'For Finance Control'!$B$27:$E$27,0)))</f>
        <v>0</v>
      </c>
      <c r="S170" s="45">
        <f>IF(OR(ISERROR($N170),$N170="",$N170="NA"),0,L170*$N170)*(1+INDEX('For Finance Control'!$B$27:$E$29,2,MATCH('Project information'!$A$4,'For Finance Control'!$B$27:$E$27,0)))</f>
        <v>0</v>
      </c>
      <c r="T170" s="45">
        <f t="shared" ref="T170" si="240">SUM(O170:S170)</f>
        <v>0</v>
      </c>
      <c r="U170" s="33" cm="1">
        <f t="array" ref="U170">IF($N170="NA","NA",$N170*INDEX('Exchange rate'!$A$1:$G$7,MATCH('Project information'!$A$13,'Exchange rate'!$A$1:$A$7,0),MATCH(LOOKUP(2,1/({"China";"Korea";"India";"Japan";"EUR";"NAO"}=$E170),{"CNY";"KRW";"INR";"JPY";"EUR";"USD"}),'Exchange rate'!$A$1:$G$1,0)))</f>
        <v>55989</v>
      </c>
      <c r="V170" s="33">
        <f t="shared" ref="V170" si="241">IF(OR(ISERROR($U170),$U170="",$U170="NA"),0,H170*$U170)</f>
        <v>0</v>
      </c>
      <c r="W170" s="33">
        <f t="shared" ref="W170" si="242">IF(OR(ISERROR($U170),$U170="",$U170="NA"),0,I170*$U170)</f>
        <v>0</v>
      </c>
      <c r="X170" s="33">
        <f t="shared" ref="X170" si="243">IF(OR(ISERROR($U170),$U170="",$U170="NA"),0,J170*$U170)</f>
        <v>0</v>
      </c>
      <c r="Y170" s="33">
        <f t="shared" ref="Y170" si="244">IF(OR(ISERROR($U170),$U170="",$U170="NA"),0,K170*$U170)</f>
        <v>0</v>
      </c>
      <c r="Z170" s="33">
        <f t="shared" ref="Z170" si="245">IF(OR(ISERROR($U170),$U170="",$U170="NA"),0,L170*$U170)</f>
        <v>0</v>
      </c>
      <c r="AA170" s="33">
        <f t="shared" ref="AA170" si="246">SUM(V170:Z170)</f>
        <v>0</v>
      </c>
      <c r="AB170" s="246"/>
      <c r="AC170" s="247"/>
      <c r="AZ170" s="148" t="str">
        <f t="shared" si="206"/>
        <v>5.48</v>
      </c>
      <c r="BA170" s="149" t="s">
        <v>334</v>
      </c>
    </row>
    <row r="171" spans="1:53" ht="25" outlineLevel="1">
      <c r="A171" s="148" t="str">
        <f t="shared" si="204"/>
        <v>5.49</v>
      </c>
      <c r="B171" s="148" t="str">
        <f>INDEX('Standard cost - Testing'!$A$1:$N$497,MATCH(RIGHT($C171,4),'Standard cost - Testing'!$A$1:$A$497,0),3)</f>
        <v>LVE</v>
      </c>
      <c r="C171" s="149" t="str">
        <f>'Standard cost - Testing'!B50&amp;" - "&amp;'Standard cost - Testing'!A50</f>
        <v>Engine Dura. Bench - D002</v>
      </c>
      <c r="D171" s="150" t="str">
        <f>IF(RIGHT(INDEX('Standard cost - Testing'!$A$1:$N$497,MATCH(RIGHT($C171,4),'Standard cost - Testing'!$A$1:$A$497,0),4),1)="]",INDEX('Standard cost - Testing'!$A$1:$N$497,MATCH(RIGHT($C171,4),'Standard cost - Testing'!$A$1:$A$497,0),4),IF(INDEX('Standard cost - Testing'!$A$1:$N$497,MATCH(RIGHT($C171,4),'Standard cost - Testing'!$A$1:$A$497,0),10)=1,INDEX('Standard cost - Testing'!$A$1:$N$497,MATCH(RIGHT($C171,4),'Standard cost - Testing'!$A$1:$A$497,0),4)&amp;" [1 part]",INDEX('Standard cost - Testing'!$A$1:$N$497,MATCH(RIGHT($C171,4),'Standard cost - Testing'!$A$1:$A$497,0),4)&amp;" ["&amp;INDEX('Standard cost - Testing'!$A$1:$N$497,MATCH(RIGHT($C171,4),'Standard cost - Testing'!$A$1:$A$497,0),10)&amp;" parts]"))</f>
        <v>Thermal shock endurance - 1000 cycles [1 part]</v>
      </c>
      <c r="E171" s="51" t="str">
        <f>IF('Project information'!$A$4="","",'Project information'!$A$4)</f>
        <v>China</v>
      </c>
      <c r="F171" s="149" t="str">
        <f>INDEX('Standard cost - Testing'!$A$1:$N$497,MATCH(RIGHT($C171,4),'Standard cost - Testing'!$A$1:$A$497,0),5)</f>
        <v>Faurecia</v>
      </c>
      <c r="G171" s="149" t="str">
        <f>IF($E171='Standard cost - Testing'!$F$1,INDEX('Standard cost - Testing'!$A$1:$N$497,MATCH(RIGHT($C171,4),'Standard cost - Testing'!$A$1:$A$497,0),6),INDEX('Standard cost - Testing'!$A$1:$N$497,MATCH(RIGHT($C171,4),'Standard cost - Testing'!$A$1:$A$497,0),7))</f>
        <v>CHD-I-DSE-2007</v>
      </c>
      <c r="H171" s="46"/>
      <c r="I171" s="46"/>
      <c r="J171" s="46"/>
      <c r="K171" s="46"/>
      <c r="L171" s="46"/>
      <c r="M171" s="33">
        <f t="shared" si="196"/>
        <v>0</v>
      </c>
      <c r="N171" s="157">
        <f>IF(E171="","",IF(ISERROR(INDEX('Standard cost - Testing'!$A$1:$N$497,MATCH(RIGHT($C171,4),'Standard cost - Testing'!$A$1:$A$497,0),MATCH($E171,'Standard cost - Testing'!$K$1:$N$1,0)+10)),"NA",INDEX('Standard cost - Testing'!$A$1:$N$497,MATCH(RIGHT($C171,4),'Standard cost - Testing'!$A$1:$A$497,0),MATCH($E171,'Standard cost - Testing'!$K$1:$N$1,0)+10)))</f>
        <v>177369</v>
      </c>
      <c r="O171" s="45">
        <f>IF(OR(ISERROR($N171),$N171="",$N171="NA"),0,H171*$N171)*(1+INDEX('For Finance Control'!$B$27:$E$29,2,MATCH('Project information'!$A$4,'For Finance Control'!$B$27:$E$27,0)))</f>
        <v>0</v>
      </c>
      <c r="P171" s="45">
        <f>IF(OR(ISERROR($N171),$N171="",$N171="NA"),0,I171*$N171)*(1+INDEX('For Finance Control'!$B$27:$E$29,2,MATCH('Project information'!$A$4,'For Finance Control'!$B$27:$E$27,0)))</f>
        <v>0</v>
      </c>
      <c r="Q171" s="45">
        <f>IF(OR(ISERROR($N171),$N171="",$N171="NA"),0,J171*$N171)*(1+INDEX('For Finance Control'!$B$27:$E$29,2,MATCH('Project information'!$A$4,'For Finance Control'!$B$27:$E$27,0)))</f>
        <v>0</v>
      </c>
      <c r="R171" s="45">
        <f>IF(OR(ISERROR($N171),$N171="",$N171="NA"),0,K171*$N171)*(1+INDEX('For Finance Control'!$B$27:$E$29,2,MATCH('Project information'!$A$4,'For Finance Control'!$B$27:$E$27,0)))</f>
        <v>0</v>
      </c>
      <c r="S171" s="45">
        <f>IF(OR(ISERROR($N171),$N171="",$N171="NA"),0,L171*$N171)*(1+INDEX('For Finance Control'!$B$27:$E$29,2,MATCH('Project information'!$A$4,'For Finance Control'!$B$27:$E$27,0)))</f>
        <v>0</v>
      </c>
      <c r="T171" s="45">
        <f t="shared" si="197"/>
        <v>0</v>
      </c>
      <c r="U171" s="33" cm="1">
        <f t="array" ref="U171">IF($N171="NA","NA",$N171*INDEX('Exchange rate'!$A$1:$G$7,MATCH('Project information'!$A$13,'Exchange rate'!$A$1:$A$7,0),MATCH(LOOKUP(2,1/({"China";"Korea";"India";"Japan";"EUR";"NAO"}=$E171),{"CNY";"KRW";"INR";"JPY";"EUR";"USD"}),'Exchange rate'!$A$1:$G$1,0)))</f>
        <v>177369</v>
      </c>
      <c r="V171" s="33">
        <f t="shared" si="198"/>
        <v>0</v>
      </c>
      <c r="W171" s="33">
        <f t="shared" si="199"/>
        <v>0</v>
      </c>
      <c r="X171" s="33">
        <f t="shared" si="200"/>
        <v>0</v>
      </c>
      <c r="Y171" s="33">
        <f t="shared" si="201"/>
        <v>0</v>
      </c>
      <c r="Z171" s="33">
        <f t="shared" si="202"/>
        <v>0</v>
      </c>
      <c r="AA171" s="33">
        <f t="shared" si="205"/>
        <v>0</v>
      </c>
      <c r="AB171" s="246"/>
      <c r="AC171" s="247"/>
      <c r="AZ171" s="148" t="str">
        <f t="shared" si="206"/>
        <v>5.49</v>
      </c>
      <c r="BA171" s="149" t="s">
        <v>335</v>
      </c>
    </row>
    <row r="172" spans="1:53" ht="25" outlineLevel="1">
      <c r="A172" s="148" t="str">
        <f t="shared" si="204"/>
        <v>5.50</v>
      </c>
      <c r="B172" s="148" t="str">
        <f>INDEX('Standard cost - Testing'!$A$1:$N$497,MATCH(RIGHT($C172,4),'Standard cost - Testing'!$A$1:$A$497,0),3)</f>
        <v>LVE</v>
      </c>
      <c r="C172" s="149" t="str">
        <f>'Standard cost - Testing'!B51&amp;" - "&amp;'Standard cost - Testing'!A51</f>
        <v>Engine Dura. Bench - D003</v>
      </c>
      <c r="D172" s="150" t="str">
        <f>IF(RIGHT(INDEX('Standard cost - Testing'!$A$1:$N$497,MATCH(RIGHT($C172,4),'Standard cost - Testing'!$A$1:$A$497,0),4),1)="]",INDEX('Standard cost - Testing'!$A$1:$N$497,MATCH(RIGHT($C172,4),'Standard cost - Testing'!$A$1:$A$497,0),4),IF(INDEX('Standard cost - Testing'!$A$1:$N$497,MATCH(RIGHT($C172,4),'Standard cost - Testing'!$A$1:$A$497,0),10)=1,INDEX('Standard cost - Testing'!$A$1:$N$497,MATCH(RIGHT($C172,4),'Standard cost - Testing'!$A$1:$A$497,0),4)&amp;" [1 part]",INDEX('Standard cost - Testing'!$A$1:$N$497,MATCH(RIGHT($C172,4),'Standard cost - Testing'!$A$1:$A$497,0),4)&amp;" ["&amp;INDEX('Standard cost - Testing'!$A$1:$N$497,MATCH(RIGHT($C172,4),'Standard cost - Testing'!$A$1:$A$497,0),10)&amp;" parts]"))</f>
        <v>Thermal shock endurance - 1500 cycles [1 part]</v>
      </c>
      <c r="E172" s="51" t="str">
        <f>IF('Project information'!$A$4="","",'Project information'!$A$4)</f>
        <v>China</v>
      </c>
      <c r="F172" s="149" t="str">
        <f>INDEX('Standard cost - Testing'!$A$1:$N$497,MATCH(RIGHT($C172,4),'Standard cost - Testing'!$A$1:$A$497,0),5)</f>
        <v>Faurecia</v>
      </c>
      <c r="G172" s="149" t="str">
        <f>IF($E172='Standard cost - Testing'!$F$1,INDEX('Standard cost - Testing'!$A$1:$N$497,MATCH(RIGHT($C172,4),'Standard cost - Testing'!$A$1:$A$497,0),6),INDEX('Standard cost - Testing'!$A$1:$N$497,MATCH(RIGHT($C172,4),'Standard cost - Testing'!$A$1:$A$497,0),7))</f>
        <v>CHD-I-DSE-2007</v>
      </c>
      <c r="H172" s="46"/>
      <c r="I172" s="46"/>
      <c r="J172" s="46"/>
      <c r="K172" s="46"/>
      <c r="L172" s="46"/>
      <c r="M172" s="33">
        <f t="shared" si="196"/>
        <v>0</v>
      </c>
      <c r="N172" s="157">
        <f>IF(E172="","",IF(ISERROR(INDEX('Standard cost - Testing'!$A$1:$N$497,MATCH(RIGHT($C172,4),'Standard cost - Testing'!$A$1:$A$497,0),MATCH($E172,'Standard cost - Testing'!$K$1:$N$1,0)+10)),"NA",INDEX('Standard cost - Testing'!$A$1:$N$497,MATCH(RIGHT($C172,4),'Standard cost - Testing'!$A$1:$A$497,0),MATCH($E172,'Standard cost - Testing'!$K$1:$N$1,0)+10)))</f>
        <v>258354</v>
      </c>
      <c r="O172" s="45">
        <f>IF(OR(ISERROR($N172),$N172="",$N172="NA"),0,H172*$N172)*(1+INDEX('For Finance Control'!$B$27:$E$29,2,MATCH('Project information'!$A$4,'For Finance Control'!$B$27:$E$27,0)))</f>
        <v>0</v>
      </c>
      <c r="P172" s="45">
        <f>IF(OR(ISERROR($N172),$N172="",$N172="NA"),0,I172*$N172)*(1+INDEX('For Finance Control'!$B$27:$E$29,2,MATCH('Project information'!$A$4,'For Finance Control'!$B$27:$E$27,0)))</f>
        <v>0</v>
      </c>
      <c r="Q172" s="45">
        <f>IF(OR(ISERROR($N172),$N172="",$N172="NA"),0,J172*$N172)*(1+INDEX('For Finance Control'!$B$27:$E$29,2,MATCH('Project information'!$A$4,'For Finance Control'!$B$27:$E$27,0)))</f>
        <v>0</v>
      </c>
      <c r="R172" s="45">
        <f>IF(OR(ISERROR($N172),$N172="",$N172="NA"),0,K172*$N172)*(1+INDEX('For Finance Control'!$B$27:$E$29,2,MATCH('Project information'!$A$4,'For Finance Control'!$B$27:$E$27,0)))</f>
        <v>0</v>
      </c>
      <c r="S172" s="45">
        <f>IF(OR(ISERROR($N172),$N172="",$N172="NA"),0,L172*$N172)*(1+INDEX('For Finance Control'!$B$27:$E$29,2,MATCH('Project information'!$A$4,'For Finance Control'!$B$27:$E$27,0)))</f>
        <v>0</v>
      </c>
      <c r="T172" s="45">
        <f t="shared" si="197"/>
        <v>0</v>
      </c>
      <c r="U172" s="33" cm="1">
        <f t="array" ref="U172">IF($N172="NA","NA",$N172*INDEX('Exchange rate'!$A$1:$G$7,MATCH('Project information'!$A$13,'Exchange rate'!$A$1:$A$7,0),MATCH(LOOKUP(2,1/({"China";"Korea";"India";"Japan";"EUR";"NAO"}=$E172),{"CNY";"KRW";"INR";"JPY";"EUR";"USD"}),'Exchange rate'!$A$1:$G$1,0)))</f>
        <v>258354</v>
      </c>
      <c r="V172" s="33">
        <f t="shared" si="198"/>
        <v>0</v>
      </c>
      <c r="W172" s="33">
        <f t="shared" si="199"/>
        <v>0</v>
      </c>
      <c r="X172" s="33">
        <f t="shared" si="200"/>
        <v>0</v>
      </c>
      <c r="Y172" s="33">
        <f t="shared" si="201"/>
        <v>0</v>
      </c>
      <c r="Z172" s="33">
        <f t="shared" si="202"/>
        <v>0</v>
      </c>
      <c r="AA172" s="33">
        <f t="shared" si="205"/>
        <v>0</v>
      </c>
      <c r="AB172" s="246"/>
      <c r="AC172" s="247"/>
      <c r="AZ172" s="148" t="str">
        <f t="shared" si="206"/>
        <v>5.50</v>
      </c>
      <c r="BA172" s="149" t="s">
        <v>335</v>
      </c>
    </row>
    <row r="173" spans="1:53" ht="25" outlineLevel="1">
      <c r="A173" s="148" t="str">
        <f t="shared" si="204"/>
        <v>5.51</v>
      </c>
      <c r="B173" s="148" t="str">
        <f>INDEX('Standard cost - Testing'!$A$1:$N$497,MATCH(RIGHT($C173,4),'Standard cost - Testing'!$A$1:$A$497,0),3)</f>
        <v>LVE</v>
      </c>
      <c r="C173" s="149" t="str">
        <f>'Standard cost - Testing'!B52&amp;" - "&amp;'Standard cost - Testing'!A52</f>
        <v>Engine Dura. Bench - D004</v>
      </c>
      <c r="D173" s="150" t="str">
        <f>IF(RIGHT(INDEX('Standard cost - Testing'!$A$1:$N$497,MATCH(RIGHT($C173,4),'Standard cost - Testing'!$A$1:$A$497,0),4),1)="]",INDEX('Standard cost - Testing'!$A$1:$N$497,MATCH(RIGHT($C173,4),'Standard cost - Testing'!$A$1:$A$497,0),4),IF(INDEX('Standard cost - Testing'!$A$1:$N$497,MATCH(RIGHT($C173,4),'Standard cost - Testing'!$A$1:$A$497,0),10)=1,INDEX('Standard cost - Testing'!$A$1:$N$497,MATCH(RIGHT($C173,4),'Standard cost - Testing'!$A$1:$A$497,0),4)&amp;" [1 part]",INDEX('Standard cost - Testing'!$A$1:$N$497,MATCH(RIGHT($C173,4),'Standard cost - Testing'!$A$1:$A$497,0),4)&amp;" ["&amp;INDEX('Standard cost - Testing'!$A$1:$N$497,MATCH(RIGHT($C173,4),'Standard cost - Testing'!$A$1:$A$497,0),10)&amp;" parts]"))</f>
        <v>Thermal shock endurance - 1200 cycles [1 part]</v>
      </c>
      <c r="E173" s="51" t="str">
        <f>IF('Project information'!$A$4="","",'Project information'!$A$4)</f>
        <v>China</v>
      </c>
      <c r="F173" s="149" t="str">
        <f>INDEX('Standard cost - Testing'!$A$1:$N$497,MATCH(RIGHT($C173,4),'Standard cost - Testing'!$A$1:$A$497,0),5)</f>
        <v xml:space="preserve">PSA </v>
      </c>
      <c r="G173" s="149" t="str">
        <f>IF($E173='Standard cost - Testing'!$F$1,INDEX('Standard cost - Testing'!$A$1:$N$497,MATCH(RIGHT($C173,4),'Standard cost - Testing'!$A$1:$A$497,0),6),INDEX('Standard cost - Testing'!$A$1:$N$497,MATCH(RIGHT($C173,4),'Standard cost - Testing'!$A$1:$A$497,0),7))</f>
        <v>01527_12_01339</v>
      </c>
      <c r="H173" s="46"/>
      <c r="I173" s="46"/>
      <c r="J173" s="46"/>
      <c r="K173" s="46"/>
      <c r="L173" s="46"/>
      <c r="M173" s="33">
        <f t="shared" si="196"/>
        <v>0</v>
      </c>
      <c r="N173" s="157">
        <f>IF(E173="","",IF(ISERROR(INDEX('Standard cost - Testing'!$A$1:$N$497,MATCH(RIGHT($C173,4),'Standard cost - Testing'!$A$1:$A$497,0),MATCH($E173,'Standard cost - Testing'!$K$1:$N$1,0)+10)),"NA",INDEX('Standard cost - Testing'!$A$1:$N$497,MATCH(RIGHT($C173,4),'Standard cost - Testing'!$A$1:$A$497,0),MATCH($E173,'Standard cost - Testing'!$K$1:$N$1,0)+10)))</f>
        <v>204999</v>
      </c>
      <c r="O173" s="45">
        <f>IF(OR(ISERROR($N173),$N173="",$N173="NA"),0,H173*$N173)*(1+INDEX('For Finance Control'!$B$27:$E$29,2,MATCH('Project information'!$A$4,'For Finance Control'!$B$27:$E$27,0)))</f>
        <v>0</v>
      </c>
      <c r="P173" s="45">
        <f>IF(OR(ISERROR($N173),$N173="",$N173="NA"),0,I173*$N173)*(1+INDEX('For Finance Control'!$B$27:$E$29,2,MATCH('Project information'!$A$4,'For Finance Control'!$B$27:$E$27,0)))</f>
        <v>0</v>
      </c>
      <c r="Q173" s="45">
        <f>IF(OR(ISERROR($N173),$N173="",$N173="NA"),0,J173*$N173)*(1+INDEX('For Finance Control'!$B$27:$E$29,2,MATCH('Project information'!$A$4,'For Finance Control'!$B$27:$E$27,0)))</f>
        <v>0</v>
      </c>
      <c r="R173" s="45">
        <f>IF(OR(ISERROR($N173),$N173="",$N173="NA"),0,K173*$N173)*(1+INDEX('For Finance Control'!$B$27:$E$29,2,MATCH('Project information'!$A$4,'For Finance Control'!$B$27:$E$27,0)))</f>
        <v>0</v>
      </c>
      <c r="S173" s="45">
        <f>IF(OR(ISERROR($N173),$N173="",$N173="NA"),0,L173*$N173)*(1+INDEX('For Finance Control'!$B$27:$E$29,2,MATCH('Project information'!$A$4,'For Finance Control'!$B$27:$E$27,0)))</f>
        <v>0</v>
      </c>
      <c r="T173" s="45">
        <f t="shared" si="197"/>
        <v>0</v>
      </c>
      <c r="U173" s="33" cm="1">
        <f t="array" ref="U173">IF($N173="NA","NA",$N173*INDEX('Exchange rate'!$A$1:$G$7,MATCH('Project information'!$A$13,'Exchange rate'!$A$1:$A$7,0),MATCH(LOOKUP(2,1/({"China";"Korea";"India";"Japan";"EUR";"NAO"}=$E173),{"CNY";"KRW";"INR";"JPY";"EUR";"USD"}),'Exchange rate'!$A$1:$G$1,0)))</f>
        <v>204999</v>
      </c>
      <c r="V173" s="33">
        <f t="shared" si="198"/>
        <v>0</v>
      </c>
      <c r="W173" s="33">
        <f t="shared" si="199"/>
        <v>0</v>
      </c>
      <c r="X173" s="33">
        <f t="shared" si="200"/>
        <v>0</v>
      </c>
      <c r="Y173" s="33">
        <f t="shared" si="201"/>
        <v>0</v>
      </c>
      <c r="Z173" s="33">
        <f t="shared" si="202"/>
        <v>0</v>
      </c>
      <c r="AA173" s="33">
        <f t="shared" si="205"/>
        <v>0</v>
      </c>
      <c r="AB173" s="246"/>
      <c r="AC173" s="247"/>
      <c r="AZ173" s="148" t="str">
        <f t="shared" si="206"/>
        <v>5.51</v>
      </c>
      <c r="BA173" s="149" t="s">
        <v>336</v>
      </c>
    </row>
    <row r="174" spans="1:53" ht="25" outlineLevel="1">
      <c r="A174" s="148" t="str">
        <f t="shared" si="204"/>
        <v>5.52</v>
      </c>
      <c r="B174" s="148" t="str">
        <f>INDEX('Standard cost - Testing'!$A$1:$N$497,MATCH(RIGHT($C174,4),'Standard cost - Testing'!$A$1:$A$497,0),3)</f>
        <v>LVE</v>
      </c>
      <c r="C174" s="149" t="str">
        <f>'Standard cost - Testing'!B53&amp;" - "&amp;'Standard cost - Testing'!A53</f>
        <v>Engine Dura. Bench - D005</v>
      </c>
      <c r="D174" s="150" t="str">
        <f>IF(RIGHT(INDEX('Standard cost - Testing'!$A$1:$N$497,MATCH(RIGHT($C174,4),'Standard cost - Testing'!$A$1:$A$497,0),4),1)="]",INDEX('Standard cost - Testing'!$A$1:$N$497,MATCH(RIGHT($C174,4),'Standard cost - Testing'!$A$1:$A$497,0),4),IF(INDEX('Standard cost - Testing'!$A$1:$N$497,MATCH(RIGHT($C174,4),'Standard cost - Testing'!$A$1:$A$497,0),10)=1,INDEX('Standard cost - Testing'!$A$1:$N$497,MATCH(RIGHT($C174,4),'Standard cost - Testing'!$A$1:$A$497,0),4)&amp;" [1 part]",INDEX('Standard cost - Testing'!$A$1:$N$497,MATCH(RIGHT($C174,4),'Standard cost - Testing'!$A$1:$A$497,0),4)&amp;" ["&amp;INDEX('Standard cost - Testing'!$A$1:$N$497,MATCH(RIGHT($C174,4),'Standard cost - Testing'!$A$1:$A$497,0),10)&amp;" parts]"))</f>
        <v>Vibration analysis on complete system [1 part]</v>
      </c>
      <c r="E174" s="51" t="str">
        <f>IF('Project information'!$A$4="","",'Project information'!$A$4)</f>
        <v>China</v>
      </c>
      <c r="F174" s="149" t="str">
        <f>INDEX('Standard cost - Testing'!$A$1:$N$497,MATCH(RIGHT($C174,4),'Standard cost - Testing'!$A$1:$A$497,0),5)</f>
        <v>Faurecia</v>
      </c>
      <c r="G174" s="149" t="str">
        <f>IF($E174='Standard cost - Testing'!$F$1,INDEX('Standard cost - Testing'!$A$1:$N$497,MATCH(RIGHT($C174,4),'Standard cost - Testing'!$A$1:$A$497,0),6),INDEX('Standard cost - Testing'!$A$1:$N$497,MATCH(RIGHT($C174,4),'Standard cost - Testing'!$A$1:$A$497,0),7))</f>
        <v>CHD-I-DSE-2005</v>
      </c>
      <c r="H174" s="46"/>
      <c r="I174" s="46"/>
      <c r="J174" s="46"/>
      <c r="K174" s="46"/>
      <c r="L174" s="46"/>
      <c r="M174" s="33">
        <f t="shared" si="196"/>
        <v>0</v>
      </c>
      <c r="N174" s="157">
        <f>IF(E174="","",IF(ISERROR(INDEX('Standard cost - Testing'!$A$1:$N$497,MATCH(RIGHT($C174,4),'Standard cost - Testing'!$A$1:$A$497,0),MATCH($E174,'Standard cost - Testing'!$K$1:$N$1,0)+10)),"NA",INDEX('Standard cost - Testing'!$A$1:$N$497,MATCH(RIGHT($C174,4),'Standard cost - Testing'!$A$1:$A$497,0),MATCH($E174,'Standard cost - Testing'!$K$1:$N$1,0)+10)))</f>
        <v>22769</v>
      </c>
      <c r="O174" s="45">
        <f>IF(OR(ISERROR($N174),$N174="",$N174="NA"),0,H174*$N174)*(1+INDEX('For Finance Control'!$B$27:$E$29,2,MATCH('Project information'!$A$4,'For Finance Control'!$B$27:$E$27,0)))</f>
        <v>0</v>
      </c>
      <c r="P174" s="45">
        <f>IF(OR(ISERROR($N174),$N174="",$N174="NA"),0,I174*$N174)*(1+INDEX('For Finance Control'!$B$27:$E$29,2,MATCH('Project information'!$A$4,'For Finance Control'!$B$27:$E$27,0)))</f>
        <v>0</v>
      </c>
      <c r="Q174" s="45">
        <f>IF(OR(ISERROR($N174),$N174="",$N174="NA"),0,J174*$N174)*(1+INDEX('For Finance Control'!$B$27:$E$29,2,MATCH('Project information'!$A$4,'For Finance Control'!$B$27:$E$27,0)))</f>
        <v>0</v>
      </c>
      <c r="R174" s="45">
        <f>IF(OR(ISERROR($N174),$N174="",$N174="NA"),0,K174*$N174)*(1+INDEX('For Finance Control'!$B$27:$E$29,2,MATCH('Project information'!$A$4,'For Finance Control'!$B$27:$E$27,0)))</f>
        <v>0</v>
      </c>
      <c r="S174" s="45">
        <f>IF(OR(ISERROR($N174),$N174="",$N174="NA"),0,L174*$N174)*(1+INDEX('For Finance Control'!$B$27:$E$29,2,MATCH('Project information'!$A$4,'For Finance Control'!$B$27:$E$27,0)))</f>
        <v>0</v>
      </c>
      <c r="T174" s="45">
        <f t="shared" si="197"/>
        <v>0</v>
      </c>
      <c r="U174" s="33" cm="1">
        <f t="array" ref="U174">IF($N174="NA","NA",$N174*INDEX('Exchange rate'!$A$1:$G$7,MATCH('Project information'!$A$13,'Exchange rate'!$A$1:$A$7,0),MATCH(LOOKUP(2,1/({"China";"Korea";"India";"Japan";"EUR";"NAO"}=$E174),{"CNY";"KRW";"INR";"JPY";"EUR";"USD"}),'Exchange rate'!$A$1:$G$1,0)))</f>
        <v>22769</v>
      </c>
      <c r="V174" s="33">
        <f t="shared" si="198"/>
        <v>0</v>
      </c>
      <c r="W174" s="33">
        <f t="shared" si="199"/>
        <v>0</v>
      </c>
      <c r="X174" s="33">
        <f t="shared" si="200"/>
        <v>0</v>
      </c>
      <c r="Y174" s="33">
        <f t="shared" si="201"/>
        <v>0</v>
      </c>
      <c r="Z174" s="33">
        <f t="shared" si="202"/>
        <v>0</v>
      </c>
      <c r="AA174" s="33">
        <f t="shared" si="205"/>
        <v>0</v>
      </c>
      <c r="AB174" s="246"/>
      <c r="AC174" s="247"/>
      <c r="AZ174" s="148" t="str">
        <f t="shared" si="206"/>
        <v>5.52</v>
      </c>
      <c r="BA174" s="149" t="s">
        <v>337</v>
      </c>
    </row>
    <row r="175" spans="1:53" ht="25" outlineLevel="1">
      <c r="A175" s="148" t="str">
        <f t="shared" si="204"/>
        <v>5.53</v>
      </c>
      <c r="B175" s="148" t="str">
        <f>INDEX('Standard cost - Testing'!$A$1:$N$497,MATCH(RIGHT($C175,4),'Standard cost - Testing'!$A$1:$A$497,0),3)</f>
        <v>LVE</v>
      </c>
      <c r="C175" s="149" t="str">
        <f>'Standard cost - Testing'!B54&amp;" - "&amp;'Standard cost - Testing'!A54</f>
        <v>Engine Dura. Bench - D006</v>
      </c>
      <c r="D175" s="150" t="str">
        <f>IF(RIGHT(INDEX('Standard cost - Testing'!$A$1:$N$497,MATCH(RIGHT($C175,4),'Standard cost - Testing'!$A$1:$A$497,0),4),1)="]",INDEX('Standard cost - Testing'!$A$1:$N$497,MATCH(RIGHT($C175,4),'Standard cost - Testing'!$A$1:$A$497,0),4),IF(INDEX('Standard cost - Testing'!$A$1:$N$497,MATCH(RIGHT($C175,4),'Standard cost - Testing'!$A$1:$A$497,0),10)=1,INDEX('Standard cost - Testing'!$A$1:$N$497,MATCH(RIGHT($C175,4),'Standard cost - Testing'!$A$1:$A$497,0),4)&amp;" [1 part]",INDEX('Standard cost - Testing'!$A$1:$N$497,MATCH(RIGHT($C175,4),'Standard cost - Testing'!$A$1:$A$497,0),4)&amp;" ["&amp;INDEX('Standard cost - Testing'!$A$1:$N$497,MATCH(RIGHT($C175,4),'Standard cost - Testing'!$A$1:$A$497,0),10)&amp;" parts]"))</f>
        <v>Force effect on bracket measurement [1 part]</v>
      </c>
      <c r="E175" s="51" t="str">
        <f>IF('Project information'!$A$4="","",'Project information'!$A$4)</f>
        <v>China</v>
      </c>
      <c r="F175" s="149" t="str">
        <f>INDEX('Standard cost - Testing'!$A$1:$N$497,MATCH(RIGHT($C175,4),'Standard cost - Testing'!$A$1:$A$497,0),5)</f>
        <v>Faurecia</v>
      </c>
      <c r="G175" s="149" t="str">
        <f>IF($E175='Standard cost - Testing'!$F$1,INDEX('Standard cost - Testing'!$A$1:$N$497,MATCH(RIGHT($C175,4),'Standard cost - Testing'!$A$1:$A$497,0),6),INDEX('Standard cost - Testing'!$A$1:$N$497,MATCH(RIGHT($C175,4),'Standard cost - Testing'!$A$1:$A$497,0),7))</f>
        <v>CHD-I-DSE-2019</v>
      </c>
      <c r="H175" s="46"/>
      <c r="I175" s="46"/>
      <c r="J175" s="46"/>
      <c r="K175" s="46"/>
      <c r="L175" s="46"/>
      <c r="M175" s="33">
        <f t="shared" si="196"/>
        <v>0</v>
      </c>
      <c r="N175" s="157">
        <f>IF(E175="","",IF(ISERROR(INDEX('Standard cost - Testing'!$A$1:$N$497,MATCH(RIGHT($C175,4),'Standard cost - Testing'!$A$1:$A$497,0),MATCH($E175,'Standard cost - Testing'!$K$1:$N$1,0)+10)),"NA",INDEX('Standard cost - Testing'!$A$1:$N$497,MATCH(RIGHT($C175,4),'Standard cost - Testing'!$A$1:$A$497,0),MATCH($E175,'Standard cost - Testing'!$K$1:$N$1,0)+10)))</f>
        <v>22769</v>
      </c>
      <c r="O175" s="45">
        <f>IF(OR(ISERROR($N175),$N175="",$N175="NA"),0,H175*$N175)*(1+INDEX('For Finance Control'!$B$27:$E$29,2,MATCH('Project information'!$A$4,'For Finance Control'!$B$27:$E$27,0)))</f>
        <v>0</v>
      </c>
      <c r="P175" s="45">
        <f>IF(OR(ISERROR($N175),$N175="",$N175="NA"),0,I175*$N175)*(1+INDEX('For Finance Control'!$B$27:$E$29,2,MATCH('Project information'!$A$4,'For Finance Control'!$B$27:$E$27,0)))</f>
        <v>0</v>
      </c>
      <c r="Q175" s="45">
        <f>IF(OR(ISERROR($N175),$N175="",$N175="NA"),0,J175*$N175)*(1+INDEX('For Finance Control'!$B$27:$E$29,2,MATCH('Project information'!$A$4,'For Finance Control'!$B$27:$E$27,0)))</f>
        <v>0</v>
      </c>
      <c r="R175" s="45">
        <f>IF(OR(ISERROR($N175),$N175="",$N175="NA"),0,K175*$N175)*(1+INDEX('For Finance Control'!$B$27:$E$29,2,MATCH('Project information'!$A$4,'For Finance Control'!$B$27:$E$27,0)))</f>
        <v>0</v>
      </c>
      <c r="S175" s="45">
        <f>IF(OR(ISERROR($N175),$N175="",$N175="NA"),0,L175*$N175)*(1+INDEX('For Finance Control'!$B$27:$E$29,2,MATCH('Project information'!$A$4,'For Finance Control'!$B$27:$E$27,0)))</f>
        <v>0</v>
      </c>
      <c r="T175" s="45">
        <f t="shared" si="197"/>
        <v>0</v>
      </c>
      <c r="U175" s="33" cm="1">
        <f t="array" ref="U175">IF($N175="NA","NA",$N175*INDEX('Exchange rate'!$A$1:$G$7,MATCH('Project information'!$A$13,'Exchange rate'!$A$1:$A$7,0),MATCH(LOOKUP(2,1/({"China";"Korea";"India";"Japan";"EUR";"NAO"}=$E175),{"CNY";"KRW";"INR";"JPY";"EUR";"USD"}),'Exchange rate'!$A$1:$G$1,0)))</f>
        <v>22769</v>
      </c>
      <c r="V175" s="33">
        <f t="shared" si="198"/>
        <v>0</v>
      </c>
      <c r="W175" s="33">
        <f t="shared" si="199"/>
        <v>0</v>
      </c>
      <c r="X175" s="33">
        <f t="shared" si="200"/>
        <v>0</v>
      </c>
      <c r="Y175" s="33">
        <f t="shared" si="201"/>
        <v>0</v>
      </c>
      <c r="Z175" s="33">
        <f t="shared" si="202"/>
        <v>0</v>
      </c>
      <c r="AA175" s="33">
        <f t="shared" si="205"/>
        <v>0</v>
      </c>
      <c r="AB175" s="246"/>
      <c r="AC175" s="247"/>
      <c r="AZ175" s="148" t="str">
        <f t="shared" si="206"/>
        <v>5.53</v>
      </c>
      <c r="BA175" s="149" t="s">
        <v>338</v>
      </c>
    </row>
    <row r="176" spans="1:53" ht="25" outlineLevel="1">
      <c r="A176" s="148" t="str">
        <f t="shared" si="204"/>
        <v>5.54</v>
      </c>
      <c r="B176" s="148" t="str">
        <f>INDEX('Standard cost - Testing'!$A$1:$N$497,MATCH(RIGHT($C176,4),'Standard cost - Testing'!$A$1:$A$497,0),3)</f>
        <v>LVE</v>
      </c>
      <c r="C176" s="149" t="str">
        <f>'Standard cost - Testing'!B55&amp;" - "&amp;'Standard cost - Testing'!A55</f>
        <v>Engine Dura. Bench - D007</v>
      </c>
      <c r="D176" s="150" t="str">
        <f>IF(RIGHT(INDEX('Standard cost - Testing'!$A$1:$N$497,MATCH(RIGHT($C176,4),'Standard cost - Testing'!$A$1:$A$497,0),4),1)="]",INDEX('Standard cost - Testing'!$A$1:$N$497,MATCH(RIGHT($C176,4),'Standard cost - Testing'!$A$1:$A$497,0),4),IF(INDEX('Standard cost - Testing'!$A$1:$N$497,MATCH(RIGHT($C176,4),'Standard cost - Testing'!$A$1:$A$497,0),10)=1,INDEX('Standard cost - Testing'!$A$1:$N$497,MATCH(RIGHT($C176,4),'Standard cost - Testing'!$A$1:$A$497,0),4)&amp;" [1 part]",INDEX('Standard cost - Testing'!$A$1:$N$497,MATCH(RIGHT($C176,4),'Standard cost - Testing'!$A$1:$A$497,0),4)&amp;" ["&amp;INDEX('Standard cost - Testing'!$A$1:$N$497,MATCH(RIGHT($C176,4),'Standard cost - Testing'!$A$1:$A$497,0),10)&amp;" parts]"))</f>
        <v>High speed dynamometer test [2 parts]</v>
      </c>
      <c r="E176" s="51" t="str">
        <f>IF('Project information'!$A$4="","",'Project information'!$A$4)</f>
        <v>China</v>
      </c>
      <c r="F176" s="149" t="str">
        <f>INDEX('Standard cost - Testing'!$A$1:$N$497,MATCH(RIGHT($C176,4),'Standard cost - Testing'!$A$1:$A$497,0),5)</f>
        <v>Ford</v>
      </c>
      <c r="G176" s="149" t="str">
        <f>IF($E176='Standard cost - Testing'!$F$1,INDEX('Standard cost - Testing'!$A$1:$N$497,MATCH(RIGHT($C176,4),'Standard cost - Testing'!$A$1:$A$497,0),6),INDEX('Standard cost - Testing'!$A$1:$N$497,MATCH(RIGHT($C176,4),'Standard cost - Testing'!$A$1:$A$497,0),7))</f>
        <v>CETP_09.00-L-300 (2001 ver. PL008)</v>
      </c>
      <c r="H176" s="46"/>
      <c r="I176" s="46"/>
      <c r="J176" s="46"/>
      <c r="K176" s="46"/>
      <c r="L176" s="46"/>
      <c r="M176" s="33">
        <f t="shared" si="196"/>
        <v>0</v>
      </c>
      <c r="N176" s="157">
        <f>IF(E176="","",IF(ISERROR(INDEX('Standard cost - Testing'!$A$1:$N$497,MATCH(RIGHT($C176,4),'Standard cost - Testing'!$A$1:$A$497,0),MATCH($E176,'Standard cost - Testing'!$K$1:$N$1,0)+10)),"NA",INDEX('Standard cost - Testing'!$A$1:$N$497,MATCH(RIGHT($C176,4),'Standard cost - Testing'!$A$1:$A$497,0),MATCH($E176,'Standard cost - Testing'!$K$1:$N$1,0)+10)))</f>
        <v>237948</v>
      </c>
      <c r="O176" s="45">
        <f>IF(OR(ISERROR($N176),$N176="",$N176="NA"),0,H176*$N176)*(1+INDEX('For Finance Control'!$B$27:$E$29,2,MATCH('Project information'!$A$4,'For Finance Control'!$B$27:$E$27,0)))</f>
        <v>0</v>
      </c>
      <c r="P176" s="45">
        <f>IF(OR(ISERROR($N176),$N176="",$N176="NA"),0,I176*$N176)*(1+INDEX('For Finance Control'!$B$27:$E$29,2,MATCH('Project information'!$A$4,'For Finance Control'!$B$27:$E$27,0)))</f>
        <v>0</v>
      </c>
      <c r="Q176" s="45">
        <f>IF(OR(ISERROR($N176),$N176="",$N176="NA"),0,J176*$N176)*(1+INDEX('For Finance Control'!$B$27:$E$29,2,MATCH('Project information'!$A$4,'For Finance Control'!$B$27:$E$27,0)))</f>
        <v>0</v>
      </c>
      <c r="R176" s="45">
        <f>IF(OR(ISERROR($N176),$N176="",$N176="NA"),0,K176*$N176)*(1+INDEX('For Finance Control'!$B$27:$E$29,2,MATCH('Project information'!$A$4,'For Finance Control'!$B$27:$E$27,0)))</f>
        <v>0</v>
      </c>
      <c r="S176" s="45">
        <f>IF(OR(ISERROR($N176),$N176="",$N176="NA"),0,L176*$N176)*(1+INDEX('For Finance Control'!$B$27:$E$29,2,MATCH('Project information'!$A$4,'For Finance Control'!$B$27:$E$27,0)))</f>
        <v>0</v>
      </c>
      <c r="T176" s="45">
        <f t="shared" si="197"/>
        <v>0</v>
      </c>
      <c r="U176" s="33" cm="1">
        <f t="array" ref="U176">IF($N176="NA","NA",$N176*INDEX('Exchange rate'!$A$1:$G$7,MATCH('Project information'!$A$13,'Exchange rate'!$A$1:$A$7,0),MATCH(LOOKUP(2,1/({"China";"Korea";"India";"Japan";"EUR";"NAO"}=$E176),{"CNY";"KRW";"INR";"JPY";"EUR";"USD"}),'Exchange rate'!$A$1:$G$1,0)))</f>
        <v>237948</v>
      </c>
      <c r="V176" s="33">
        <f t="shared" si="198"/>
        <v>0</v>
      </c>
      <c r="W176" s="33">
        <f t="shared" si="199"/>
        <v>0</v>
      </c>
      <c r="X176" s="33">
        <f t="shared" si="200"/>
        <v>0</v>
      </c>
      <c r="Y176" s="33">
        <f t="shared" si="201"/>
        <v>0</v>
      </c>
      <c r="Z176" s="33">
        <f t="shared" si="202"/>
        <v>0</v>
      </c>
      <c r="AA176" s="33">
        <f t="shared" si="205"/>
        <v>0</v>
      </c>
      <c r="AB176" s="246"/>
      <c r="AC176" s="247"/>
      <c r="AZ176" s="148" t="str">
        <f t="shared" si="206"/>
        <v>5.54</v>
      </c>
      <c r="BA176" s="149" t="s">
        <v>339</v>
      </c>
    </row>
    <row r="177" spans="1:53" ht="25" outlineLevel="1">
      <c r="A177" s="148" t="str">
        <f t="shared" si="204"/>
        <v>5.55</v>
      </c>
      <c r="B177" s="148" t="str">
        <f>INDEX('Standard cost - Testing'!$A$1:$N$497,MATCH(RIGHT($C177,4),'Standard cost - Testing'!$A$1:$A$497,0),3)</f>
        <v>LVE</v>
      </c>
      <c r="C177" s="149" t="str">
        <f>'Standard cost - Testing'!B56&amp;" - "&amp;'Standard cost - Testing'!A56</f>
        <v>Engine Dura. Bench - D008</v>
      </c>
      <c r="D177" s="150" t="str">
        <f>IF(RIGHT(INDEX('Standard cost - Testing'!$A$1:$N$497,MATCH(RIGHT($C177,4),'Standard cost - Testing'!$A$1:$A$497,0),4),1)="]",INDEX('Standard cost - Testing'!$A$1:$N$497,MATCH(RIGHT($C177,4),'Standard cost - Testing'!$A$1:$A$497,0),4),IF(INDEX('Standard cost - Testing'!$A$1:$N$497,MATCH(RIGHT($C177,4),'Standard cost - Testing'!$A$1:$A$497,0),10)=1,INDEX('Standard cost - Testing'!$A$1:$N$497,MATCH(RIGHT($C177,4),'Standard cost - Testing'!$A$1:$A$497,0),4)&amp;" [1 part]",INDEX('Standard cost - Testing'!$A$1:$N$497,MATCH(RIGHT($C177,4),'Standard cost - Testing'!$A$1:$A$497,0),4)&amp;" ["&amp;INDEX('Standard cost - Testing'!$A$1:$N$497,MATCH(RIGHT($C177,4),'Standard cost - Testing'!$A$1:$A$497,0),10)&amp;" parts]"))</f>
        <v>Engine vibration endurance test [2 parts]</v>
      </c>
      <c r="E177" s="51" t="str">
        <f>IF('Project information'!$A$4="","",'Project information'!$A$4)</f>
        <v>China</v>
      </c>
      <c r="F177" s="149" t="str">
        <f>INDEX('Standard cost - Testing'!$A$1:$N$497,MATCH(RIGHT($C177,4),'Standard cost - Testing'!$A$1:$A$497,0),5)</f>
        <v>RSA</v>
      </c>
      <c r="G177" s="149">
        <f>IF($E177='Standard cost - Testing'!$F$1,INDEX('Standard cost - Testing'!$A$1:$N$497,MATCH(RIGHT($C177,4),'Standard cost - Testing'!$A$1:$A$497,0),6),INDEX('Standard cost - Testing'!$A$1:$N$497,MATCH(RIGHT($C177,4),'Standard cost - Testing'!$A$1:$A$497,0),7))</f>
        <v>0</v>
      </c>
      <c r="H177" s="46"/>
      <c r="I177" s="46"/>
      <c r="J177" s="46"/>
      <c r="K177" s="46"/>
      <c r="L177" s="46"/>
      <c r="M177" s="33">
        <f t="shared" si="196"/>
        <v>0</v>
      </c>
      <c r="N177" s="157">
        <f>IF(E177="","",IF(ISERROR(INDEX('Standard cost - Testing'!$A$1:$N$497,MATCH(RIGHT($C177,4),'Standard cost - Testing'!$A$1:$A$497,0),MATCH($E177,'Standard cost - Testing'!$K$1:$N$1,0)+10)),"NA",INDEX('Standard cost - Testing'!$A$1:$N$497,MATCH(RIGHT($C177,4),'Standard cost - Testing'!$A$1:$A$497,0),MATCH($E177,'Standard cost - Testing'!$K$1:$N$1,0)+10)))</f>
        <v>78044</v>
      </c>
      <c r="O177" s="45">
        <f>IF(OR(ISERROR($N177),$N177="",$N177="NA"),0,H177*$N177)*(1+INDEX('For Finance Control'!$B$27:$E$29,2,MATCH('Project information'!$A$4,'For Finance Control'!$B$27:$E$27,0)))</f>
        <v>0</v>
      </c>
      <c r="P177" s="45">
        <f>IF(OR(ISERROR($N177),$N177="",$N177="NA"),0,I177*$N177)*(1+INDEX('For Finance Control'!$B$27:$E$29,2,MATCH('Project information'!$A$4,'For Finance Control'!$B$27:$E$27,0)))</f>
        <v>0</v>
      </c>
      <c r="Q177" s="45">
        <f>IF(OR(ISERROR($N177),$N177="",$N177="NA"),0,J177*$N177)*(1+INDEX('For Finance Control'!$B$27:$E$29,2,MATCH('Project information'!$A$4,'For Finance Control'!$B$27:$E$27,0)))</f>
        <v>0</v>
      </c>
      <c r="R177" s="45">
        <f>IF(OR(ISERROR($N177),$N177="",$N177="NA"),0,K177*$N177)*(1+INDEX('For Finance Control'!$B$27:$E$29,2,MATCH('Project information'!$A$4,'For Finance Control'!$B$27:$E$27,0)))</f>
        <v>0</v>
      </c>
      <c r="S177" s="45">
        <f>IF(OR(ISERROR($N177),$N177="",$N177="NA"),0,L177*$N177)*(1+INDEX('For Finance Control'!$B$27:$E$29,2,MATCH('Project information'!$A$4,'For Finance Control'!$B$27:$E$27,0)))</f>
        <v>0</v>
      </c>
      <c r="T177" s="45">
        <f t="shared" si="197"/>
        <v>0</v>
      </c>
      <c r="U177" s="33" cm="1">
        <f t="array" ref="U177">IF($N177="NA","NA",$N177*INDEX('Exchange rate'!$A$1:$G$7,MATCH('Project information'!$A$13,'Exchange rate'!$A$1:$A$7,0),MATCH(LOOKUP(2,1/({"China";"Korea";"India";"Japan";"EUR";"NAO"}=$E177),{"CNY";"KRW";"INR";"JPY";"EUR";"USD"}),'Exchange rate'!$A$1:$G$1,0)))</f>
        <v>78044</v>
      </c>
      <c r="V177" s="33">
        <f t="shared" si="198"/>
        <v>0</v>
      </c>
      <c r="W177" s="33">
        <f t="shared" si="199"/>
        <v>0</v>
      </c>
      <c r="X177" s="33">
        <f t="shared" si="200"/>
        <v>0</v>
      </c>
      <c r="Y177" s="33">
        <f t="shared" si="201"/>
        <v>0</v>
      </c>
      <c r="Z177" s="33">
        <f t="shared" si="202"/>
        <v>0</v>
      </c>
      <c r="AA177" s="33">
        <f t="shared" si="205"/>
        <v>0</v>
      </c>
      <c r="AB177" s="246"/>
      <c r="AC177" s="247"/>
      <c r="AZ177" s="148" t="str">
        <f t="shared" si="206"/>
        <v>5.55</v>
      </c>
      <c r="BA177" s="149" t="s">
        <v>101</v>
      </c>
    </row>
    <row r="178" spans="1:53" ht="25" outlineLevel="1">
      <c r="A178" s="148" t="str">
        <f t="shared" si="204"/>
        <v>5.56</v>
      </c>
      <c r="B178" s="148" t="str">
        <f>INDEX('Standard cost - Testing'!$A$1:$N$497,MATCH(RIGHT($C178,4),'Standard cost - Testing'!$A$1:$A$497,0),3)</f>
        <v>LVE</v>
      </c>
      <c r="C178" s="149" t="str">
        <f>'Standard cost - Testing'!B57&amp;" - "&amp;'Standard cost - Testing'!A57</f>
        <v>Engine Dura. Bench - D009</v>
      </c>
      <c r="D178" s="150" t="str">
        <f>IF(RIGHT(INDEX('Standard cost - Testing'!$A$1:$N$497,MATCH(RIGHT($C178,4),'Standard cost - Testing'!$A$1:$A$497,0),4),1)="]",INDEX('Standard cost - Testing'!$A$1:$N$497,MATCH(RIGHT($C178,4),'Standard cost - Testing'!$A$1:$A$497,0),4),IF(INDEX('Standard cost - Testing'!$A$1:$N$497,MATCH(RIGHT($C178,4),'Standard cost - Testing'!$A$1:$A$497,0),10)=1,INDEX('Standard cost - Testing'!$A$1:$N$497,MATCH(RIGHT($C178,4),'Standard cost - Testing'!$A$1:$A$497,0),4)&amp;" [1 part]",INDEX('Standard cost - Testing'!$A$1:$N$497,MATCH(RIGHT($C178,4),'Standard cost - Testing'!$A$1:$A$497,0),4)&amp;" ["&amp;INDEX('Standard cost - Testing'!$A$1:$N$497,MATCH(RIGHT($C178,4),'Standard cost - Testing'!$A$1:$A$497,0),10)&amp;" parts]"))</f>
        <v>Glass wool validation test [1 part]</v>
      </c>
      <c r="E178" s="51" t="str">
        <f>IF('Project information'!$A$4="","",'Project information'!$A$4)</f>
        <v>China</v>
      </c>
      <c r="F178" s="149" t="str">
        <f>INDEX('Standard cost - Testing'!$A$1:$N$497,MATCH(RIGHT($C178,4),'Standard cost - Testing'!$A$1:$A$497,0),5)</f>
        <v>HMC</v>
      </c>
      <c r="G178" s="149" t="str">
        <f>IF($E178='Standard cost - Testing'!$F$1,INDEX('Standard cost - Testing'!$A$1:$N$497,MATCH(RIGHT($C178,4),'Standard cost - Testing'!$A$1:$A$497,0),6),INDEX('Standard cost - Testing'!$A$1:$N$497,MATCH(RIGHT($C178,4),'Standard cost - Testing'!$A$1:$A$497,0),7))</f>
        <v>ES28600-09  6.8</v>
      </c>
      <c r="H178" s="46"/>
      <c r="I178" s="46"/>
      <c r="J178" s="46"/>
      <c r="K178" s="46"/>
      <c r="L178" s="46"/>
      <c r="M178" s="33">
        <f t="shared" si="196"/>
        <v>0</v>
      </c>
      <c r="N178" s="157">
        <f>IF(E178="","",IF(ISERROR(INDEX('Standard cost - Testing'!$A$1:$N$497,MATCH(RIGHT($C178,4),'Standard cost - Testing'!$A$1:$A$497,0),MATCH($E178,'Standard cost - Testing'!$K$1:$N$1,0)+10)),"NA",INDEX('Standard cost - Testing'!$A$1:$N$497,MATCH(RIGHT($C178,4),'Standard cost - Testing'!$A$1:$A$497,0),MATCH($E178,'Standard cost - Testing'!$K$1:$N$1,0)+10)))</f>
        <v>17069</v>
      </c>
      <c r="O178" s="45">
        <f>IF(OR(ISERROR($N178),$N178="",$N178="NA"),0,H178*$N178)*(1+INDEX('For Finance Control'!$B$27:$E$29,2,MATCH('Project information'!$A$4,'For Finance Control'!$B$27:$E$27,0)))</f>
        <v>0</v>
      </c>
      <c r="P178" s="45">
        <f>IF(OR(ISERROR($N178),$N178="",$N178="NA"),0,I178*$N178)*(1+INDEX('For Finance Control'!$B$27:$E$29,2,MATCH('Project information'!$A$4,'For Finance Control'!$B$27:$E$27,0)))</f>
        <v>0</v>
      </c>
      <c r="Q178" s="45">
        <f>IF(OR(ISERROR($N178),$N178="",$N178="NA"),0,J178*$N178)*(1+INDEX('For Finance Control'!$B$27:$E$29,2,MATCH('Project information'!$A$4,'For Finance Control'!$B$27:$E$27,0)))</f>
        <v>0</v>
      </c>
      <c r="R178" s="45">
        <f>IF(OR(ISERROR($N178),$N178="",$N178="NA"),0,K178*$N178)*(1+INDEX('For Finance Control'!$B$27:$E$29,2,MATCH('Project information'!$A$4,'For Finance Control'!$B$27:$E$27,0)))</f>
        <v>0</v>
      </c>
      <c r="S178" s="45">
        <f>IF(OR(ISERROR($N178),$N178="",$N178="NA"),0,L178*$N178)*(1+INDEX('For Finance Control'!$B$27:$E$29,2,MATCH('Project information'!$A$4,'For Finance Control'!$B$27:$E$27,0)))</f>
        <v>0</v>
      </c>
      <c r="T178" s="45">
        <f t="shared" si="197"/>
        <v>0</v>
      </c>
      <c r="U178" s="33" cm="1">
        <f t="array" ref="U178">IF($N178="NA","NA",$N178*INDEX('Exchange rate'!$A$1:$G$7,MATCH('Project information'!$A$13,'Exchange rate'!$A$1:$A$7,0),MATCH(LOOKUP(2,1/({"China";"Korea";"India";"Japan";"EUR";"NAO"}=$E178),{"CNY";"KRW";"INR";"JPY";"EUR";"USD"}),'Exchange rate'!$A$1:$G$1,0)))</f>
        <v>17069</v>
      </c>
      <c r="V178" s="33">
        <f t="shared" si="198"/>
        <v>0</v>
      </c>
      <c r="W178" s="33">
        <f t="shared" si="199"/>
        <v>0</v>
      </c>
      <c r="X178" s="33">
        <f t="shared" si="200"/>
        <v>0</v>
      </c>
      <c r="Y178" s="33">
        <f t="shared" si="201"/>
        <v>0</v>
      </c>
      <c r="Z178" s="33">
        <f t="shared" si="202"/>
        <v>0</v>
      </c>
      <c r="AA178" s="33">
        <f t="shared" si="205"/>
        <v>0</v>
      </c>
      <c r="AB178" s="246"/>
      <c r="AC178" s="247"/>
      <c r="AZ178" s="148" t="str">
        <f t="shared" si="206"/>
        <v>5.56</v>
      </c>
      <c r="BA178" s="149" t="s">
        <v>340</v>
      </c>
    </row>
    <row r="179" spans="1:53" ht="25" outlineLevel="1">
      <c r="A179" s="148" t="str">
        <f t="shared" si="204"/>
        <v>5.57</v>
      </c>
      <c r="B179" s="148" t="str">
        <f>INDEX('Standard cost - Testing'!$A$1:$N$497,MATCH(RIGHT($C179,4),'Standard cost - Testing'!$A$1:$A$497,0),3)</f>
        <v>LVE</v>
      </c>
      <c r="C179" s="149" t="str">
        <f>'Standard cost - Testing'!B58&amp;" - "&amp;'Standard cost - Testing'!A58</f>
        <v>Engine Dura. Bench - D010</v>
      </c>
      <c r="D179" s="150" t="str">
        <f>IF(RIGHT(INDEX('Standard cost - Testing'!$A$1:$N$497,MATCH(RIGHT($C179,4),'Standard cost - Testing'!$A$1:$A$497,0),4),1)="]",INDEX('Standard cost - Testing'!$A$1:$N$497,MATCH(RIGHT($C179,4),'Standard cost - Testing'!$A$1:$A$497,0),4),IF(INDEX('Standard cost - Testing'!$A$1:$N$497,MATCH(RIGHT($C179,4),'Standard cost - Testing'!$A$1:$A$497,0),10)=1,INDEX('Standard cost - Testing'!$A$1:$N$497,MATCH(RIGHT($C179,4),'Standard cost - Testing'!$A$1:$A$497,0),4)&amp;" [1 part]",INDEX('Standard cost - Testing'!$A$1:$N$497,MATCH(RIGHT($C179,4),'Standard cost - Testing'!$A$1:$A$497,0),4)&amp;" ["&amp;INDEX('Standard cost - Testing'!$A$1:$N$497,MATCH(RIGHT($C179,4),'Standard cost - Testing'!$A$1:$A$497,0),10)&amp;" parts]"))</f>
        <v>Hot vibration with simulation engine rock [2 parts]</v>
      </c>
      <c r="E179" s="51" t="str">
        <f>IF('Project information'!$A$4="","",'Project information'!$A$4)</f>
        <v>China</v>
      </c>
      <c r="F179" s="149" t="str">
        <f>INDEX('Standard cost - Testing'!$A$1:$N$497,MATCH(RIGHT($C179,4),'Standard cost - Testing'!$A$1:$A$497,0),5)</f>
        <v>Ford</v>
      </c>
      <c r="G179" s="149" t="str">
        <f>IF($E179='Standard cost - Testing'!$F$1,INDEX('Standard cost - Testing'!$A$1:$N$497,MATCH(RIGHT($C179,4),'Standard cost - Testing'!$A$1:$A$497,0),6),INDEX('Standard cost - Testing'!$A$1:$N$497,MATCH(RIGHT($C179,4),'Standard cost - Testing'!$A$1:$A$497,0),7))</f>
        <v>CETP_09.00-E-303</v>
      </c>
      <c r="H179" s="46"/>
      <c r="I179" s="46"/>
      <c r="J179" s="46"/>
      <c r="K179" s="46"/>
      <c r="L179" s="46"/>
      <c r="M179" s="33">
        <f t="shared" si="196"/>
        <v>0</v>
      </c>
      <c r="N179" s="157">
        <f>IF(E179="","",IF(ISERROR(INDEX('Standard cost - Testing'!$A$1:$N$497,MATCH(RIGHT($C179,4),'Standard cost - Testing'!$A$1:$A$497,0),MATCH($E179,'Standard cost - Testing'!$K$1:$N$1,0)+10)),"NA",INDEX('Standard cost - Testing'!$A$1:$N$497,MATCH(RIGHT($C179,4),'Standard cost - Testing'!$A$1:$A$497,0),MATCH($E179,'Standard cost - Testing'!$K$1:$N$1,0)+10)))</f>
        <v>237218</v>
      </c>
      <c r="O179" s="45">
        <f>IF(OR(ISERROR($N179),$N179="",$N179="NA"),0,H179*$N179)*(1+INDEX('For Finance Control'!$B$27:$E$29,2,MATCH('Project information'!$A$4,'For Finance Control'!$B$27:$E$27,0)))</f>
        <v>0</v>
      </c>
      <c r="P179" s="45">
        <f>IF(OR(ISERROR($N179),$N179="",$N179="NA"),0,I179*$N179)*(1+INDEX('For Finance Control'!$B$27:$E$29,2,MATCH('Project information'!$A$4,'For Finance Control'!$B$27:$E$27,0)))</f>
        <v>0</v>
      </c>
      <c r="Q179" s="45">
        <f>IF(OR(ISERROR($N179),$N179="",$N179="NA"),0,J179*$N179)*(1+INDEX('For Finance Control'!$B$27:$E$29,2,MATCH('Project information'!$A$4,'For Finance Control'!$B$27:$E$27,0)))</f>
        <v>0</v>
      </c>
      <c r="R179" s="45">
        <f>IF(OR(ISERROR($N179),$N179="",$N179="NA"),0,K179*$N179)*(1+INDEX('For Finance Control'!$B$27:$E$29,2,MATCH('Project information'!$A$4,'For Finance Control'!$B$27:$E$27,0)))</f>
        <v>0</v>
      </c>
      <c r="S179" s="45">
        <f>IF(OR(ISERROR($N179),$N179="",$N179="NA"),0,L179*$N179)*(1+INDEX('For Finance Control'!$B$27:$E$29,2,MATCH('Project information'!$A$4,'For Finance Control'!$B$27:$E$27,0)))</f>
        <v>0</v>
      </c>
      <c r="T179" s="45">
        <f t="shared" si="197"/>
        <v>0</v>
      </c>
      <c r="U179" s="33" cm="1">
        <f t="array" ref="U179">IF($N179="NA","NA",$N179*INDEX('Exchange rate'!$A$1:$G$7,MATCH('Project information'!$A$13,'Exchange rate'!$A$1:$A$7,0),MATCH(LOOKUP(2,1/({"China";"Korea";"India";"Japan";"EUR";"NAO"}=$E179),{"CNY";"KRW";"INR";"JPY";"EUR";"USD"}),'Exchange rate'!$A$1:$G$1,0)))</f>
        <v>237218</v>
      </c>
      <c r="V179" s="33">
        <f t="shared" si="198"/>
        <v>0</v>
      </c>
      <c r="W179" s="33">
        <f t="shared" si="199"/>
        <v>0</v>
      </c>
      <c r="X179" s="33">
        <f t="shared" si="200"/>
        <v>0</v>
      </c>
      <c r="Y179" s="33">
        <f t="shared" si="201"/>
        <v>0</v>
      </c>
      <c r="Z179" s="33">
        <f t="shared" si="202"/>
        <v>0</v>
      </c>
      <c r="AA179" s="33">
        <f t="shared" si="205"/>
        <v>0</v>
      </c>
      <c r="AB179" s="246"/>
      <c r="AC179" s="247"/>
      <c r="AZ179" s="148" t="str">
        <f t="shared" si="206"/>
        <v>5.57</v>
      </c>
      <c r="BA179" s="149" t="s">
        <v>341</v>
      </c>
    </row>
    <row r="180" spans="1:53" ht="25" outlineLevel="1">
      <c r="A180" s="148" t="str">
        <f t="shared" si="204"/>
        <v>5.58</v>
      </c>
      <c r="B180" s="148" t="str">
        <f>INDEX('Standard cost - Testing'!$A$1:$N$497,MATCH(RIGHT($C180,4),'Standard cost - Testing'!$A$1:$A$497,0),3)</f>
        <v>LVE</v>
      </c>
      <c r="C180" s="149" t="str">
        <f>'Standard cost - Testing'!B59&amp;" - "&amp;'Standard cost - Testing'!A59</f>
        <v>Engine Dura. Bench - D011</v>
      </c>
      <c r="D180" s="150" t="str">
        <f>IF(RIGHT(INDEX('Standard cost - Testing'!$A$1:$N$497,MATCH(RIGHT($C180,4),'Standard cost - Testing'!$A$1:$A$497,0),4),1)="]",INDEX('Standard cost - Testing'!$A$1:$N$497,MATCH(RIGHT($C180,4),'Standard cost - Testing'!$A$1:$A$497,0),4),IF(INDEX('Standard cost - Testing'!$A$1:$N$497,MATCH(RIGHT($C180,4),'Standard cost - Testing'!$A$1:$A$497,0),10)=1,INDEX('Standard cost - Testing'!$A$1:$N$497,MATCH(RIGHT($C180,4),'Standard cost - Testing'!$A$1:$A$497,0),4)&amp;" [1 part]",INDEX('Standard cost - Testing'!$A$1:$N$497,MATCH(RIGHT($C180,4),'Standard cost - Testing'!$A$1:$A$497,0),4)&amp;" ["&amp;INDEX('Standard cost - Testing'!$A$1:$N$497,MATCH(RIGHT($C180,4),'Standard cost - Testing'!$A$1:$A$497,0),10)&amp;" parts]"))</f>
        <v>Hanger force measurement [1 part]</v>
      </c>
      <c r="E180" s="51" t="str">
        <f>IF('Project information'!$A$4="","",'Project information'!$A$4)</f>
        <v>China</v>
      </c>
      <c r="F180" s="149" t="str">
        <f>INDEX('Standard cost - Testing'!$A$1:$N$497,MATCH(RIGHT($C180,4),'Standard cost - Testing'!$A$1:$A$497,0),5)</f>
        <v>Ford</v>
      </c>
      <c r="G180" s="149" t="str">
        <f>IF($E180='Standard cost - Testing'!$F$1,INDEX('Standard cost - Testing'!$A$1:$N$497,MATCH(RIGHT($C180,4),'Standard cost - Testing'!$A$1:$A$497,0),6),INDEX('Standard cost - Testing'!$A$1:$N$497,MATCH(RIGHT($C180,4),'Standard cost - Testing'!$A$1:$A$497,0),7))</f>
        <v>CETP: 09.04-R-400 (2001 PL005)</v>
      </c>
      <c r="H180" s="46"/>
      <c r="I180" s="46"/>
      <c r="J180" s="46"/>
      <c r="K180" s="46"/>
      <c r="L180" s="46"/>
      <c r="M180" s="33">
        <f t="shared" si="196"/>
        <v>0</v>
      </c>
      <c r="N180" s="157">
        <f>IF(E180="","",IF(ISERROR(INDEX('Standard cost - Testing'!$A$1:$N$497,MATCH(RIGHT($C180,4),'Standard cost - Testing'!$A$1:$A$497,0),MATCH($E180,'Standard cost - Testing'!$K$1:$N$1,0)+10)),"NA",INDEX('Standard cost - Testing'!$A$1:$N$497,MATCH(RIGHT($C180,4),'Standard cost - Testing'!$A$1:$A$497,0),MATCH($E180,'Standard cost - Testing'!$K$1:$N$1,0)+10)))</f>
        <v>22769</v>
      </c>
      <c r="O180" s="45">
        <f>IF(OR(ISERROR($N180),$N180="",$N180="NA"),0,H180*$N180)*(1+INDEX('For Finance Control'!$B$27:$E$29,2,MATCH('Project information'!$A$4,'For Finance Control'!$B$27:$E$27,0)))</f>
        <v>0</v>
      </c>
      <c r="P180" s="45">
        <f>IF(OR(ISERROR($N180),$N180="",$N180="NA"),0,I180*$N180)*(1+INDEX('For Finance Control'!$B$27:$E$29,2,MATCH('Project information'!$A$4,'For Finance Control'!$B$27:$E$27,0)))</f>
        <v>0</v>
      </c>
      <c r="Q180" s="45">
        <f>IF(OR(ISERROR($N180),$N180="",$N180="NA"),0,J180*$N180)*(1+INDEX('For Finance Control'!$B$27:$E$29,2,MATCH('Project information'!$A$4,'For Finance Control'!$B$27:$E$27,0)))</f>
        <v>0</v>
      </c>
      <c r="R180" s="45">
        <f>IF(OR(ISERROR($N180),$N180="",$N180="NA"),0,K180*$N180)*(1+INDEX('For Finance Control'!$B$27:$E$29,2,MATCH('Project information'!$A$4,'For Finance Control'!$B$27:$E$27,0)))</f>
        <v>0</v>
      </c>
      <c r="S180" s="45">
        <f>IF(OR(ISERROR($N180),$N180="",$N180="NA"),0,L180*$N180)*(1+INDEX('For Finance Control'!$B$27:$E$29,2,MATCH('Project information'!$A$4,'For Finance Control'!$B$27:$E$27,0)))</f>
        <v>0</v>
      </c>
      <c r="T180" s="45">
        <f t="shared" si="197"/>
        <v>0</v>
      </c>
      <c r="U180" s="33" cm="1">
        <f t="array" ref="U180">IF($N180="NA","NA",$N180*INDEX('Exchange rate'!$A$1:$G$7,MATCH('Project information'!$A$13,'Exchange rate'!$A$1:$A$7,0),MATCH(LOOKUP(2,1/({"China";"Korea";"India";"Japan";"EUR";"NAO"}=$E180),{"CNY";"KRW";"INR";"JPY";"EUR";"USD"}),'Exchange rate'!$A$1:$G$1,0)))</f>
        <v>22769</v>
      </c>
      <c r="V180" s="33">
        <f t="shared" si="198"/>
        <v>0</v>
      </c>
      <c r="W180" s="33">
        <f t="shared" si="199"/>
        <v>0</v>
      </c>
      <c r="X180" s="33">
        <f t="shared" si="200"/>
        <v>0</v>
      </c>
      <c r="Y180" s="33">
        <f t="shared" si="201"/>
        <v>0</v>
      </c>
      <c r="Z180" s="33">
        <f t="shared" si="202"/>
        <v>0</v>
      </c>
      <c r="AA180" s="33">
        <f t="shared" si="205"/>
        <v>0</v>
      </c>
      <c r="AB180" s="246"/>
      <c r="AC180" s="247"/>
      <c r="AZ180" s="148" t="str">
        <f t="shared" si="206"/>
        <v>5.58</v>
      </c>
      <c r="BA180" s="149" t="s">
        <v>342</v>
      </c>
    </row>
    <row r="181" spans="1:53" ht="25" outlineLevel="1">
      <c r="A181" s="148" t="str">
        <f t="shared" si="204"/>
        <v>5.59</v>
      </c>
      <c r="B181" s="148" t="str">
        <f>INDEX('Standard cost - Testing'!$A$1:$N$497,MATCH(RIGHT($C181,4),'Standard cost - Testing'!$A$1:$A$497,0),3)</f>
        <v>LVE</v>
      </c>
      <c r="C181" s="149" t="str">
        <f>'Standard cost - Testing'!B60&amp;" - "&amp;'Standard cost - Testing'!A60</f>
        <v>Engine Dura. Bench - D012</v>
      </c>
      <c r="D181" s="150" t="str">
        <f>IF(RIGHT(INDEX('Standard cost - Testing'!$A$1:$N$497,MATCH(RIGHT($C181,4),'Standard cost - Testing'!$A$1:$A$497,0),4),1)="]",INDEX('Standard cost - Testing'!$A$1:$N$497,MATCH(RIGHT($C181,4),'Standard cost - Testing'!$A$1:$A$497,0),4),IF(INDEX('Standard cost - Testing'!$A$1:$N$497,MATCH(RIGHT($C181,4),'Standard cost - Testing'!$A$1:$A$497,0),10)=1,INDEX('Standard cost - Testing'!$A$1:$N$497,MATCH(RIGHT($C181,4),'Standard cost - Testing'!$A$1:$A$497,0),4)&amp;" [1 part]",INDEX('Standard cost - Testing'!$A$1:$N$497,MATCH(RIGHT($C181,4),'Standard cost - Testing'!$A$1:$A$497,0),4)&amp;" ["&amp;INDEX('Standard cost - Testing'!$A$1:$N$497,MATCH(RIGHT($C181,4),'Standard cost - Testing'!$A$1:$A$497,0),10)&amp;" parts]"))</f>
        <v>Motoring thermal shock test 200h [1 part]</v>
      </c>
      <c r="E181" s="51" t="str">
        <f>IF('Project information'!$A$4="","",'Project information'!$A$4)</f>
        <v>China</v>
      </c>
      <c r="F181" s="149" t="str">
        <f>INDEX('Standard cost - Testing'!$A$1:$N$497,MATCH(RIGHT($C181,4),'Standard cost - Testing'!$A$1:$A$497,0),5)</f>
        <v>HMC</v>
      </c>
      <c r="G181" s="149">
        <f>IF($E181='Standard cost - Testing'!$F$1,INDEX('Standard cost - Testing'!$A$1:$N$497,MATCH(RIGHT($C181,4),'Standard cost - Testing'!$A$1:$A$497,0),6),INDEX('Standard cost - Testing'!$A$1:$N$497,MATCH(RIGHT($C181,4),'Standard cost - Testing'!$A$1:$A$497,0),7))</f>
        <v>0</v>
      </c>
      <c r="H181" s="46"/>
      <c r="I181" s="46"/>
      <c r="J181" s="46"/>
      <c r="K181" s="46"/>
      <c r="L181" s="46"/>
      <c r="M181" s="33">
        <f t="shared" si="196"/>
        <v>0</v>
      </c>
      <c r="N181" s="157">
        <f>IF(E181="","",IF(ISERROR(INDEX('Standard cost - Testing'!$A$1:$N$497,MATCH(RIGHT($C181,4),'Standard cost - Testing'!$A$1:$A$497,0),MATCH($E181,'Standard cost - Testing'!$K$1:$N$1,0)+10)),"NA",INDEX('Standard cost - Testing'!$A$1:$N$497,MATCH(RIGHT($C181,4),'Standard cost - Testing'!$A$1:$A$497,0),MATCH($E181,'Standard cost - Testing'!$K$1:$N$1,0)+10)))</f>
        <v>159575</v>
      </c>
      <c r="O181" s="45">
        <f>IF(OR(ISERROR($N181),$N181="",$N181="NA"),0,H181*$N181)*(1+INDEX('For Finance Control'!$B$27:$E$29,2,MATCH('Project information'!$A$4,'For Finance Control'!$B$27:$E$27,0)))</f>
        <v>0</v>
      </c>
      <c r="P181" s="45">
        <f>IF(OR(ISERROR($N181),$N181="",$N181="NA"),0,I181*$N181)*(1+INDEX('For Finance Control'!$B$27:$E$29,2,MATCH('Project information'!$A$4,'For Finance Control'!$B$27:$E$27,0)))</f>
        <v>0</v>
      </c>
      <c r="Q181" s="45">
        <f>IF(OR(ISERROR($N181),$N181="",$N181="NA"),0,J181*$N181)*(1+INDEX('For Finance Control'!$B$27:$E$29,2,MATCH('Project information'!$A$4,'For Finance Control'!$B$27:$E$27,0)))</f>
        <v>0</v>
      </c>
      <c r="R181" s="45">
        <f>IF(OR(ISERROR($N181),$N181="",$N181="NA"),0,K181*$N181)*(1+INDEX('For Finance Control'!$B$27:$E$29,2,MATCH('Project information'!$A$4,'For Finance Control'!$B$27:$E$27,0)))</f>
        <v>0</v>
      </c>
      <c r="S181" s="45">
        <f>IF(OR(ISERROR($N181),$N181="",$N181="NA"),0,L181*$N181)*(1+INDEX('For Finance Control'!$B$27:$E$29,2,MATCH('Project information'!$A$4,'For Finance Control'!$B$27:$E$27,0)))</f>
        <v>0</v>
      </c>
      <c r="T181" s="45">
        <f t="shared" si="197"/>
        <v>0</v>
      </c>
      <c r="U181" s="33" cm="1">
        <f t="array" ref="U181">IF($N181="NA","NA",$N181*INDEX('Exchange rate'!$A$1:$G$7,MATCH('Project information'!$A$13,'Exchange rate'!$A$1:$A$7,0),MATCH(LOOKUP(2,1/({"China";"Korea";"India";"Japan";"EUR";"NAO"}=$E181),{"CNY";"KRW";"INR";"JPY";"EUR";"USD"}),'Exchange rate'!$A$1:$G$1,0)))</f>
        <v>159575</v>
      </c>
      <c r="V181" s="33">
        <f t="shared" si="198"/>
        <v>0</v>
      </c>
      <c r="W181" s="33">
        <f t="shared" si="199"/>
        <v>0</v>
      </c>
      <c r="X181" s="33">
        <f t="shared" si="200"/>
        <v>0</v>
      </c>
      <c r="Y181" s="33">
        <f t="shared" si="201"/>
        <v>0</v>
      </c>
      <c r="Z181" s="33">
        <f t="shared" si="202"/>
        <v>0</v>
      </c>
      <c r="AA181" s="33">
        <f t="shared" si="205"/>
        <v>0</v>
      </c>
      <c r="AB181" s="246"/>
      <c r="AC181" s="247"/>
      <c r="AZ181" s="148" t="str">
        <f t="shared" si="206"/>
        <v>5.59</v>
      </c>
      <c r="BA181" s="149" t="s">
        <v>101</v>
      </c>
    </row>
    <row r="182" spans="1:53" ht="25" outlineLevel="1">
      <c r="A182" s="148" t="str">
        <f t="shared" si="204"/>
        <v>5.60</v>
      </c>
      <c r="B182" s="148" t="str">
        <f>INDEX('Standard cost - Testing'!$A$1:$N$497,MATCH(RIGHT($C182,4),'Standard cost - Testing'!$A$1:$A$497,0),3)</f>
        <v>LVE</v>
      </c>
      <c r="C182" s="149" t="str">
        <f>'Standard cost - Testing'!B61&amp;" - "&amp;'Standard cost - Testing'!A61</f>
        <v>Engine Dura. Bench - D013</v>
      </c>
      <c r="D182" s="150" t="str">
        <f>IF(RIGHT(INDEX('Standard cost - Testing'!$A$1:$N$497,MATCH(RIGHT($C182,4),'Standard cost - Testing'!$A$1:$A$497,0),4),1)="]",INDEX('Standard cost - Testing'!$A$1:$N$497,MATCH(RIGHT($C182,4),'Standard cost - Testing'!$A$1:$A$497,0),4),IF(INDEX('Standard cost - Testing'!$A$1:$N$497,MATCH(RIGHT($C182,4),'Standard cost - Testing'!$A$1:$A$497,0),10)=1,INDEX('Standard cost - Testing'!$A$1:$N$497,MATCH(RIGHT($C182,4),'Standard cost - Testing'!$A$1:$A$497,0),4)&amp;" [1 part]",INDEX('Standard cost - Testing'!$A$1:$N$497,MATCH(RIGHT($C182,4),'Standard cost - Testing'!$A$1:$A$497,0),4)&amp;" ["&amp;INDEX('Standard cost - Testing'!$A$1:$N$497,MATCH(RIGHT($C182,4),'Standard cost - Testing'!$A$1:$A$497,0),10)&amp;" parts]"))</f>
        <v>Thermal shock endurance - 1000 cycles [2 parts]</v>
      </c>
      <c r="E182" s="51" t="str">
        <f>IF('Project information'!$A$4="","",'Project information'!$A$4)</f>
        <v>China</v>
      </c>
      <c r="F182" s="149" t="str">
        <f>INDEX('Standard cost - Testing'!$A$1:$N$497,MATCH(RIGHT($C182,4),'Standard cost - Testing'!$A$1:$A$497,0),5)</f>
        <v>FCA</v>
      </c>
      <c r="G182" s="149" t="str">
        <f>IF($E182='Standard cost - Testing'!$F$1,INDEX('Standard cost - Testing'!$A$1:$N$497,MATCH(RIGHT($C182,4),'Standard cost - Testing'!$A$1:$A$497,0),6),INDEX('Standard cost - Testing'!$A$1:$N$497,MATCH(RIGHT($C182,4),'Standard cost - Testing'!$A$1:$A$497,0),7))</f>
        <v>PF.90160 9.5</v>
      </c>
      <c r="H182" s="46"/>
      <c r="I182" s="46"/>
      <c r="J182" s="46"/>
      <c r="K182" s="46"/>
      <c r="L182" s="46"/>
      <c r="M182" s="33">
        <f t="shared" si="196"/>
        <v>0</v>
      </c>
      <c r="N182" s="157">
        <f>IF(E182="","",IF(ISERROR(INDEX('Standard cost - Testing'!$A$1:$N$497,MATCH(RIGHT($C182,4),'Standard cost - Testing'!$A$1:$A$497,0),MATCH($E182,'Standard cost - Testing'!$K$1:$N$1,0)+10)),"NA",INDEX('Standard cost - Testing'!$A$1:$N$497,MATCH(RIGHT($C182,4),'Standard cost - Testing'!$A$1:$A$497,0),MATCH($E182,'Standard cost - Testing'!$K$1:$N$1,0)+10)))</f>
        <v>492288</v>
      </c>
      <c r="O182" s="45">
        <f>IF(OR(ISERROR($N182),$N182="",$N182="NA"),0,H182*$N182)*(1+INDEX('For Finance Control'!$B$27:$E$29,2,MATCH('Project information'!$A$4,'For Finance Control'!$B$27:$E$27,0)))</f>
        <v>0</v>
      </c>
      <c r="P182" s="45">
        <f>IF(OR(ISERROR($N182),$N182="",$N182="NA"),0,I182*$N182)*(1+INDEX('For Finance Control'!$B$27:$E$29,2,MATCH('Project information'!$A$4,'For Finance Control'!$B$27:$E$27,0)))</f>
        <v>0</v>
      </c>
      <c r="Q182" s="45">
        <f>IF(OR(ISERROR($N182),$N182="",$N182="NA"),0,J182*$N182)*(1+INDEX('For Finance Control'!$B$27:$E$29,2,MATCH('Project information'!$A$4,'For Finance Control'!$B$27:$E$27,0)))</f>
        <v>0</v>
      </c>
      <c r="R182" s="45">
        <f>IF(OR(ISERROR($N182),$N182="",$N182="NA"),0,K182*$N182)*(1+INDEX('For Finance Control'!$B$27:$E$29,2,MATCH('Project information'!$A$4,'For Finance Control'!$B$27:$E$27,0)))</f>
        <v>0</v>
      </c>
      <c r="S182" s="45">
        <f>IF(OR(ISERROR($N182),$N182="",$N182="NA"),0,L182*$N182)*(1+INDEX('For Finance Control'!$B$27:$E$29,2,MATCH('Project information'!$A$4,'For Finance Control'!$B$27:$E$27,0)))</f>
        <v>0</v>
      </c>
      <c r="T182" s="45">
        <f t="shared" si="197"/>
        <v>0</v>
      </c>
      <c r="U182" s="33" cm="1">
        <f t="array" ref="U182">IF($N182="NA","NA",$N182*INDEX('Exchange rate'!$A$1:$G$7,MATCH('Project information'!$A$13,'Exchange rate'!$A$1:$A$7,0),MATCH(LOOKUP(2,1/({"China";"Korea";"India";"Japan";"EUR";"NAO"}=$E182),{"CNY";"KRW";"INR";"JPY";"EUR";"USD"}),'Exchange rate'!$A$1:$G$1,0)))</f>
        <v>492288</v>
      </c>
      <c r="V182" s="33">
        <f t="shared" si="198"/>
        <v>0</v>
      </c>
      <c r="W182" s="33">
        <f t="shared" si="199"/>
        <v>0</v>
      </c>
      <c r="X182" s="33">
        <f t="shared" si="200"/>
        <v>0</v>
      </c>
      <c r="Y182" s="33">
        <f t="shared" si="201"/>
        <v>0</v>
      </c>
      <c r="Z182" s="33">
        <f t="shared" si="202"/>
        <v>0</v>
      </c>
      <c r="AA182" s="33">
        <f t="shared" si="205"/>
        <v>0</v>
      </c>
      <c r="AB182" s="246"/>
      <c r="AC182" s="247"/>
      <c r="AZ182" s="148" t="str">
        <f t="shared" si="206"/>
        <v>5.60</v>
      </c>
      <c r="BA182" s="149" t="s">
        <v>343</v>
      </c>
    </row>
    <row r="183" spans="1:53" ht="25" outlineLevel="1">
      <c r="A183" s="148" t="str">
        <f t="shared" si="204"/>
        <v>5.61</v>
      </c>
      <c r="B183" s="148" t="str">
        <f>INDEX('Standard cost - Testing'!$A$1:$N$497,MATCH(RIGHT($C183,4),'Standard cost - Testing'!$A$1:$A$497,0),3)</f>
        <v>LVE</v>
      </c>
      <c r="C183" s="149" t="str">
        <f>'Standard cost - Testing'!B62&amp;" - "&amp;'Standard cost - Testing'!A62</f>
        <v>Engine Dura. Bench - D014</v>
      </c>
      <c r="D183" s="150" t="str">
        <f>IF(RIGHT(INDEX('Standard cost - Testing'!$A$1:$N$497,MATCH(RIGHT($C183,4),'Standard cost - Testing'!$A$1:$A$497,0),4),1)="]",INDEX('Standard cost - Testing'!$A$1:$N$497,MATCH(RIGHT($C183,4),'Standard cost - Testing'!$A$1:$A$497,0),4),IF(INDEX('Standard cost - Testing'!$A$1:$N$497,MATCH(RIGHT($C183,4),'Standard cost - Testing'!$A$1:$A$497,0),10)=1,INDEX('Standard cost - Testing'!$A$1:$N$497,MATCH(RIGHT($C183,4),'Standard cost - Testing'!$A$1:$A$497,0),4)&amp;" [1 part]",INDEX('Standard cost - Testing'!$A$1:$N$497,MATCH(RIGHT($C183,4),'Standard cost - Testing'!$A$1:$A$497,0),4)&amp;" ["&amp;INDEX('Standard cost - Testing'!$A$1:$N$497,MATCH(RIGHT($C183,4),'Standard cost - Testing'!$A$1:$A$497,0),10)&amp;" parts]"))</f>
        <v>Full load test 300h [1 part]</v>
      </c>
      <c r="E183" s="51" t="str">
        <f>IF('Project information'!$A$4="","",'Project information'!$A$4)</f>
        <v>China</v>
      </c>
      <c r="F183" s="149" t="str">
        <f>INDEX('Standard cost - Testing'!$A$1:$N$497,MATCH(RIGHT($C183,4),'Standard cost - Testing'!$A$1:$A$497,0),5)</f>
        <v>HMC</v>
      </c>
      <c r="G183" s="149">
        <f>IF($E183='Standard cost - Testing'!$F$1,INDEX('Standard cost - Testing'!$A$1:$N$497,MATCH(RIGHT($C183,4),'Standard cost - Testing'!$A$1:$A$497,0),6),INDEX('Standard cost - Testing'!$A$1:$N$497,MATCH(RIGHT($C183,4),'Standard cost - Testing'!$A$1:$A$497,0),7))</f>
        <v>0</v>
      </c>
      <c r="H183" s="46"/>
      <c r="I183" s="46"/>
      <c r="J183" s="46"/>
      <c r="K183" s="46"/>
      <c r="L183" s="46"/>
      <c r="M183" s="33">
        <f t="shared" si="196"/>
        <v>0</v>
      </c>
      <c r="N183" s="157">
        <f>IF(E183="","",IF(ISERROR(INDEX('Standard cost - Testing'!$A$1:$N$497,MATCH(RIGHT($C183,4),'Standard cost - Testing'!$A$1:$A$497,0),MATCH($E183,'Standard cost - Testing'!$K$1:$N$1,0)+10)),"NA",INDEX('Standard cost - Testing'!$A$1:$N$497,MATCH(RIGHT($C183,4),'Standard cost - Testing'!$A$1:$A$497,0),MATCH($E183,'Standard cost - Testing'!$K$1:$N$1,0)+10)))</f>
        <v>241460</v>
      </c>
      <c r="O183" s="45">
        <f>IF(OR(ISERROR($N183),$N183="",$N183="NA"),0,H183*$N183)*(1+INDEX('For Finance Control'!$B$27:$E$29,2,MATCH('Project information'!$A$4,'For Finance Control'!$B$27:$E$27,0)))</f>
        <v>0</v>
      </c>
      <c r="P183" s="45">
        <f>IF(OR(ISERROR($N183),$N183="",$N183="NA"),0,I183*$N183)*(1+INDEX('For Finance Control'!$B$27:$E$29,2,MATCH('Project information'!$A$4,'For Finance Control'!$B$27:$E$27,0)))</f>
        <v>0</v>
      </c>
      <c r="Q183" s="45">
        <f>IF(OR(ISERROR($N183),$N183="",$N183="NA"),0,J183*$N183)*(1+INDEX('For Finance Control'!$B$27:$E$29,2,MATCH('Project information'!$A$4,'For Finance Control'!$B$27:$E$27,0)))</f>
        <v>0</v>
      </c>
      <c r="R183" s="45">
        <f>IF(OR(ISERROR($N183),$N183="",$N183="NA"),0,K183*$N183)*(1+INDEX('For Finance Control'!$B$27:$E$29,2,MATCH('Project information'!$A$4,'For Finance Control'!$B$27:$E$27,0)))</f>
        <v>0</v>
      </c>
      <c r="S183" s="45">
        <f>IF(OR(ISERROR($N183),$N183="",$N183="NA"),0,L183*$N183)*(1+INDEX('For Finance Control'!$B$27:$E$29,2,MATCH('Project information'!$A$4,'For Finance Control'!$B$27:$E$27,0)))</f>
        <v>0</v>
      </c>
      <c r="T183" s="45">
        <f t="shared" si="197"/>
        <v>0</v>
      </c>
      <c r="U183" s="33" cm="1">
        <f t="array" ref="U183">IF($N183="NA","NA",$N183*INDEX('Exchange rate'!$A$1:$G$7,MATCH('Project information'!$A$13,'Exchange rate'!$A$1:$A$7,0),MATCH(LOOKUP(2,1/({"China";"Korea";"India";"Japan";"EUR";"NAO"}=$E183),{"CNY";"KRW";"INR";"JPY";"EUR";"USD"}),'Exchange rate'!$A$1:$G$1,0)))</f>
        <v>241460</v>
      </c>
      <c r="V183" s="33">
        <f t="shared" si="198"/>
        <v>0</v>
      </c>
      <c r="W183" s="33">
        <f t="shared" si="199"/>
        <v>0</v>
      </c>
      <c r="X183" s="33">
        <f t="shared" si="200"/>
        <v>0</v>
      </c>
      <c r="Y183" s="33">
        <f t="shared" si="201"/>
        <v>0</v>
      </c>
      <c r="Z183" s="33">
        <f t="shared" si="202"/>
        <v>0</v>
      </c>
      <c r="AA183" s="33">
        <f t="shared" si="205"/>
        <v>0</v>
      </c>
      <c r="AB183" s="246"/>
      <c r="AC183" s="247"/>
      <c r="AZ183" s="148" t="str">
        <f t="shared" si="206"/>
        <v>5.61</v>
      </c>
      <c r="BA183" s="149" t="s">
        <v>101</v>
      </c>
    </row>
    <row r="184" spans="1:53" ht="25" outlineLevel="1">
      <c r="A184" s="148" t="str">
        <f t="shared" si="204"/>
        <v>5.62</v>
      </c>
      <c r="B184" s="148" t="str">
        <f>INDEX('Standard cost - Testing'!$A$1:$N$497,MATCH(RIGHT($C184,4),'Standard cost - Testing'!$A$1:$A$497,0),3)</f>
        <v>LVE</v>
      </c>
      <c r="C184" s="149" t="str">
        <f>'Standard cost - Testing'!B63&amp;" - "&amp;'Standard cost - Testing'!A63</f>
        <v>Engine Dura. Bench - D015</v>
      </c>
      <c r="D184" s="150" t="str">
        <f>IF(RIGHT(INDEX('Standard cost - Testing'!$A$1:$N$497,MATCH(RIGHT($C184,4),'Standard cost - Testing'!$A$1:$A$497,0),4),1)="]",INDEX('Standard cost - Testing'!$A$1:$N$497,MATCH(RIGHT($C184,4),'Standard cost - Testing'!$A$1:$A$497,0),4),IF(INDEX('Standard cost - Testing'!$A$1:$N$497,MATCH(RIGHT($C184,4),'Standard cost - Testing'!$A$1:$A$497,0),10)=1,INDEX('Standard cost - Testing'!$A$1:$N$497,MATCH(RIGHT($C184,4),'Standard cost - Testing'!$A$1:$A$497,0),4)&amp;" [1 part]",INDEX('Standard cost - Testing'!$A$1:$N$497,MATCH(RIGHT($C184,4),'Standard cost - Testing'!$A$1:$A$497,0),4)&amp;" ["&amp;INDEX('Standard cost - Testing'!$A$1:$N$497,MATCH(RIGHT($C184,4),'Standard cost - Testing'!$A$1:$A$497,0),10)&amp;" parts]"))</f>
        <v>Resonance durability on engine bench [2 parts]</v>
      </c>
      <c r="E184" s="51" t="str">
        <f>IF('Project information'!$A$4="","",'Project information'!$A$4)</f>
        <v>China</v>
      </c>
      <c r="F184" s="149" t="str">
        <f>INDEX('Standard cost - Testing'!$A$1:$N$497,MATCH(RIGHT($C184,4),'Standard cost - Testing'!$A$1:$A$497,0),5)</f>
        <v>FCA</v>
      </c>
      <c r="G184" s="149" t="str">
        <f>IF($E184='Standard cost - Testing'!$F$1,INDEX('Standard cost - Testing'!$A$1:$N$497,MATCH(RIGHT($C184,4),'Standard cost - Testing'!$A$1:$A$497,0),6),INDEX('Standard cost - Testing'!$A$1:$N$497,MATCH(RIGHT($C184,4),'Standard cost - Testing'!$A$1:$A$497,0),7))</f>
        <v>PF.90160 9.6</v>
      </c>
      <c r="H184" s="46"/>
      <c r="I184" s="46"/>
      <c r="J184" s="46"/>
      <c r="K184" s="46"/>
      <c r="L184" s="46"/>
      <c r="M184" s="33">
        <f t="shared" si="196"/>
        <v>0</v>
      </c>
      <c r="N184" s="157">
        <f>IF(E184="","",IF(ISERROR(INDEX('Standard cost - Testing'!$A$1:$N$497,MATCH(RIGHT($C184,4),'Standard cost - Testing'!$A$1:$A$497,0),MATCH($E184,'Standard cost - Testing'!$K$1:$N$1,0)+10)),"NA",INDEX('Standard cost - Testing'!$A$1:$N$497,MATCH(RIGHT($C184,4),'Standard cost - Testing'!$A$1:$A$497,0),MATCH($E184,'Standard cost - Testing'!$K$1:$N$1,0)+10)))</f>
        <v>341108</v>
      </c>
      <c r="O184" s="45">
        <f>IF(OR(ISERROR($N184),$N184="",$N184="NA"),0,H184*$N184)*(1+INDEX('For Finance Control'!$B$27:$E$29,2,MATCH('Project information'!$A$4,'For Finance Control'!$B$27:$E$27,0)))</f>
        <v>0</v>
      </c>
      <c r="P184" s="45">
        <f>IF(OR(ISERROR($N184),$N184="",$N184="NA"),0,I184*$N184)*(1+INDEX('For Finance Control'!$B$27:$E$29,2,MATCH('Project information'!$A$4,'For Finance Control'!$B$27:$E$27,0)))</f>
        <v>0</v>
      </c>
      <c r="Q184" s="45">
        <f>IF(OR(ISERROR($N184),$N184="",$N184="NA"),0,J184*$N184)*(1+INDEX('For Finance Control'!$B$27:$E$29,2,MATCH('Project information'!$A$4,'For Finance Control'!$B$27:$E$27,0)))</f>
        <v>0</v>
      </c>
      <c r="R184" s="45">
        <f>IF(OR(ISERROR($N184),$N184="",$N184="NA"),0,K184*$N184)*(1+INDEX('For Finance Control'!$B$27:$E$29,2,MATCH('Project information'!$A$4,'For Finance Control'!$B$27:$E$27,0)))</f>
        <v>0</v>
      </c>
      <c r="S184" s="45">
        <f>IF(OR(ISERROR($N184),$N184="",$N184="NA"),0,L184*$N184)*(1+INDEX('For Finance Control'!$B$27:$E$29,2,MATCH('Project information'!$A$4,'For Finance Control'!$B$27:$E$27,0)))</f>
        <v>0</v>
      </c>
      <c r="T184" s="45">
        <f t="shared" si="197"/>
        <v>0</v>
      </c>
      <c r="U184" s="33" cm="1">
        <f t="array" ref="U184">IF($N184="NA","NA",$N184*INDEX('Exchange rate'!$A$1:$G$7,MATCH('Project information'!$A$13,'Exchange rate'!$A$1:$A$7,0),MATCH(LOOKUP(2,1/({"China";"Korea";"India";"Japan";"EUR";"NAO"}=$E184),{"CNY";"KRW";"INR";"JPY";"EUR";"USD"}),'Exchange rate'!$A$1:$G$1,0)))</f>
        <v>341108</v>
      </c>
      <c r="V184" s="33">
        <f t="shared" si="198"/>
        <v>0</v>
      </c>
      <c r="W184" s="33">
        <f t="shared" si="199"/>
        <v>0</v>
      </c>
      <c r="X184" s="33">
        <f t="shared" si="200"/>
        <v>0</v>
      </c>
      <c r="Y184" s="33">
        <f t="shared" si="201"/>
        <v>0</v>
      </c>
      <c r="Z184" s="33">
        <f t="shared" si="202"/>
        <v>0</v>
      </c>
      <c r="AA184" s="33">
        <f t="shared" si="205"/>
        <v>0</v>
      </c>
      <c r="AB184" s="246"/>
      <c r="AC184" s="247"/>
      <c r="AZ184" s="148" t="str">
        <f t="shared" si="206"/>
        <v>5.62</v>
      </c>
      <c r="BA184" s="149" t="s">
        <v>344</v>
      </c>
    </row>
    <row r="185" spans="1:53" ht="25" outlineLevel="1">
      <c r="A185" s="148" t="str">
        <f t="shared" si="204"/>
        <v>5.63</v>
      </c>
      <c r="B185" s="148" t="str">
        <f>INDEX('Standard cost - Testing'!$A$1:$N$497,MATCH(RIGHT($C185,4),'Standard cost - Testing'!$A$1:$A$497,0),3)</f>
        <v>LVE</v>
      </c>
      <c r="C185" s="149" t="str">
        <f>'Standard cost - Testing'!B64&amp;" - "&amp;'Standard cost - Testing'!A64</f>
        <v>Engine Dura. Bench - D016</v>
      </c>
      <c r="D185" s="150" t="str">
        <f>IF(RIGHT(INDEX('Standard cost - Testing'!$A$1:$N$497,MATCH(RIGHT($C185,4),'Standard cost - Testing'!$A$1:$A$497,0),4),1)="]",INDEX('Standard cost - Testing'!$A$1:$N$497,MATCH(RIGHT($C185,4),'Standard cost - Testing'!$A$1:$A$497,0),4),IF(INDEX('Standard cost - Testing'!$A$1:$N$497,MATCH(RIGHT($C185,4),'Standard cost - Testing'!$A$1:$A$497,0),10)=1,INDEX('Standard cost - Testing'!$A$1:$N$497,MATCH(RIGHT($C185,4),'Standard cost - Testing'!$A$1:$A$497,0),4)&amp;" [1 part]",INDEX('Standard cost - Testing'!$A$1:$N$497,MATCH(RIGHT($C185,4),'Standard cost - Testing'!$A$1:$A$497,0),4)&amp;" ["&amp;INDEX('Standard cost - Testing'!$A$1:$N$497,MATCH(RIGHT($C185,4),'Standard cost - Testing'!$A$1:$A$497,0),10)&amp;" parts]"))</f>
        <v>Thermal shock test 600h [1 part]</v>
      </c>
      <c r="E185" s="51" t="str">
        <f>IF('Project information'!$A$4="","",'Project information'!$A$4)</f>
        <v>China</v>
      </c>
      <c r="F185" s="149" t="str">
        <f>INDEX('Standard cost - Testing'!$A$1:$N$497,MATCH(RIGHT($C185,4),'Standard cost - Testing'!$A$1:$A$497,0),5)</f>
        <v>HMC</v>
      </c>
      <c r="G185" s="149">
        <f>IF($E185='Standard cost - Testing'!$F$1,INDEX('Standard cost - Testing'!$A$1:$N$497,MATCH(RIGHT($C185,4),'Standard cost - Testing'!$A$1:$A$497,0),6),INDEX('Standard cost - Testing'!$A$1:$N$497,MATCH(RIGHT($C185,4),'Standard cost - Testing'!$A$1:$A$497,0),7))</f>
        <v>0</v>
      </c>
      <c r="H185" s="46"/>
      <c r="I185" s="46"/>
      <c r="J185" s="46"/>
      <c r="K185" s="46"/>
      <c r="L185" s="46"/>
      <c r="M185" s="33">
        <f t="shared" si="196"/>
        <v>0</v>
      </c>
      <c r="N185" s="157">
        <f>IF(E185="","",IF(ISERROR(INDEX('Standard cost - Testing'!$A$1:$N$497,MATCH(RIGHT($C185,4),'Standard cost - Testing'!$A$1:$A$497,0),MATCH($E185,'Standard cost - Testing'!$K$1:$N$1,0)+10)),"NA",INDEX('Standard cost - Testing'!$A$1:$N$497,MATCH(RIGHT($C185,4),'Standard cost - Testing'!$A$1:$A$497,0),MATCH($E185,'Standard cost - Testing'!$K$1:$N$1,0)+10)))</f>
        <v>407225</v>
      </c>
      <c r="O185" s="45">
        <f>IF(OR(ISERROR($N185),$N185="",$N185="NA"),0,H185*$N185)*(1+INDEX('For Finance Control'!$B$27:$E$29,2,MATCH('Project information'!$A$4,'For Finance Control'!$B$27:$E$27,0)))</f>
        <v>0</v>
      </c>
      <c r="P185" s="45">
        <f>IF(OR(ISERROR($N185),$N185="",$N185="NA"),0,I185*$N185)*(1+INDEX('For Finance Control'!$B$27:$E$29,2,MATCH('Project information'!$A$4,'For Finance Control'!$B$27:$E$27,0)))</f>
        <v>0</v>
      </c>
      <c r="Q185" s="45">
        <f>IF(OR(ISERROR($N185),$N185="",$N185="NA"),0,J185*$N185)*(1+INDEX('For Finance Control'!$B$27:$E$29,2,MATCH('Project information'!$A$4,'For Finance Control'!$B$27:$E$27,0)))</f>
        <v>0</v>
      </c>
      <c r="R185" s="45">
        <f>IF(OR(ISERROR($N185),$N185="",$N185="NA"),0,K185*$N185)*(1+INDEX('For Finance Control'!$B$27:$E$29,2,MATCH('Project information'!$A$4,'For Finance Control'!$B$27:$E$27,0)))</f>
        <v>0</v>
      </c>
      <c r="S185" s="45">
        <f>IF(OR(ISERROR($N185),$N185="",$N185="NA"),0,L185*$N185)*(1+INDEX('For Finance Control'!$B$27:$E$29,2,MATCH('Project information'!$A$4,'For Finance Control'!$B$27:$E$27,0)))</f>
        <v>0</v>
      </c>
      <c r="T185" s="45">
        <f t="shared" si="197"/>
        <v>0</v>
      </c>
      <c r="U185" s="33" cm="1">
        <f t="array" ref="U185">IF($N185="NA","NA",$N185*INDEX('Exchange rate'!$A$1:$G$7,MATCH('Project information'!$A$13,'Exchange rate'!$A$1:$A$7,0),MATCH(LOOKUP(2,1/({"China";"Korea";"India";"Japan";"EUR";"NAO"}=$E185),{"CNY";"KRW";"INR";"JPY";"EUR";"USD"}),'Exchange rate'!$A$1:$G$1,0)))</f>
        <v>407225</v>
      </c>
      <c r="V185" s="33">
        <f t="shared" si="198"/>
        <v>0</v>
      </c>
      <c r="W185" s="33">
        <f t="shared" si="199"/>
        <v>0</v>
      </c>
      <c r="X185" s="33">
        <f t="shared" si="200"/>
        <v>0</v>
      </c>
      <c r="Y185" s="33">
        <f t="shared" si="201"/>
        <v>0</v>
      </c>
      <c r="Z185" s="33">
        <f t="shared" si="202"/>
        <v>0</v>
      </c>
      <c r="AA185" s="33">
        <f t="shared" si="205"/>
        <v>0</v>
      </c>
      <c r="AB185" s="246"/>
      <c r="AC185" s="247"/>
      <c r="AZ185" s="148" t="str">
        <f t="shared" si="206"/>
        <v>5.63</v>
      </c>
      <c r="BA185" s="149" t="s">
        <v>101</v>
      </c>
    </row>
    <row r="186" spans="1:53" outlineLevel="1">
      <c r="A186" s="148" t="str">
        <f t="shared" si="204"/>
        <v>5.64</v>
      </c>
      <c r="B186" s="148" t="str">
        <f>INDEX('Standard cost - Testing'!$A$1:$N$497,MATCH(RIGHT($C186,4),'Standard cost - Testing'!$A$1:$A$497,0),3)</f>
        <v>LVE</v>
      </c>
      <c r="C186" s="149" t="str">
        <f>'Standard cost - Testing'!B65&amp;" - "&amp;'Standard cost - Testing'!A65</f>
        <v>EHRS  - E001</v>
      </c>
      <c r="D186" s="150" t="str">
        <f>IF(RIGHT(INDEX('Standard cost - Testing'!$A$1:$N$497,MATCH(RIGHT($C186,4),'Standard cost - Testing'!$A$1:$A$497,0),4),1)="]",INDEX('Standard cost - Testing'!$A$1:$N$497,MATCH(RIGHT($C186,4),'Standard cost - Testing'!$A$1:$A$497,0),4),IF(INDEX('Standard cost - Testing'!$A$1:$N$497,MATCH(RIGHT($C186,4),'Standard cost - Testing'!$A$1:$A$497,0),10)=1,INDEX('Standard cost - Testing'!$A$1:$N$497,MATCH(RIGHT($C186,4),'Standard cost - Testing'!$A$1:$A$497,0),4)&amp;" [1 part]",INDEX('Standard cost - Testing'!$A$1:$N$497,MATCH(RIGHT($C186,4),'Standard cost - Testing'!$A$1:$A$497,0),4)&amp;" ["&amp;INDEX('Standard cost - Testing'!$A$1:$N$497,MATCH(RIGHT($C186,4),'Standard cost - Testing'!$A$1:$A$497,0),10)&amp;" parts]"))</f>
        <v>Radiation noise test [2 parts]</v>
      </c>
      <c r="E186" s="51" t="str">
        <f>IF('Project information'!$A$4="","",'Project information'!$A$4)</f>
        <v>China</v>
      </c>
      <c r="F186" s="149" t="str">
        <f>INDEX('Standard cost - Testing'!$A$1:$N$497,MATCH(RIGHT($C186,4),'Standard cost - Testing'!$A$1:$A$497,0),5)</f>
        <v>HMC</v>
      </c>
      <c r="G186" s="149" t="str">
        <f>IF($E186='Standard cost - Testing'!$F$1,INDEX('Standard cost - Testing'!$A$1:$N$497,MATCH(RIGHT($C186,4),'Standard cost - Testing'!$A$1:$A$497,0),6),INDEX('Standard cost - Testing'!$A$1:$N$497,MATCH(RIGHT($C186,4),'Standard cost - Testing'!$A$1:$A$497,0),7))</f>
        <v>ES28600-24 6.1</v>
      </c>
      <c r="H186" s="46"/>
      <c r="I186" s="46"/>
      <c r="J186" s="46"/>
      <c r="K186" s="46"/>
      <c r="L186" s="46"/>
      <c r="M186" s="33">
        <f t="shared" si="196"/>
        <v>0</v>
      </c>
      <c r="N186" s="157">
        <f>IF(E186="","",IF(ISERROR(INDEX('Standard cost - Testing'!$A$1:$N$497,MATCH(RIGHT($C186,4),'Standard cost - Testing'!$A$1:$A$497,0),MATCH($E186,'Standard cost - Testing'!$K$1:$N$1,0)+10)),"NA",INDEX('Standard cost - Testing'!$A$1:$N$497,MATCH(RIGHT($C186,4),'Standard cost - Testing'!$A$1:$A$497,0),MATCH($E186,'Standard cost - Testing'!$K$1:$N$1,0)+10)))</f>
        <v>9140</v>
      </c>
      <c r="O186" s="45">
        <f>IF(OR(ISERROR($N186),$N186="",$N186="NA"),0,H186*$N186)*(1+INDEX('For Finance Control'!$B$27:$E$29,2,MATCH('Project information'!$A$4,'For Finance Control'!$B$27:$E$27,0)))</f>
        <v>0</v>
      </c>
      <c r="P186" s="45">
        <f>IF(OR(ISERROR($N186),$N186="",$N186="NA"),0,I186*$N186)*(1+INDEX('For Finance Control'!$B$27:$E$29,2,MATCH('Project information'!$A$4,'For Finance Control'!$B$27:$E$27,0)))</f>
        <v>0</v>
      </c>
      <c r="Q186" s="45">
        <f>IF(OR(ISERROR($N186),$N186="",$N186="NA"),0,J186*$N186)*(1+INDEX('For Finance Control'!$B$27:$E$29,2,MATCH('Project information'!$A$4,'For Finance Control'!$B$27:$E$27,0)))</f>
        <v>0</v>
      </c>
      <c r="R186" s="45">
        <f>IF(OR(ISERROR($N186),$N186="",$N186="NA"),0,K186*$N186)*(1+INDEX('For Finance Control'!$B$27:$E$29,2,MATCH('Project information'!$A$4,'For Finance Control'!$B$27:$E$27,0)))</f>
        <v>0</v>
      </c>
      <c r="S186" s="45">
        <f>IF(OR(ISERROR($N186),$N186="",$N186="NA"),0,L186*$N186)*(1+INDEX('For Finance Control'!$B$27:$E$29,2,MATCH('Project information'!$A$4,'For Finance Control'!$B$27:$E$27,0)))</f>
        <v>0</v>
      </c>
      <c r="T186" s="45">
        <f t="shared" si="197"/>
        <v>0</v>
      </c>
      <c r="U186" s="33" cm="1">
        <f t="array" ref="U186">IF($N186="NA","NA",$N186*INDEX('Exchange rate'!$A$1:$G$7,MATCH('Project information'!$A$13,'Exchange rate'!$A$1:$A$7,0),MATCH(LOOKUP(2,1/({"China";"Korea";"India";"Japan";"EUR";"NAO"}=$E186),{"CNY";"KRW";"INR";"JPY";"EUR";"USD"}),'Exchange rate'!$A$1:$G$1,0)))</f>
        <v>9140</v>
      </c>
      <c r="V186" s="33">
        <f t="shared" si="198"/>
        <v>0</v>
      </c>
      <c r="W186" s="33">
        <f t="shared" si="199"/>
        <v>0</v>
      </c>
      <c r="X186" s="33">
        <f t="shared" si="200"/>
        <v>0</v>
      </c>
      <c r="Y186" s="33">
        <f t="shared" si="201"/>
        <v>0</v>
      </c>
      <c r="Z186" s="33">
        <f t="shared" si="202"/>
        <v>0</v>
      </c>
      <c r="AA186" s="33">
        <f t="shared" si="205"/>
        <v>0</v>
      </c>
      <c r="AB186" s="246"/>
      <c r="AC186" s="247"/>
      <c r="AZ186" s="148" t="str">
        <f t="shared" si="206"/>
        <v>5.64</v>
      </c>
      <c r="BA186" s="149" t="s">
        <v>345</v>
      </c>
    </row>
    <row r="187" spans="1:53" outlineLevel="1">
      <c r="A187" s="148" t="str">
        <f t="shared" si="204"/>
        <v>5.65</v>
      </c>
      <c r="B187" s="148" t="str">
        <f>INDEX('Standard cost - Testing'!$A$1:$N$497,MATCH(RIGHT($C187,4),'Standard cost - Testing'!$A$1:$A$497,0),3)</f>
        <v>LVE</v>
      </c>
      <c r="C187" s="149" t="str">
        <f>'Standard cost - Testing'!B66&amp;" - "&amp;'Standard cost - Testing'!A66</f>
        <v>EHRS  - E002</v>
      </c>
      <c r="D187" s="150" t="str">
        <f>IF(RIGHT(INDEX('Standard cost - Testing'!$A$1:$N$497,MATCH(RIGHT($C187,4),'Standard cost - Testing'!$A$1:$A$497,0),4),1)="]",INDEX('Standard cost - Testing'!$A$1:$N$497,MATCH(RIGHT($C187,4),'Standard cost - Testing'!$A$1:$A$497,0),4),IF(INDEX('Standard cost - Testing'!$A$1:$N$497,MATCH(RIGHT($C187,4),'Standard cost - Testing'!$A$1:$A$497,0),10)=1,INDEX('Standard cost - Testing'!$A$1:$N$497,MATCH(RIGHT($C187,4),'Standard cost - Testing'!$A$1:$A$497,0),4)&amp;" [1 part]",INDEX('Standard cost - Testing'!$A$1:$N$497,MATCH(RIGHT($C187,4),'Standard cost - Testing'!$A$1:$A$497,0),4)&amp;" ["&amp;INDEX('Standard cost - Testing'!$A$1:$N$497,MATCH(RIGHT($C187,4),'Standard cost - Testing'!$A$1:$A$497,0),10)&amp;" parts]"))</f>
        <v>Stiffness measurement test [2 parts]</v>
      </c>
      <c r="E187" s="51" t="str">
        <f>IF('Project information'!$A$4="","",'Project information'!$A$4)</f>
        <v>China</v>
      </c>
      <c r="F187" s="149" t="str">
        <f>INDEX('Standard cost - Testing'!$A$1:$N$497,MATCH(RIGHT($C187,4),'Standard cost - Testing'!$A$1:$A$497,0),5)</f>
        <v>HMC</v>
      </c>
      <c r="G187" s="149" t="str">
        <f>IF($E187='Standard cost - Testing'!$F$1,INDEX('Standard cost - Testing'!$A$1:$N$497,MATCH(RIGHT($C187,4),'Standard cost - Testing'!$A$1:$A$497,0),6),INDEX('Standard cost - Testing'!$A$1:$N$497,MATCH(RIGHT($C187,4),'Standard cost - Testing'!$A$1:$A$497,0),7))</f>
        <v>ES28600-24 6.4</v>
      </c>
      <c r="H187" s="46"/>
      <c r="I187" s="46"/>
      <c r="J187" s="46"/>
      <c r="K187" s="46"/>
      <c r="L187" s="46"/>
      <c r="M187" s="33">
        <f t="shared" si="196"/>
        <v>0</v>
      </c>
      <c r="N187" s="157">
        <f>IF(E187="","",IF(ISERROR(INDEX('Standard cost - Testing'!$A$1:$N$497,MATCH(RIGHT($C187,4),'Standard cost - Testing'!$A$1:$A$497,0),MATCH($E187,'Standard cost - Testing'!$K$1:$N$1,0)+10)),"NA",INDEX('Standard cost - Testing'!$A$1:$N$497,MATCH(RIGHT($C187,4),'Standard cost - Testing'!$A$1:$A$497,0),MATCH($E187,'Standard cost - Testing'!$K$1:$N$1,0)+10)))</f>
        <v>4745</v>
      </c>
      <c r="O187" s="45">
        <f>IF(OR(ISERROR($N187),$N187="",$N187="NA"),0,H187*$N187)*(1+INDEX('For Finance Control'!$B$27:$E$29,2,MATCH('Project information'!$A$4,'For Finance Control'!$B$27:$E$27,0)))</f>
        <v>0</v>
      </c>
      <c r="P187" s="45">
        <f>IF(OR(ISERROR($N187),$N187="",$N187="NA"),0,I187*$N187)*(1+INDEX('For Finance Control'!$B$27:$E$29,2,MATCH('Project information'!$A$4,'For Finance Control'!$B$27:$E$27,0)))</f>
        <v>0</v>
      </c>
      <c r="Q187" s="45">
        <f>IF(OR(ISERROR($N187),$N187="",$N187="NA"),0,J187*$N187)*(1+INDEX('For Finance Control'!$B$27:$E$29,2,MATCH('Project information'!$A$4,'For Finance Control'!$B$27:$E$27,0)))</f>
        <v>0</v>
      </c>
      <c r="R187" s="45">
        <f>IF(OR(ISERROR($N187),$N187="",$N187="NA"),0,K187*$N187)*(1+INDEX('For Finance Control'!$B$27:$E$29,2,MATCH('Project information'!$A$4,'For Finance Control'!$B$27:$E$27,0)))</f>
        <v>0</v>
      </c>
      <c r="S187" s="45">
        <f>IF(OR(ISERROR($N187),$N187="",$N187="NA"),0,L187*$N187)*(1+INDEX('For Finance Control'!$B$27:$E$29,2,MATCH('Project information'!$A$4,'For Finance Control'!$B$27:$E$27,0)))</f>
        <v>0</v>
      </c>
      <c r="T187" s="45">
        <f t="shared" si="197"/>
        <v>0</v>
      </c>
      <c r="U187" s="33" cm="1">
        <f t="array" ref="U187">IF($N187="NA","NA",$N187*INDEX('Exchange rate'!$A$1:$G$7,MATCH('Project information'!$A$13,'Exchange rate'!$A$1:$A$7,0),MATCH(LOOKUP(2,1/({"China";"Korea";"India";"Japan";"EUR";"NAO"}=$E187),{"CNY";"KRW";"INR";"JPY";"EUR";"USD"}),'Exchange rate'!$A$1:$G$1,0)))</f>
        <v>4745</v>
      </c>
      <c r="V187" s="33">
        <f t="shared" si="198"/>
        <v>0</v>
      </c>
      <c r="W187" s="33">
        <f t="shared" si="199"/>
        <v>0</v>
      </c>
      <c r="X187" s="33">
        <f t="shared" si="200"/>
        <v>0</v>
      </c>
      <c r="Y187" s="33">
        <f t="shared" si="201"/>
        <v>0</v>
      </c>
      <c r="Z187" s="33">
        <f t="shared" si="202"/>
        <v>0</v>
      </c>
      <c r="AA187" s="33">
        <f t="shared" si="205"/>
        <v>0</v>
      </c>
      <c r="AB187" s="246"/>
      <c r="AC187" s="247"/>
      <c r="AZ187" s="148" t="str">
        <f t="shared" si="206"/>
        <v>5.65</v>
      </c>
      <c r="BA187" s="149" t="s">
        <v>346</v>
      </c>
    </row>
    <row r="188" spans="1:53" ht="25" outlineLevel="1">
      <c r="A188" s="148" t="str">
        <f t="shared" si="204"/>
        <v>5.66</v>
      </c>
      <c r="B188" s="148" t="str">
        <f>INDEX('Standard cost - Testing'!$A$1:$N$497,MATCH(RIGHT($C188,4),'Standard cost - Testing'!$A$1:$A$497,0),3)</f>
        <v>LVE</v>
      </c>
      <c r="C188" s="149" t="str">
        <f>'Standard cost - Testing'!B67&amp;" - "&amp;'Standard cost - Testing'!A67</f>
        <v>EHRS  - E003</v>
      </c>
      <c r="D188" s="150" t="str">
        <f>IF(RIGHT(INDEX('Standard cost - Testing'!$A$1:$N$497,MATCH(RIGHT($C188,4),'Standard cost - Testing'!$A$1:$A$497,0),4),1)="]",INDEX('Standard cost - Testing'!$A$1:$N$497,MATCH(RIGHT($C188,4),'Standard cost - Testing'!$A$1:$A$497,0),4),IF(INDEX('Standard cost - Testing'!$A$1:$N$497,MATCH(RIGHT($C188,4),'Standard cost - Testing'!$A$1:$A$497,0),10)=1,INDEX('Standard cost - Testing'!$A$1:$N$497,MATCH(RIGHT($C188,4),'Standard cost - Testing'!$A$1:$A$497,0),4)&amp;" [1 part]",INDEX('Standard cost - Testing'!$A$1:$N$497,MATCH(RIGHT($C188,4),'Standard cost - Testing'!$A$1:$A$497,0),4)&amp;" ["&amp;INDEX('Standard cost - Testing'!$A$1:$N$497,MATCH(RIGHT($C188,4),'Standard cost - Testing'!$A$1:$A$497,0),10)&amp;" parts]"))</f>
        <v>Resonance frequency measurement test [2 parts]</v>
      </c>
      <c r="E188" s="51" t="str">
        <f>IF('Project information'!$A$4="","",'Project information'!$A$4)</f>
        <v>China</v>
      </c>
      <c r="F188" s="149" t="str">
        <f>INDEX('Standard cost - Testing'!$A$1:$N$497,MATCH(RIGHT($C188,4),'Standard cost - Testing'!$A$1:$A$497,0),5)</f>
        <v>HMC</v>
      </c>
      <c r="G188" s="149" t="str">
        <f>IF($E188='Standard cost - Testing'!$F$1,INDEX('Standard cost - Testing'!$A$1:$N$497,MATCH(RIGHT($C188,4),'Standard cost - Testing'!$A$1:$A$497,0),6),INDEX('Standard cost - Testing'!$A$1:$N$497,MATCH(RIGHT($C188,4),'Standard cost - Testing'!$A$1:$A$497,0),7))</f>
        <v>ES28600-24 6.3</v>
      </c>
      <c r="H188" s="46"/>
      <c r="I188" s="46"/>
      <c r="J188" s="46"/>
      <c r="K188" s="46"/>
      <c r="L188" s="46"/>
      <c r="M188" s="33">
        <f t="shared" si="196"/>
        <v>0</v>
      </c>
      <c r="N188" s="157">
        <f>IF(E188="","",IF(ISERROR(INDEX('Standard cost - Testing'!$A$1:$N$497,MATCH(RIGHT($C188,4),'Standard cost - Testing'!$A$1:$A$497,0),MATCH($E188,'Standard cost - Testing'!$K$1:$N$1,0)+10)),"NA",INDEX('Standard cost - Testing'!$A$1:$N$497,MATCH(RIGHT($C188,4),'Standard cost - Testing'!$A$1:$A$497,0),MATCH($E188,'Standard cost - Testing'!$K$1:$N$1,0)+10)))</f>
        <v>4745</v>
      </c>
      <c r="O188" s="45">
        <f>IF(OR(ISERROR($N188),$N188="",$N188="NA"),0,H188*$N188)*(1+INDEX('For Finance Control'!$B$27:$E$29,2,MATCH('Project information'!$A$4,'For Finance Control'!$B$27:$E$27,0)))</f>
        <v>0</v>
      </c>
      <c r="P188" s="45">
        <f>IF(OR(ISERROR($N188),$N188="",$N188="NA"),0,I188*$N188)*(1+INDEX('For Finance Control'!$B$27:$E$29,2,MATCH('Project information'!$A$4,'For Finance Control'!$B$27:$E$27,0)))</f>
        <v>0</v>
      </c>
      <c r="Q188" s="45">
        <f>IF(OR(ISERROR($N188),$N188="",$N188="NA"),0,J188*$N188)*(1+INDEX('For Finance Control'!$B$27:$E$29,2,MATCH('Project information'!$A$4,'For Finance Control'!$B$27:$E$27,0)))</f>
        <v>0</v>
      </c>
      <c r="R188" s="45">
        <f>IF(OR(ISERROR($N188),$N188="",$N188="NA"),0,K188*$N188)*(1+INDEX('For Finance Control'!$B$27:$E$29,2,MATCH('Project information'!$A$4,'For Finance Control'!$B$27:$E$27,0)))</f>
        <v>0</v>
      </c>
      <c r="S188" s="45">
        <f>IF(OR(ISERROR($N188),$N188="",$N188="NA"),0,L188*$N188)*(1+INDEX('For Finance Control'!$B$27:$E$29,2,MATCH('Project information'!$A$4,'For Finance Control'!$B$27:$E$27,0)))</f>
        <v>0</v>
      </c>
      <c r="T188" s="45">
        <f t="shared" si="197"/>
        <v>0</v>
      </c>
      <c r="U188" s="33" cm="1">
        <f t="array" ref="U188">IF($N188="NA","NA",$N188*INDEX('Exchange rate'!$A$1:$G$7,MATCH('Project information'!$A$13,'Exchange rate'!$A$1:$A$7,0),MATCH(LOOKUP(2,1/({"China";"Korea";"India";"Japan";"EUR";"NAO"}=$E188),{"CNY";"KRW";"INR";"JPY";"EUR";"USD"}),'Exchange rate'!$A$1:$G$1,0)))</f>
        <v>4745</v>
      </c>
      <c r="V188" s="33">
        <f t="shared" si="198"/>
        <v>0</v>
      </c>
      <c r="W188" s="33">
        <f t="shared" si="199"/>
        <v>0</v>
      </c>
      <c r="X188" s="33">
        <f t="shared" si="200"/>
        <v>0</v>
      </c>
      <c r="Y188" s="33">
        <f t="shared" si="201"/>
        <v>0</v>
      </c>
      <c r="Z188" s="33">
        <f t="shared" si="202"/>
        <v>0</v>
      </c>
      <c r="AA188" s="33">
        <f t="shared" si="205"/>
        <v>0</v>
      </c>
      <c r="AB188" s="246"/>
      <c r="AC188" s="247"/>
      <c r="AZ188" s="148" t="str">
        <f t="shared" si="206"/>
        <v>5.66</v>
      </c>
      <c r="BA188" s="149" t="s">
        <v>347</v>
      </c>
    </row>
    <row r="189" spans="1:53" ht="37.5" outlineLevel="1">
      <c r="A189" s="148" t="str">
        <f t="shared" si="204"/>
        <v>5.67</v>
      </c>
      <c r="B189" s="148" t="str">
        <f>INDEX('Standard cost - Testing'!$A$1:$N$497,MATCH(RIGHT($C189,4),'Standard cost - Testing'!$A$1:$A$497,0),3)</f>
        <v>LVE</v>
      </c>
      <c r="C189" s="149" t="str">
        <f>'Standard cost - Testing'!B68&amp;" - "&amp;'Standard cost - Testing'!A68</f>
        <v>EHRS  - E004</v>
      </c>
      <c r="D189" s="150" t="str">
        <f>IF(RIGHT(INDEX('Standard cost - Testing'!$A$1:$N$497,MATCH(RIGHT($C189,4),'Standard cost - Testing'!$A$1:$A$497,0),4),1)="]",INDEX('Standard cost - Testing'!$A$1:$N$497,MATCH(RIGHT($C189,4),'Standard cost - Testing'!$A$1:$A$497,0),4),IF(INDEX('Standard cost - Testing'!$A$1:$N$497,MATCH(RIGHT($C189,4),'Standard cost - Testing'!$A$1:$A$497,0),10)=1,INDEX('Standard cost - Testing'!$A$1:$N$497,MATCH(RIGHT($C189,4),'Standard cost - Testing'!$A$1:$A$497,0),4)&amp;" [1 part]",INDEX('Standard cost - Testing'!$A$1:$N$497,MATCH(RIGHT($C189,4),'Standard cost - Testing'!$A$1:$A$497,0),4)&amp;" ["&amp;INDEX('Standard cost - Testing'!$A$1:$N$497,MATCH(RIGHT($C189,4),'Standard cost - Testing'!$A$1:$A$497,0),10)&amp;" parts]"))</f>
        <v>Full Integrated thermal fatigue (external) and internal thermal shock test [2 parts]</v>
      </c>
      <c r="E189" s="51" t="str">
        <f>IF('Project information'!$A$4="","",'Project information'!$A$4)</f>
        <v>China</v>
      </c>
      <c r="F189" s="149" t="str">
        <f>INDEX('Standard cost - Testing'!$A$1:$N$497,MATCH(RIGHT($C189,4),'Standard cost - Testing'!$A$1:$A$497,0),5)</f>
        <v>HMC</v>
      </c>
      <c r="G189" s="149">
        <f>IF($E189='Standard cost - Testing'!$F$1,INDEX('Standard cost - Testing'!$A$1:$N$497,MATCH(RIGHT($C189,4),'Standard cost - Testing'!$A$1:$A$497,0),6),INDEX('Standard cost - Testing'!$A$1:$N$497,MATCH(RIGHT($C189,4),'Standard cost - Testing'!$A$1:$A$497,0),7))</f>
        <v>0</v>
      </c>
      <c r="H189" s="46"/>
      <c r="I189" s="46"/>
      <c r="J189" s="46"/>
      <c r="K189" s="46"/>
      <c r="L189" s="46"/>
      <c r="M189" s="33">
        <f t="shared" si="196"/>
        <v>0</v>
      </c>
      <c r="N189" s="157" t="str">
        <f>IF(E189="","",IF(ISERROR(INDEX('Standard cost - Testing'!$A$1:$N$497,MATCH(RIGHT($C189,4),'Standard cost - Testing'!$A$1:$A$497,0),MATCH($E189,'Standard cost - Testing'!$K$1:$N$1,0)+10)),"NA",INDEX('Standard cost - Testing'!$A$1:$N$497,MATCH(RIGHT($C189,4),'Standard cost - Testing'!$A$1:$A$497,0),MATCH($E189,'Standard cost - Testing'!$K$1:$N$1,0)+10)))</f>
        <v>NA</v>
      </c>
      <c r="O189" s="45">
        <f>IF(OR(ISERROR($N189),$N189="",$N189="NA"),0,H189*$N189)*(1+INDEX('For Finance Control'!$B$27:$E$29,2,MATCH('Project information'!$A$4,'For Finance Control'!$B$27:$E$27,0)))</f>
        <v>0</v>
      </c>
      <c r="P189" s="45">
        <f>IF(OR(ISERROR($N189),$N189="",$N189="NA"),0,I189*$N189)*(1+INDEX('For Finance Control'!$B$27:$E$29,2,MATCH('Project information'!$A$4,'For Finance Control'!$B$27:$E$27,0)))</f>
        <v>0</v>
      </c>
      <c r="Q189" s="45">
        <f>IF(OR(ISERROR($N189),$N189="",$N189="NA"),0,J189*$N189)*(1+INDEX('For Finance Control'!$B$27:$E$29,2,MATCH('Project information'!$A$4,'For Finance Control'!$B$27:$E$27,0)))</f>
        <v>0</v>
      </c>
      <c r="R189" s="45">
        <f>IF(OR(ISERROR($N189),$N189="",$N189="NA"),0,K189*$N189)*(1+INDEX('For Finance Control'!$B$27:$E$29,2,MATCH('Project information'!$A$4,'For Finance Control'!$B$27:$E$27,0)))</f>
        <v>0</v>
      </c>
      <c r="S189" s="45">
        <f>IF(OR(ISERROR($N189),$N189="",$N189="NA"),0,L189*$N189)*(1+INDEX('For Finance Control'!$B$27:$E$29,2,MATCH('Project information'!$A$4,'For Finance Control'!$B$27:$E$27,0)))</f>
        <v>0</v>
      </c>
      <c r="T189" s="45">
        <f t="shared" si="197"/>
        <v>0</v>
      </c>
      <c r="U189" s="33" t="str" cm="1">
        <f t="array" ref="U189">IF($N189="NA","NA",$N189*INDEX('Exchange rate'!$A$1:$G$7,MATCH('Project information'!$A$13,'Exchange rate'!$A$1:$A$7,0),MATCH(LOOKUP(2,1/({"China";"Korea";"India";"Japan";"EUR";"NAO"}=$E189),{"CNY";"KRW";"INR";"JPY";"EUR";"USD"}),'Exchange rate'!$A$1:$G$1,0)))</f>
        <v>NA</v>
      </c>
      <c r="V189" s="33">
        <f t="shared" si="198"/>
        <v>0</v>
      </c>
      <c r="W189" s="33">
        <f t="shared" si="199"/>
        <v>0</v>
      </c>
      <c r="X189" s="33">
        <f t="shared" si="200"/>
        <v>0</v>
      </c>
      <c r="Y189" s="33">
        <f t="shared" si="201"/>
        <v>0</v>
      </c>
      <c r="Z189" s="33">
        <f t="shared" si="202"/>
        <v>0</v>
      </c>
      <c r="AA189" s="33">
        <f t="shared" si="205"/>
        <v>0</v>
      </c>
      <c r="AB189" s="246"/>
      <c r="AC189" s="247"/>
      <c r="AZ189" s="148" t="str">
        <f t="shared" si="206"/>
        <v>5.67</v>
      </c>
      <c r="BA189" s="149" t="s">
        <v>101</v>
      </c>
    </row>
    <row r="190" spans="1:53" outlineLevel="1">
      <c r="A190" s="148" t="str">
        <f t="shared" si="204"/>
        <v>5.68</v>
      </c>
      <c r="B190" s="148" t="str">
        <f>INDEX('Standard cost - Testing'!$A$1:$N$497,MATCH(RIGHT($C190,4),'Standard cost - Testing'!$A$1:$A$497,0),3)</f>
        <v>LVE</v>
      </c>
      <c r="C190" s="149" t="str">
        <f>'Standard cost - Testing'!B69&amp;" - "&amp;'Standard cost - Testing'!A69</f>
        <v>EHRS  - E005</v>
      </c>
      <c r="D190" s="150" t="str">
        <f>IF(RIGHT(INDEX('Standard cost - Testing'!$A$1:$N$497,MATCH(RIGHT($C190,4),'Standard cost - Testing'!$A$1:$A$497,0),4),1)="]",INDEX('Standard cost - Testing'!$A$1:$N$497,MATCH(RIGHT($C190,4),'Standard cost - Testing'!$A$1:$A$497,0),4),IF(INDEX('Standard cost - Testing'!$A$1:$N$497,MATCH(RIGHT($C190,4),'Standard cost - Testing'!$A$1:$A$497,0),10)=1,INDEX('Standard cost - Testing'!$A$1:$N$497,MATCH(RIGHT($C190,4),'Standard cost - Testing'!$A$1:$A$497,0),4)&amp;" [1 part]",INDEX('Standard cost - Testing'!$A$1:$N$497,MATCH(RIGHT($C190,4),'Standard cost - Testing'!$A$1:$A$497,0),4)&amp;" ["&amp;INDEX('Standard cost - Testing'!$A$1:$N$497,MATCH(RIGHT($C190,4),'Standard cost - Testing'!$A$1:$A$497,0),10)&amp;" parts]"))</f>
        <v>Full Vibration durability test [2 parts]</v>
      </c>
      <c r="E190" s="51" t="str">
        <f>IF('Project information'!$A$4="","",'Project information'!$A$4)</f>
        <v>China</v>
      </c>
      <c r="F190" s="149" t="str">
        <f>INDEX('Standard cost - Testing'!$A$1:$N$497,MATCH(RIGHT($C190,4),'Standard cost - Testing'!$A$1:$A$497,0),5)</f>
        <v>HMC</v>
      </c>
      <c r="G190" s="149">
        <f>IF($E190='Standard cost - Testing'!$F$1,INDEX('Standard cost - Testing'!$A$1:$N$497,MATCH(RIGHT($C190,4),'Standard cost - Testing'!$A$1:$A$497,0),6),INDEX('Standard cost - Testing'!$A$1:$N$497,MATCH(RIGHT($C190,4),'Standard cost - Testing'!$A$1:$A$497,0),7))</f>
        <v>0</v>
      </c>
      <c r="H190" s="46"/>
      <c r="I190" s="46"/>
      <c r="J190" s="46"/>
      <c r="K190" s="46"/>
      <c r="L190" s="46"/>
      <c r="M190" s="33">
        <f t="shared" si="196"/>
        <v>0</v>
      </c>
      <c r="N190" s="157" t="str">
        <f>IF(E190="","",IF(ISERROR(INDEX('Standard cost - Testing'!$A$1:$N$497,MATCH(RIGHT($C190,4),'Standard cost - Testing'!$A$1:$A$497,0),MATCH($E190,'Standard cost - Testing'!$K$1:$N$1,0)+10)),"NA",INDEX('Standard cost - Testing'!$A$1:$N$497,MATCH(RIGHT($C190,4),'Standard cost - Testing'!$A$1:$A$497,0),MATCH($E190,'Standard cost - Testing'!$K$1:$N$1,0)+10)))</f>
        <v>NA</v>
      </c>
      <c r="O190" s="45">
        <f>IF(OR(ISERROR($N190),$N190="",$N190="NA"),0,H190*$N190)*(1+INDEX('For Finance Control'!$B$27:$E$29,2,MATCH('Project information'!$A$4,'For Finance Control'!$B$27:$E$27,0)))</f>
        <v>0</v>
      </c>
      <c r="P190" s="45">
        <f>IF(OR(ISERROR($N190),$N190="",$N190="NA"),0,I190*$N190)*(1+INDEX('For Finance Control'!$B$27:$E$29,2,MATCH('Project information'!$A$4,'For Finance Control'!$B$27:$E$27,0)))</f>
        <v>0</v>
      </c>
      <c r="Q190" s="45">
        <f>IF(OR(ISERROR($N190),$N190="",$N190="NA"),0,J190*$N190)*(1+INDEX('For Finance Control'!$B$27:$E$29,2,MATCH('Project information'!$A$4,'For Finance Control'!$B$27:$E$27,0)))</f>
        <v>0</v>
      </c>
      <c r="R190" s="45">
        <f>IF(OR(ISERROR($N190),$N190="",$N190="NA"),0,K190*$N190)*(1+INDEX('For Finance Control'!$B$27:$E$29,2,MATCH('Project information'!$A$4,'For Finance Control'!$B$27:$E$27,0)))</f>
        <v>0</v>
      </c>
      <c r="S190" s="45">
        <f>IF(OR(ISERROR($N190),$N190="",$N190="NA"),0,L190*$N190)*(1+INDEX('For Finance Control'!$B$27:$E$29,2,MATCH('Project information'!$A$4,'For Finance Control'!$B$27:$E$27,0)))</f>
        <v>0</v>
      </c>
      <c r="T190" s="45">
        <f t="shared" si="197"/>
        <v>0</v>
      </c>
      <c r="U190" s="33" t="str" cm="1">
        <f t="array" ref="U190">IF($N190="NA","NA",$N190*INDEX('Exchange rate'!$A$1:$G$7,MATCH('Project information'!$A$13,'Exchange rate'!$A$1:$A$7,0),MATCH(LOOKUP(2,1/({"China";"Korea";"India";"Japan";"EUR";"NAO"}=$E190),{"CNY";"KRW";"INR";"JPY";"EUR";"USD"}),'Exchange rate'!$A$1:$G$1,0)))</f>
        <v>NA</v>
      </c>
      <c r="V190" s="33">
        <f t="shared" si="198"/>
        <v>0</v>
      </c>
      <c r="W190" s="33">
        <f t="shared" si="199"/>
        <v>0</v>
      </c>
      <c r="X190" s="33">
        <f t="shared" si="200"/>
        <v>0</v>
      </c>
      <c r="Y190" s="33">
        <f t="shared" si="201"/>
        <v>0</v>
      </c>
      <c r="Z190" s="33">
        <f t="shared" si="202"/>
        <v>0</v>
      </c>
      <c r="AA190" s="33">
        <f t="shared" si="205"/>
        <v>0</v>
      </c>
      <c r="AB190" s="246"/>
      <c r="AC190" s="247"/>
      <c r="AZ190" s="148" t="str">
        <f t="shared" si="206"/>
        <v>5.68</v>
      </c>
      <c r="BA190" s="149" t="s">
        <v>101</v>
      </c>
    </row>
    <row r="191" spans="1:53" ht="25" outlineLevel="1">
      <c r="A191" s="148" t="str">
        <f t="shared" si="204"/>
        <v>5.69</v>
      </c>
      <c r="B191" s="148" t="str">
        <f>INDEX('Standard cost - Testing'!$A$1:$N$497,MATCH(RIGHT($C191,4),'Standard cost - Testing'!$A$1:$A$497,0),3)</f>
        <v>LVE</v>
      </c>
      <c r="C191" s="149" t="str">
        <f>'Standard cost - Testing'!B70&amp;" - "&amp;'Standard cost - Testing'!A70</f>
        <v>EHRS  - E006</v>
      </c>
      <c r="D191" s="150" t="str">
        <f>IF(RIGHT(INDEX('Standard cost - Testing'!$A$1:$N$497,MATCH(RIGHT($C191,4),'Standard cost - Testing'!$A$1:$A$497,0),4),1)="]",INDEX('Standard cost - Testing'!$A$1:$N$497,MATCH(RIGHT($C191,4),'Standard cost - Testing'!$A$1:$A$497,0),4),IF(INDEX('Standard cost - Testing'!$A$1:$N$497,MATCH(RIGHT($C191,4),'Standard cost - Testing'!$A$1:$A$497,0),10)=1,INDEX('Standard cost - Testing'!$A$1:$N$497,MATCH(RIGHT($C191,4),'Standard cost - Testing'!$A$1:$A$497,0),4)&amp;" [1 part]",INDEX('Standard cost - Testing'!$A$1:$N$497,MATCH(RIGHT($C191,4),'Standard cost - Testing'!$A$1:$A$497,0),4)&amp;" ["&amp;INDEX('Standard cost - Testing'!$A$1:$N$497,MATCH(RIGHT($C191,4),'Standard cost - Testing'!$A$1:$A$497,0),10)&amp;" parts]"))</f>
        <v>Full Pressure fatigue durability test (light impact, Heavy impact) [4 parts]</v>
      </c>
      <c r="E191" s="51" t="str">
        <f>IF('Project information'!$A$4="","",'Project information'!$A$4)</f>
        <v>China</v>
      </c>
      <c r="F191" s="149" t="str">
        <f>INDEX('Standard cost - Testing'!$A$1:$N$497,MATCH(RIGHT($C191,4),'Standard cost - Testing'!$A$1:$A$497,0),5)</f>
        <v>HMC</v>
      </c>
      <c r="G191" s="149">
        <f>IF($E191='Standard cost - Testing'!$F$1,INDEX('Standard cost - Testing'!$A$1:$N$497,MATCH(RIGHT($C191,4),'Standard cost - Testing'!$A$1:$A$497,0),6),INDEX('Standard cost - Testing'!$A$1:$N$497,MATCH(RIGHT($C191,4),'Standard cost - Testing'!$A$1:$A$497,0),7))</f>
        <v>0</v>
      </c>
      <c r="H191" s="46"/>
      <c r="I191" s="46"/>
      <c r="J191" s="46"/>
      <c r="K191" s="46"/>
      <c r="L191" s="46"/>
      <c r="M191" s="33">
        <f t="shared" si="196"/>
        <v>0</v>
      </c>
      <c r="N191" s="157" t="str">
        <f>IF(E191="","",IF(ISERROR(INDEX('Standard cost - Testing'!$A$1:$N$497,MATCH(RIGHT($C191,4),'Standard cost - Testing'!$A$1:$A$497,0),MATCH($E191,'Standard cost - Testing'!$K$1:$N$1,0)+10)),"NA",INDEX('Standard cost - Testing'!$A$1:$N$497,MATCH(RIGHT($C191,4),'Standard cost - Testing'!$A$1:$A$497,0),MATCH($E191,'Standard cost - Testing'!$K$1:$N$1,0)+10)))</f>
        <v>NA</v>
      </c>
      <c r="O191" s="45">
        <f>IF(OR(ISERROR($N191),$N191="",$N191="NA"),0,H191*$N191)*(1+INDEX('For Finance Control'!$B$27:$E$29,2,MATCH('Project information'!$A$4,'For Finance Control'!$B$27:$E$27,0)))</f>
        <v>0</v>
      </c>
      <c r="P191" s="45">
        <f>IF(OR(ISERROR($N191),$N191="",$N191="NA"),0,I191*$N191)*(1+INDEX('For Finance Control'!$B$27:$E$29,2,MATCH('Project information'!$A$4,'For Finance Control'!$B$27:$E$27,0)))</f>
        <v>0</v>
      </c>
      <c r="Q191" s="45">
        <f>IF(OR(ISERROR($N191),$N191="",$N191="NA"),0,J191*$N191)*(1+INDEX('For Finance Control'!$B$27:$E$29,2,MATCH('Project information'!$A$4,'For Finance Control'!$B$27:$E$27,0)))</f>
        <v>0</v>
      </c>
      <c r="R191" s="45">
        <f>IF(OR(ISERROR($N191),$N191="",$N191="NA"),0,K191*$N191)*(1+INDEX('For Finance Control'!$B$27:$E$29,2,MATCH('Project information'!$A$4,'For Finance Control'!$B$27:$E$27,0)))</f>
        <v>0</v>
      </c>
      <c r="S191" s="45">
        <f>IF(OR(ISERROR($N191),$N191="",$N191="NA"),0,L191*$N191)*(1+INDEX('For Finance Control'!$B$27:$E$29,2,MATCH('Project information'!$A$4,'For Finance Control'!$B$27:$E$27,0)))</f>
        <v>0</v>
      </c>
      <c r="T191" s="45">
        <f t="shared" si="197"/>
        <v>0</v>
      </c>
      <c r="U191" s="33" t="str" cm="1">
        <f t="array" ref="U191">IF($N191="NA","NA",$N191*INDEX('Exchange rate'!$A$1:$G$7,MATCH('Project information'!$A$13,'Exchange rate'!$A$1:$A$7,0),MATCH(LOOKUP(2,1/({"China";"Korea";"India";"Japan";"EUR";"NAO"}=$E191),{"CNY";"KRW";"INR";"JPY";"EUR";"USD"}),'Exchange rate'!$A$1:$G$1,0)))</f>
        <v>NA</v>
      </c>
      <c r="V191" s="33">
        <f t="shared" si="198"/>
        <v>0</v>
      </c>
      <c r="W191" s="33">
        <f t="shared" si="199"/>
        <v>0</v>
      </c>
      <c r="X191" s="33">
        <f t="shared" si="200"/>
        <v>0</v>
      </c>
      <c r="Y191" s="33">
        <f t="shared" si="201"/>
        <v>0</v>
      </c>
      <c r="Z191" s="33">
        <f t="shared" si="202"/>
        <v>0</v>
      </c>
      <c r="AA191" s="33">
        <f t="shared" si="205"/>
        <v>0</v>
      </c>
      <c r="AB191" s="246"/>
      <c r="AC191" s="247"/>
      <c r="AZ191" s="148" t="str">
        <f t="shared" si="206"/>
        <v>5.69</v>
      </c>
      <c r="BA191" s="149" t="s">
        <v>101</v>
      </c>
    </row>
    <row r="192" spans="1:53" ht="25" outlineLevel="1">
      <c r="A192" s="148" t="str">
        <f t="shared" si="204"/>
        <v>5.70</v>
      </c>
      <c r="B192" s="148" t="str">
        <f>INDEX('Standard cost - Testing'!$A$1:$N$497,MATCH(RIGHT($C192,4),'Standard cost - Testing'!$A$1:$A$497,0),3)</f>
        <v>LVE</v>
      </c>
      <c r="C192" s="149" t="str">
        <f>'Standard cost - Testing'!B71&amp;" - "&amp;'Standard cost - Testing'!A71</f>
        <v>EHRS  - E007</v>
      </c>
      <c r="D192" s="150" t="str">
        <f>IF(RIGHT(INDEX('Standard cost - Testing'!$A$1:$N$497,MATCH(RIGHT($C192,4),'Standard cost - Testing'!$A$1:$A$497,0),4),1)="]",INDEX('Standard cost - Testing'!$A$1:$N$497,MATCH(RIGHT($C192,4),'Standard cost - Testing'!$A$1:$A$497,0),4),IF(INDEX('Standard cost - Testing'!$A$1:$N$497,MATCH(RIGHT($C192,4),'Standard cost - Testing'!$A$1:$A$497,0),10)=1,INDEX('Standard cost - Testing'!$A$1:$N$497,MATCH(RIGHT($C192,4),'Standard cost - Testing'!$A$1:$A$497,0),4)&amp;" [1 part]",INDEX('Standard cost - Testing'!$A$1:$N$497,MATCH(RIGHT($C192,4),'Standard cost - Testing'!$A$1:$A$497,0),4)&amp;" ["&amp;INDEX('Standard cost - Testing'!$A$1:$N$497,MATCH(RIGHT($C192,4),'Standard cost - Testing'!$A$1:$A$497,0),10)&amp;" parts]"))</f>
        <v>Full Integrated corrosion environment test [3 parts]</v>
      </c>
      <c r="E192" s="51" t="str">
        <f>IF('Project information'!$A$4="","",'Project information'!$A$4)</f>
        <v>China</v>
      </c>
      <c r="F192" s="149" t="str">
        <f>INDEX('Standard cost - Testing'!$A$1:$N$497,MATCH(RIGHT($C192,4),'Standard cost - Testing'!$A$1:$A$497,0),5)</f>
        <v>HMC</v>
      </c>
      <c r="G192" s="149">
        <f>IF($E192='Standard cost - Testing'!$F$1,INDEX('Standard cost - Testing'!$A$1:$N$497,MATCH(RIGHT($C192,4),'Standard cost - Testing'!$A$1:$A$497,0),6),INDEX('Standard cost - Testing'!$A$1:$N$497,MATCH(RIGHT($C192,4),'Standard cost - Testing'!$A$1:$A$497,0),7))</f>
        <v>0</v>
      </c>
      <c r="H192" s="46"/>
      <c r="I192" s="46"/>
      <c r="J192" s="46"/>
      <c r="K192" s="46"/>
      <c r="L192" s="46"/>
      <c r="M192" s="33">
        <f t="shared" si="196"/>
        <v>0</v>
      </c>
      <c r="N192" s="157" t="str">
        <f>IF(E192="","",IF(ISERROR(INDEX('Standard cost - Testing'!$A$1:$N$497,MATCH(RIGHT($C192,4),'Standard cost - Testing'!$A$1:$A$497,0),MATCH($E192,'Standard cost - Testing'!$K$1:$N$1,0)+10)),"NA",INDEX('Standard cost - Testing'!$A$1:$N$497,MATCH(RIGHT($C192,4),'Standard cost - Testing'!$A$1:$A$497,0),MATCH($E192,'Standard cost - Testing'!$K$1:$N$1,0)+10)))</f>
        <v>NA</v>
      </c>
      <c r="O192" s="45">
        <f>IF(OR(ISERROR($N192),$N192="",$N192="NA"),0,H192*$N192)*(1+INDEX('For Finance Control'!$B$27:$E$29,2,MATCH('Project information'!$A$4,'For Finance Control'!$B$27:$E$27,0)))</f>
        <v>0</v>
      </c>
      <c r="P192" s="45">
        <f>IF(OR(ISERROR($N192),$N192="",$N192="NA"),0,I192*$N192)*(1+INDEX('For Finance Control'!$B$27:$E$29,2,MATCH('Project information'!$A$4,'For Finance Control'!$B$27:$E$27,0)))</f>
        <v>0</v>
      </c>
      <c r="Q192" s="45">
        <f>IF(OR(ISERROR($N192),$N192="",$N192="NA"),0,J192*$N192)*(1+INDEX('For Finance Control'!$B$27:$E$29,2,MATCH('Project information'!$A$4,'For Finance Control'!$B$27:$E$27,0)))</f>
        <v>0</v>
      </c>
      <c r="R192" s="45">
        <f>IF(OR(ISERROR($N192),$N192="",$N192="NA"),0,K192*$N192)*(1+INDEX('For Finance Control'!$B$27:$E$29,2,MATCH('Project information'!$A$4,'For Finance Control'!$B$27:$E$27,0)))</f>
        <v>0</v>
      </c>
      <c r="S192" s="45">
        <f>IF(OR(ISERROR($N192),$N192="",$N192="NA"),0,L192*$N192)*(1+INDEX('For Finance Control'!$B$27:$E$29,2,MATCH('Project information'!$A$4,'For Finance Control'!$B$27:$E$27,0)))</f>
        <v>0</v>
      </c>
      <c r="T192" s="45">
        <f t="shared" si="197"/>
        <v>0</v>
      </c>
      <c r="U192" s="33" t="str" cm="1">
        <f t="array" ref="U192">IF($N192="NA","NA",$N192*INDEX('Exchange rate'!$A$1:$G$7,MATCH('Project information'!$A$13,'Exchange rate'!$A$1:$A$7,0),MATCH(LOOKUP(2,1/({"China";"Korea";"India";"Japan";"EUR";"NAO"}=$E192),{"CNY";"KRW";"INR";"JPY";"EUR";"USD"}),'Exchange rate'!$A$1:$G$1,0)))</f>
        <v>NA</v>
      </c>
      <c r="V192" s="33">
        <f t="shared" si="198"/>
        <v>0</v>
      </c>
      <c r="W192" s="33">
        <f t="shared" si="199"/>
        <v>0</v>
      </c>
      <c r="X192" s="33">
        <f t="shared" si="200"/>
        <v>0</v>
      </c>
      <c r="Y192" s="33">
        <f t="shared" si="201"/>
        <v>0</v>
      </c>
      <c r="Z192" s="33">
        <f t="shared" si="202"/>
        <v>0</v>
      </c>
      <c r="AA192" s="33">
        <f t="shared" si="205"/>
        <v>0</v>
      </c>
      <c r="AB192" s="246"/>
      <c r="AC192" s="247"/>
      <c r="AZ192" s="148" t="str">
        <f t="shared" si="206"/>
        <v>5.70</v>
      </c>
      <c r="BA192" s="149" t="s">
        <v>101</v>
      </c>
    </row>
    <row r="193" spans="1:53" ht="37.5" outlineLevel="1">
      <c r="A193" s="148" t="str">
        <f t="shared" si="204"/>
        <v>5.71</v>
      </c>
      <c r="B193" s="148" t="str">
        <f>INDEX('Standard cost - Testing'!$A$1:$N$497,MATCH(RIGHT($C193,4),'Standard cost - Testing'!$A$1:$A$497,0),3)</f>
        <v>LVE</v>
      </c>
      <c r="C193" s="149" t="str">
        <f>'Standard cost - Testing'!B72&amp;" - "&amp;'Standard cost - Testing'!A72</f>
        <v>EHRS  - E008</v>
      </c>
      <c r="D193" s="150" t="str">
        <f>IF(RIGHT(INDEX('Standard cost - Testing'!$A$1:$N$497,MATCH(RIGHT($C193,4),'Standard cost - Testing'!$A$1:$A$497,0),4),1)="]",INDEX('Standard cost - Testing'!$A$1:$N$497,MATCH(RIGHT($C193,4),'Standard cost - Testing'!$A$1:$A$497,0),4),IF(INDEX('Standard cost - Testing'!$A$1:$N$497,MATCH(RIGHT($C193,4),'Standard cost - Testing'!$A$1:$A$497,0),10)=1,INDEX('Standard cost - Testing'!$A$1:$N$497,MATCH(RIGHT($C193,4),'Standard cost - Testing'!$A$1:$A$497,0),4)&amp;" [1 part]",INDEX('Standard cost - Testing'!$A$1:$N$497,MATCH(RIGHT($C193,4),'Standard cost - Testing'!$A$1:$A$497,0),4)&amp;" ["&amp;INDEX('Standard cost - Testing'!$A$1:$N$497,MATCH(RIGHT($C193,4),'Standard cost - Testing'!$A$1:$A$497,0),10)&amp;" parts]"))</f>
        <v>Full High temperature durability test for By-pass valve and moving parts [2 parts]</v>
      </c>
      <c r="E193" s="51" t="str">
        <f>IF('Project information'!$A$4="","",'Project information'!$A$4)</f>
        <v>China</v>
      </c>
      <c r="F193" s="149" t="str">
        <f>INDEX('Standard cost - Testing'!$A$1:$N$497,MATCH(RIGHT($C193,4),'Standard cost - Testing'!$A$1:$A$497,0),5)</f>
        <v>HMC</v>
      </c>
      <c r="G193" s="149">
        <f>IF($E193='Standard cost - Testing'!$F$1,INDEX('Standard cost - Testing'!$A$1:$N$497,MATCH(RIGHT($C193,4),'Standard cost - Testing'!$A$1:$A$497,0),6),INDEX('Standard cost - Testing'!$A$1:$N$497,MATCH(RIGHT($C193,4),'Standard cost - Testing'!$A$1:$A$497,0),7))</f>
        <v>0</v>
      </c>
      <c r="H193" s="46"/>
      <c r="I193" s="46"/>
      <c r="J193" s="46"/>
      <c r="K193" s="46"/>
      <c r="L193" s="46"/>
      <c r="M193" s="33">
        <f t="shared" si="196"/>
        <v>0</v>
      </c>
      <c r="N193" s="157" t="str">
        <f>IF(E193="","",IF(ISERROR(INDEX('Standard cost - Testing'!$A$1:$N$497,MATCH(RIGHT($C193,4),'Standard cost - Testing'!$A$1:$A$497,0),MATCH($E193,'Standard cost - Testing'!$K$1:$N$1,0)+10)),"NA",INDEX('Standard cost - Testing'!$A$1:$N$497,MATCH(RIGHT($C193,4),'Standard cost - Testing'!$A$1:$A$497,0),MATCH($E193,'Standard cost - Testing'!$K$1:$N$1,0)+10)))</f>
        <v>NA</v>
      </c>
      <c r="O193" s="45">
        <f>IF(OR(ISERROR($N193),$N193="",$N193="NA"),0,H193*$N193)*(1+INDEX('For Finance Control'!$B$27:$E$29,2,MATCH('Project information'!$A$4,'For Finance Control'!$B$27:$E$27,0)))</f>
        <v>0</v>
      </c>
      <c r="P193" s="45">
        <f>IF(OR(ISERROR($N193),$N193="",$N193="NA"),0,I193*$N193)*(1+INDEX('For Finance Control'!$B$27:$E$29,2,MATCH('Project information'!$A$4,'For Finance Control'!$B$27:$E$27,0)))</f>
        <v>0</v>
      </c>
      <c r="Q193" s="45">
        <f>IF(OR(ISERROR($N193),$N193="",$N193="NA"),0,J193*$N193)*(1+INDEX('For Finance Control'!$B$27:$E$29,2,MATCH('Project information'!$A$4,'For Finance Control'!$B$27:$E$27,0)))</f>
        <v>0</v>
      </c>
      <c r="R193" s="45">
        <f>IF(OR(ISERROR($N193),$N193="",$N193="NA"),0,K193*$N193)*(1+INDEX('For Finance Control'!$B$27:$E$29,2,MATCH('Project information'!$A$4,'For Finance Control'!$B$27:$E$27,0)))</f>
        <v>0</v>
      </c>
      <c r="S193" s="45">
        <f>IF(OR(ISERROR($N193),$N193="",$N193="NA"),0,L193*$N193)*(1+INDEX('For Finance Control'!$B$27:$E$29,2,MATCH('Project information'!$A$4,'For Finance Control'!$B$27:$E$27,0)))</f>
        <v>0</v>
      </c>
      <c r="T193" s="45">
        <f t="shared" si="197"/>
        <v>0</v>
      </c>
      <c r="U193" s="33" t="str" cm="1">
        <f t="array" ref="U193">IF($N193="NA","NA",$N193*INDEX('Exchange rate'!$A$1:$G$7,MATCH('Project information'!$A$13,'Exchange rate'!$A$1:$A$7,0),MATCH(LOOKUP(2,1/({"China";"Korea";"India";"Japan";"EUR";"NAO"}=$E193),{"CNY";"KRW";"INR";"JPY";"EUR";"USD"}),'Exchange rate'!$A$1:$G$1,0)))</f>
        <v>NA</v>
      </c>
      <c r="V193" s="33">
        <f t="shared" si="198"/>
        <v>0</v>
      </c>
      <c r="W193" s="33">
        <f t="shared" si="199"/>
        <v>0</v>
      </c>
      <c r="X193" s="33">
        <f t="shared" si="200"/>
        <v>0</v>
      </c>
      <c r="Y193" s="33">
        <f t="shared" si="201"/>
        <v>0</v>
      </c>
      <c r="Z193" s="33">
        <f t="shared" si="202"/>
        <v>0</v>
      </c>
      <c r="AA193" s="33">
        <f t="shared" si="205"/>
        <v>0</v>
      </c>
      <c r="AB193" s="246"/>
      <c r="AC193" s="247"/>
      <c r="AZ193" s="148" t="str">
        <f t="shared" si="206"/>
        <v>5.71</v>
      </c>
      <c r="BA193" s="149" t="s">
        <v>101</v>
      </c>
    </row>
    <row r="194" spans="1:53" ht="37.5" outlineLevel="1">
      <c r="A194" s="148" t="str">
        <f t="shared" si="204"/>
        <v>5.72</v>
      </c>
      <c r="B194" s="148" t="str">
        <f>INDEX('Standard cost - Testing'!$A$1:$N$497,MATCH(RIGHT($C194,4),'Standard cost - Testing'!$A$1:$A$497,0),3)</f>
        <v>LVE</v>
      </c>
      <c r="C194" s="149" t="str">
        <f>'Standard cost - Testing'!B73&amp;" - "&amp;'Standard cost - Testing'!A73</f>
        <v>EHRS  - E009</v>
      </c>
      <c r="D194" s="150" t="str">
        <f>IF(RIGHT(INDEX('Standard cost - Testing'!$A$1:$N$497,MATCH(RIGHT($C194,4),'Standard cost - Testing'!$A$1:$A$497,0),4),1)="]",INDEX('Standard cost - Testing'!$A$1:$N$497,MATCH(RIGHT($C194,4),'Standard cost - Testing'!$A$1:$A$497,0),4),IF(INDEX('Standard cost - Testing'!$A$1:$N$497,MATCH(RIGHT($C194,4),'Standard cost - Testing'!$A$1:$A$497,0),10)=1,INDEX('Standard cost - Testing'!$A$1:$N$497,MATCH(RIGHT($C194,4),'Standard cost - Testing'!$A$1:$A$497,0),4)&amp;" [1 part]",INDEX('Standard cost - Testing'!$A$1:$N$497,MATCH(RIGHT($C194,4),'Standard cost - Testing'!$A$1:$A$497,0),4)&amp;" ["&amp;INDEX('Standard cost - Testing'!$A$1:$N$497,MATCH(RIGHT($C194,4),'Standard cost - Testing'!$A$1:$A$497,0),10)&amp;" parts]"))</f>
        <v>Full Low temperature durability test for By-pass valve and moving parts [4 parts]</v>
      </c>
      <c r="E194" s="51" t="str">
        <f>IF('Project information'!$A$4="","",'Project information'!$A$4)</f>
        <v>China</v>
      </c>
      <c r="F194" s="149" t="str">
        <f>INDEX('Standard cost - Testing'!$A$1:$N$497,MATCH(RIGHT($C194,4),'Standard cost - Testing'!$A$1:$A$497,0),5)</f>
        <v>HMC</v>
      </c>
      <c r="G194" s="149" t="str">
        <f>IF($E194='Standard cost - Testing'!$F$1,INDEX('Standard cost - Testing'!$A$1:$N$497,MATCH(RIGHT($C194,4),'Standard cost - Testing'!$A$1:$A$497,0),6),INDEX('Standard cost - Testing'!$A$1:$N$497,MATCH(RIGHT($C194,4),'Standard cost - Testing'!$A$1:$A$497,0),7))</f>
        <v>ES28600-24 6.14</v>
      </c>
      <c r="H194" s="46"/>
      <c r="I194" s="46"/>
      <c r="J194" s="46"/>
      <c r="K194" s="46"/>
      <c r="L194" s="46"/>
      <c r="M194" s="33">
        <f t="shared" si="196"/>
        <v>0</v>
      </c>
      <c r="N194" s="157" t="str">
        <f>IF(E194="","",IF(ISERROR(INDEX('Standard cost - Testing'!$A$1:$N$497,MATCH(RIGHT($C194,4),'Standard cost - Testing'!$A$1:$A$497,0),MATCH($E194,'Standard cost - Testing'!$K$1:$N$1,0)+10)),"NA",INDEX('Standard cost - Testing'!$A$1:$N$497,MATCH(RIGHT($C194,4),'Standard cost - Testing'!$A$1:$A$497,0),MATCH($E194,'Standard cost - Testing'!$K$1:$N$1,0)+10)))</f>
        <v>NA</v>
      </c>
      <c r="O194" s="45">
        <f>IF(OR(ISERROR($N194),$N194="",$N194="NA"),0,H194*$N194)*(1+INDEX('For Finance Control'!$B$27:$E$29,2,MATCH('Project information'!$A$4,'For Finance Control'!$B$27:$E$27,0)))</f>
        <v>0</v>
      </c>
      <c r="P194" s="45">
        <f>IF(OR(ISERROR($N194),$N194="",$N194="NA"),0,I194*$N194)*(1+INDEX('For Finance Control'!$B$27:$E$29,2,MATCH('Project information'!$A$4,'For Finance Control'!$B$27:$E$27,0)))</f>
        <v>0</v>
      </c>
      <c r="Q194" s="45">
        <f>IF(OR(ISERROR($N194),$N194="",$N194="NA"),0,J194*$N194)*(1+INDEX('For Finance Control'!$B$27:$E$29,2,MATCH('Project information'!$A$4,'For Finance Control'!$B$27:$E$27,0)))</f>
        <v>0</v>
      </c>
      <c r="R194" s="45">
        <f>IF(OR(ISERROR($N194),$N194="",$N194="NA"),0,K194*$N194)*(1+INDEX('For Finance Control'!$B$27:$E$29,2,MATCH('Project information'!$A$4,'For Finance Control'!$B$27:$E$27,0)))</f>
        <v>0</v>
      </c>
      <c r="S194" s="45">
        <f>IF(OR(ISERROR($N194),$N194="",$N194="NA"),0,L194*$N194)*(1+INDEX('For Finance Control'!$B$27:$E$29,2,MATCH('Project information'!$A$4,'For Finance Control'!$B$27:$E$27,0)))</f>
        <v>0</v>
      </c>
      <c r="T194" s="45">
        <f t="shared" si="197"/>
        <v>0</v>
      </c>
      <c r="U194" s="33" t="str" cm="1">
        <f t="array" ref="U194">IF($N194="NA","NA",$N194*INDEX('Exchange rate'!$A$1:$G$7,MATCH('Project information'!$A$13,'Exchange rate'!$A$1:$A$7,0),MATCH(LOOKUP(2,1/({"China";"Korea";"India";"Japan";"EUR";"NAO"}=$E194),{"CNY";"KRW";"INR";"JPY";"EUR";"USD"}),'Exchange rate'!$A$1:$G$1,0)))</f>
        <v>NA</v>
      </c>
      <c r="V194" s="33">
        <f t="shared" si="198"/>
        <v>0</v>
      </c>
      <c r="W194" s="33">
        <f t="shared" si="199"/>
        <v>0</v>
      </c>
      <c r="X194" s="33">
        <f t="shared" si="200"/>
        <v>0</v>
      </c>
      <c r="Y194" s="33">
        <f t="shared" si="201"/>
        <v>0</v>
      </c>
      <c r="Z194" s="33">
        <f t="shared" si="202"/>
        <v>0</v>
      </c>
      <c r="AA194" s="33">
        <f t="shared" si="205"/>
        <v>0</v>
      </c>
      <c r="AB194" s="246"/>
      <c r="AC194" s="247"/>
      <c r="AZ194" s="148" t="str">
        <f t="shared" si="206"/>
        <v>5.72</v>
      </c>
      <c r="BA194" s="149" t="s">
        <v>348</v>
      </c>
    </row>
    <row r="195" spans="1:53" ht="25" outlineLevel="1">
      <c r="A195" s="148" t="str">
        <f t="shared" si="204"/>
        <v>5.73</v>
      </c>
      <c r="B195" s="148" t="str">
        <f>INDEX('Standard cost - Testing'!$A$1:$N$497,MATCH(RIGHT($C195,4),'Standard cost - Testing'!$A$1:$A$497,0),3)</f>
        <v>LVE</v>
      </c>
      <c r="C195" s="149" t="str">
        <f>'Standard cost - Testing'!B74&amp;" - "&amp;'Standard cost - Testing'!A74</f>
        <v>EHRS  - E010</v>
      </c>
      <c r="D195" s="150" t="str">
        <f>IF(RIGHT(INDEX('Standard cost - Testing'!$A$1:$N$497,MATCH(RIGHT($C195,4),'Standard cost - Testing'!$A$1:$A$497,0),4),1)="]",INDEX('Standard cost - Testing'!$A$1:$N$497,MATCH(RIGHT($C195,4),'Standard cost - Testing'!$A$1:$A$497,0),4),IF(INDEX('Standard cost - Testing'!$A$1:$N$497,MATCH(RIGHT($C195,4),'Standard cost - Testing'!$A$1:$A$497,0),10)=1,INDEX('Standard cost - Testing'!$A$1:$N$497,MATCH(RIGHT($C195,4),'Standard cost - Testing'!$A$1:$A$497,0),4)&amp;" [1 part]",INDEX('Standard cost - Testing'!$A$1:$N$497,MATCH(RIGHT($C195,4),'Standard cost - Testing'!$A$1:$A$497,0),4)&amp;" ["&amp;INDEX('Standard cost - Testing'!$A$1:$N$497,MATCH(RIGHT($C195,4),'Standard cost - Testing'!$A$1:$A$497,0),10)&amp;" parts]"))</f>
        <v>Full Mud environment durability test [1 part]</v>
      </c>
      <c r="E195" s="51" t="str">
        <f>IF('Project information'!$A$4="","",'Project information'!$A$4)</f>
        <v>China</v>
      </c>
      <c r="F195" s="149" t="str">
        <f>INDEX('Standard cost - Testing'!$A$1:$N$497,MATCH(RIGHT($C195,4),'Standard cost - Testing'!$A$1:$A$497,0),5)</f>
        <v>HMC</v>
      </c>
      <c r="G195" s="149">
        <f>IF($E195='Standard cost - Testing'!$F$1,INDEX('Standard cost - Testing'!$A$1:$N$497,MATCH(RIGHT($C195,4),'Standard cost - Testing'!$A$1:$A$497,0),6),INDEX('Standard cost - Testing'!$A$1:$N$497,MATCH(RIGHT($C195,4),'Standard cost - Testing'!$A$1:$A$497,0),7))</f>
        <v>0</v>
      </c>
      <c r="H195" s="46"/>
      <c r="I195" s="46"/>
      <c r="J195" s="46"/>
      <c r="K195" s="46"/>
      <c r="L195" s="46"/>
      <c r="M195" s="33">
        <f t="shared" si="196"/>
        <v>0</v>
      </c>
      <c r="N195" s="157" t="str">
        <f>IF(E195="","",IF(ISERROR(INDEX('Standard cost - Testing'!$A$1:$N$497,MATCH(RIGHT($C195,4),'Standard cost - Testing'!$A$1:$A$497,0),MATCH($E195,'Standard cost - Testing'!$K$1:$N$1,0)+10)),"NA",INDEX('Standard cost - Testing'!$A$1:$N$497,MATCH(RIGHT($C195,4),'Standard cost - Testing'!$A$1:$A$497,0),MATCH($E195,'Standard cost - Testing'!$K$1:$N$1,0)+10)))</f>
        <v>NA</v>
      </c>
      <c r="O195" s="45">
        <f>IF(OR(ISERROR($N195),$N195="",$N195="NA"),0,H195*$N195)*(1+INDEX('For Finance Control'!$B$27:$E$29,2,MATCH('Project information'!$A$4,'For Finance Control'!$B$27:$E$27,0)))</f>
        <v>0</v>
      </c>
      <c r="P195" s="45">
        <f>IF(OR(ISERROR($N195),$N195="",$N195="NA"),0,I195*$N195)*(1+INDEX('For Finance Control'!$B$27:$E$29,2,MATCH('Project information'!$A$4,'For Finance Control'!$B$27:$E$27,0)))</f>
        <v>0</v>
      </c>
      <c r="Q195" s="45">
        <f>IF(OR(ISERROR($N195),$N195="",$N195="NA"),0,J195*$N195)*(1+INDEX('For Finance Control'!$B$27:$E$29,2,MATCH('Project information'!$A$4,'For Finance Control'!$B$27:$E$27,0)))</f>
        <v>0</v>
      </c>
      <c r="R195" s="45">
        <f>IF(OR(ISERROR($N195),$N195="",$N195="NA"),0,K195*$N195)*(1+INDEX('For Finance Control'!$B$27:$E$29,2,MATCH('Project information'!$A$4,'For Finance Control'!$B$27:$E$27,0)))</f>
        <v>0</v>
      </c>
      <c r="S195" s="45">
        <f>IF(OR(ISERROR($N195),$N195="",$N195="NA"),0,L195*$N195)*(1+INDEX('For Finance Control'!$B$27:$E$29,2,MATCH('Project information'!$A$4,'For Finance Control'!$B$27:$E$27,0)))</f>
        <v>0</v>
      </c>
      <c r="T195" s="45">
        <f t="shared" si="197"/>
        <v>0</v>
      </c>
      <c r="U195" s="33" t="str" cm="1">
        <f t="array" ref="U195">IF($N195="NA","NA",$N195*INDEX('Exchange rate'!$A$1:$G$7,MATCH('Project information'!$A$13,'Exchange rate'!$A$1:$A$7,0),MATCH(LOOKUP(2,1/({"China";"Korea";"India";"Japan";"EUR";"NAO"}=$E195),{"CNY";"KRW";"INR";"JPY";"EUR";"USD"}),'Exchange rate'!$A$1:$G$1,0)))</f>
        <v>NA</v>
      </c>
      <c r="V195" s="33">
        <f t="shared" si="198"/>
        <v>0</v>
      </c>
      <c r="W195" s="33">
        <f t="shared" si="199"/>
        <v>0</v>
      </c>
      <c r="X195" s="33">
        <f t="shared" si="200"/>
        <v>0</v>
      </c>
      <c r="Y195" s="33">
        <f t="shared" si="201"/>
        <v>0</v>
      </c>
      <c r="Z195" s="33">
        <f t="shared" si="202"/>
        <v>0</v>
      </c>
      <c r="AA195" s="33">
        <f t="shared" si="205"/>
        <v>0</v>
      </c>
      <c r="AB195" s="246"/>
      <c r="AC195" s="247"/>
      <c r="AZ195" s="148" t="str">
        <f t="shared" si="206"/>
        <v>5.73</v>
      </c>
      <c r="BA195" s="149" t="s">
        <v>101</v>
      </c>
    </row>
    <row r="196" spans="1:53" ht="25" outlineLevel="1">
      <c r="A196" s="148" t="str">
        <f t="shared" si="204"/>
        <v>5.74</v>
      </c>
      <c r="B196" s="148" t="str">
        <f>INDEX('Standard cost - Testing'!$A$1:$N$497,MATCH(RIGHT($C196,4),'Standard cost - Testing'!$A$1:$A$497,0),3)</f>
        <v>LVE</v>
      </c>
      <c r="C196" s="149" t="str">
        <f>'Standard cost - Testing'!B75&amp;" - "&amp;'Standard cost - Testing'!A75</f>
        <v>EHRS  - E011</v>
      </c>
      <c r="D196" s="150" t="str">
        <f>IF(RIGHT(INDEX('Standard cost - Testing'!$A$1:$N$497,MATCH(RIGHT($C196,4),'Standard cost - Testing'!$A$1:$A$497,0),4),1)="]",INDEX('Standard cost - Testing'!$A$1:$N$497,MATCH(RIGHT($C196,4),'Standard cost - Testing'!$A$1:$A$497,0),4),IF(INDEX('Standard cost - Testing'!$A$1:$N$497,MATCH(RIGHT($C196,4),'Standard cost - Testing'!$A$1:$A$497,0),10)=1,INDEX('Standard cost - Testing'!$A$1:$N$497,MATCH(RIGHT($C196,4),'Standard cost - Testing'!$A$1:$A$497,0),4)&amp;" [1 part]",INDEX('Standard cost - Testing'!$A$1:$N$497,MATCH(RIGHT($C196,4),'Standard cost - Testing'!$A$1:$A$497,0),4)&amp;" ["&amp;INDEX('Standard cost - Testing'!$A$1:$N$497,MATCH(RIGHT($C196,4),'Standard cost - Testing'!$A$1:$A$497,0),10)&amp;" parts]"))</f>
        <v>Full Gas pulsation/acceleration cycles on engine bench 800 cycles [2 parts]</v>
      </c>
      <c r="E196" s="51" t="str">
        <f>IF('Project information'!$A$4="","",'Project information'!$A$4)</f>
        <v>China</v>
      </c>
      <c r="F196" s="149" t="str">
        <f>INDEX('Standard cost - Testing'!$A$1:$N$497,MATCH(RIGHT($C196,4),'Standard cost - Testing'!$A$1:$A$497,0),5)</f>
        <v>Faurecia</v>
      </c>
      <c r="G196" s="149">
        <f>IF($E196='Standard cost - Testing'!$F$1,INDEX('Standard cost - Testing'!$A$1:$N$497,MATCH(RIGHT($C196,4),'Standard cost - Testing'!$A$1:$A$497,0),6),INDEX('Standard cost - Testing'!$A$1:$N$497,MATCH(RIGHT($C196,4),'Standard cost - Testing'!$A$1:$A$497,0),7))</f>
        <v>0</v>
      </c>
      <c r="H196" s="46"/>
      <c r="I196" s="46"/>
      <c r="J196" s="46"/>
      <c r="K196" s="46"/>
      <c r="L196" s="46"/>
      <c r="M196" s="33">
        <f t="shared" si="196"/>
        <v>0</v>
      </c>
      <c r="N196" s="157" t="str">
        <f>IF(E196="","",IF(ISERROR(INDEX('Standard cost - Testing'!$A$1:$N$497,MATCH(RIGHT($C196,4),'Standard cost - Testing'!$A$1:$A$497,0),MATCH($E196,'Standard cost - Testing'!$K$1:$N$1,0)+10)),"NA",INDEX('Standard cost - Testing'!$A$1:$N$497,MATCH(RIGHT($C196,4),'Standard cost - Testing'!$A$1:$A$497,0),MATCH($E196,'Standard cost - Testing'!$K$1:$N$1,0)+10)))</f>
        <v>NA</v>
      </c>
      <c r="O196" s="45">
        <f>IF(OR(ISERROR($N196),$N196="",$N196="NA"),0,H196*$N196)*(1+INDEX('For Finance Control'!$B$27:$E$29,2,MATCH('Project information'!$A$4,'For Finance Control'!$B$27:$E$27,0)))</f>
        <v>0</v>
      </c>
      <c r="P196" s="45">
        <f>IF(OR(ISERROR($N196),$N196="",$N196="NA"),0,I196*$N196)*(1+INDEX('For Finance Control'!$B$27:$E$29,2,MATCH('Project information'!$A$4,'For Finance Control'!$B$27:$E$27,0)))</f>
        <v>0</v>
      </c>
      <c r="Q196" s="45">
        <f>IF(OR(ISERROR($N196),$N196="",$N196="NA"),0,J196*$N196)*(1+INDEX('For Finance Control'!$B$27:$E$29,2,MATCH('Project information'!$A$4,'For Finance Control'!$B$27:$E$27,0)))</f>
        <v>0</v>
      </c>
      <c r="R196" s="45">
        <f>IF(OR(ISERROR($N196),$N196="",$N196="NA"),0,K196*$N196)*(1+INDEX('For Finance Control'!$B$27:$E$29,2,MATCH('Project information'!$A$4,'For Finance Control'!$B$27:$E$27,0)))</f>
        <v>0</v>
      </c>
      <c r="S196" s="45">
        <f>IF(OR(ISERROR($N196),$N196="",$N196="NA"),0,L196*$N196)*(1+INDEX('For Finance Control'!$B$27:$E$29,2,MATCH('Project information'!$A$4,'For Finance Control'!$B$27:$E$27,0)))</f>
        <v>0</v>
      </c>
      <c r="T196" s="45">
        <f t="shared" si="197"/>
        <v>0</v>
      </c>
      <c r="U196" s="33" t="str" cm="1">
        <f t="array" ref="U196">IF($N196="NA","NA",$N196*INDEX('Exchange rate'!$A$1:$G$7,MATCH('Project information'!$A$13,'Exchange rate'!$A$1:$A$7,0),MATCH(LOOKUP(2,1/({"China";"Korea";"India";"Japan";"EUR";"NAO"}=$E196),{"CNY";"KRW";"INR";"JPY";"EUR";"USD"}),'Exchange rate'!$A$1:$G$1,0)))</f>
        <v>NA</v>
      </c>
      <c r="V196" s="33">
        <f t="shared" si="198"/>
        <v>0</v>
      </c>
      <c r="W196" s="33">
        <f t="shared" si="199"/>
        <v>0</v>
      </c>
      <c r="X196" s="33">
        <f t="shared" si="200"/>
        <v>0</v>
      </c>
      <c r="Y196" s="33">
        <f t="shared" si="201"/>
        <v>0</v>
      </c>
      <c r="Z196" s="33">
        <f t="shared" si="202"/>
        <v>0</v>
      </c>
      <c r="AA196" s="33">
        <f t="shared" si="205"/>
        <v>0</v>
      </c>
      <c r="AB196" s="246"/>
      <c r="AC196" s="247"/>
      <c r="AZ196" s="148" t="str">
        <f t="shared" si="206"/>
        <v>5.74</v>
      </c>
      <c r="BA196" s="149" t="s">
        <v>101</v>
      </c>
    </row>
    <row r="197" spans="1:53" ht="37.5" outlineLevel="1">
      <c r="A197" s="148" t="str">
        <f t="shared" si="204"/>
        <v>5.75</v>
      </c>
      <c r="B197" s="148" t="str">
        <f>INDEX('Standard cost - Testing'!$A$1:$N$497,MATCH(RIGHT($C197,4),'Standard cost - Testing'!$A$1:$A$497,0),3)</f>
        <v>LVE</v>
      </c>
      <c r="C197" s="149" t="str">
        <f>'Standard cost - Testing'!B76&amp;" - "&amp;'Standard cost - Testing'!A76</f>
        <v>EHRS  - E012</v>
      </c>
      <c r="D197" s="150" t="str">
        <f>IF(RIGHT(INDEX('Standard cost - Testing'!$A$1:$N$497,MATCH(RIGHT($C197,4),'Standard cost - Testing'!$A$1:$A$497,0),4),1)="]",INDEX('Standard cost - Testing'!$A$1:$N$497,MATCH(RIGHT($C197,4),'Standard cost - Testing'!$A$1:$A$497,0),4),IF(INDEX('Standard cost - Testing'!$A$1:$N$497,MATCH(RIGHT($C197,4),'Standard cost - Testing'!$A$1:$A$497,0),10)=1,INDEX('Standard cost - Testing'!$A$1:$N$497,MATCH(RIGHT($C197,4),'Standard cost - Testing'!$A$1:$A$497,0),4)&amp;" [1 part]",INDEX('Standard cost - Testing'!$A$1:$N$497,MATCH(RIGHT($C197,4),'Standard cost - Testing'!$A$1:$A$497,0),4)&amp;" ["&amp;INDEX('Standard cost - Testing'!$A$1:$N$497,MATCH(RIGHT($C197,4),'Standard cost - Testing'!$A$1:$A$497,0),10)&amp;" parts]"))</f>
        <v>Full Endurance test for valve on engine bench (with vacuum actuation) 73,000 cycles [3 parts]</v>
      </c>
      <c r="E197" s="51" t="str">
        <f>IF('Project information'!$A$4="","",'Project information'!$A$4)</f>
        <v>China</v>
      </c>
      <c r="F197" s="149" t="str">
        <f>INDEX('Standard cost - Testing'!$A$1:$N$497,MATCH(RIGHT($C197,4),'Standard cost - Testing'!$A$1:$A$497,0),5)</f>
        <v>Faurecia</v>
      </c>
      <c r="G197" s="149">
        <f>IF($E197='Standard cost - Testing'!$F$1,INDEX('Standard cost - Testing'!$A$1:$N$497,MATCH(RIGHT($C197,4),'Standard cost - Testing'!$A$1:$A$497,0),6),INDEX('Standard cost - Testing'!$A$1:$N$497,MATCH(RIGHT($C197,4),'Standard cost - Testing'!$A$1:$A$497,0),7))</f>
        <v>0</v>
      </c>
      <c r="H197" s="46"/>
      <c r="I197" s="46"/>
      <c r="J197" s="46"/>
      <c r="K197" s="46"/>
      <c r="L197" s="46"/>
      <c r="M197" s="33">
        <f t="shared" si="196"/>
        <v>0</v>
      </c>
      <c r="N197" s="157" t="str">
        <f>IF(E197="","",IF(ISERROR(INDEX('Standard cost - Testing'!$A$1:$N$497,MATCH(RIGHT($C197,4),'Standard cost - Testing'!$A$1:$A$497,0),MATCH($E197,'Standard cost - Testing'!$K$1:$N$1,0)+10)),"NA",INDEX('Standard cost - Testing'!$A$1:$N$497,MATCH(RIGHT($C197,4),'Standard cost - Testing'!$A$1:$A$497,0),MATCH($E197,'Standard cost - Testing'!$K$1:$N$1,0)+10)))</f>
        <v>NA</v>
      </c>
      <c r="O197" s="45">
        <f>IF(OR(ISERROR($N197),$N197="",$N197="NA"),0,H197*$N197)*(1+INDEX('For Finance Control'!$B$27:$E$29,2,MATCH('Project information'!$A$4,'For Finance Control'!$B$27:$E$27,0)))</f>
        <v>0</v>
      </c>
      <c r="P197" s="45">
        <f>IF(OR(ISERROR($N197),$N197="",$N197="NA"),0,I197*$N197)*(1+INDEX('For Finance Control'!$B$27:$E$29,2,MATCH('Project information'!$A$4,'For Finance Control'!$B$27:$E$27,0)))</f>
        <v>0</v>
      </c>
      <c r="Q197" s="45">
        <f>IF(OR(ISERROR($N197),$N197="",$N197="NA"),0,J197*$N197)*(1+INDEX('For Finance Control'!$B$27:$E$29,2,MATCH('Project information'!$A$4,'For Finance Control'!$B$27:$E$27,0)))</f>
        <v>0</v>
      </c>
      <c r="R197" s="45">
        <f>IF(OR(ISERROR($N197),$N197="",$N197="NA"),0,K197*$N197)*(1+INDEX('For Finance Control'!$B$27:$E$29,2,MATCH('Project information'!$A$4,'For Finance Control'!$B$27:$E$27,0)))</f>
        <v>0</v>
      </c>
      <c r="S197" s="45">
        <f>IF(OR(ISERROR($N197),$N197="",$N197="NA"),0,L197*$N197)*(1+INDEX('For Finance Control'!$B$27:$E$29,2,MATCH('Project information'!$A$4,'For Finance Control'!$B$27:$E$27,0)))</f>
        <v>0</v>
      </c>
      <c r="T197" s="45">
        <f t="shared" si="197"/>
        <v>0</v>
      </c>
      <c r="U197" s="33" t="str" cm="1">
        <f t="array" ref="U197">IF($N197="NA","NA",$N197*INDEX('Exchange rate'!$A$1:$G$7,MATCH('Project information'!$A$13,'Exchange rate'!$A$1:$A$7,0),MATCH(LOOKUP(2,1/({"China";"Korea";"India";"Japan";"EUR";"NAO"}=$E197),{"CNY";"KRW";"INR";"JPY";"EUR";"USD"}),'Exchange rate'!$A$1:$G$1,0)))</f>
        <v>NA</v>
      </c>
      <c r="V197" s="33">
        <f t="shared" si="198"/>
        <v>0</v>
      </c>
      <c r="W197" s="33">
        <f t="shared" si="199"/>
        <v>0</v>
      </c>
      <c r="X197" s="33">
        <f t="shared" si="200"/>
        <v>0</v>
      </c>
      <c r="Y197" s="33">
        <f t="shared" si="201"/>
        <v>0</v>
      </c>
      <c r="Z197" s="33">
        <f t="shared" si="202"/>
        <v>0</v>
      </c>
      <c r="AA197" s="33">
        <f t="shared" si="205"/>
        <v>0</v>
      </c>
      <c r="AB197" s="246"/>
      <c r="AC197" s="247"/>
      <c r="AZ197" s="148" t="str">
        <f t="shared" si="206"/>
        <v>5.75</v>
      </c>
      <c r="BA197" s="149" t="s">
        <v>101</v>
      </c>
    </row>
    <row r="198" spans="1:53" ht="25" outlineLevel="1">
      <c r="A198" s="148" t="str">
        <f t="shared" si="204"/>
        <v>5.76</v>
      </c>
      <c r="B198" s="148" t="str">
        <f>INDEX('Standard cost - Testing'!$A$1:$N$497,MATCH(RIGHT($C198,4),'Standard cost - Testing'!$A$1:$A$497,0),3)</f>
        <v>LVE</v>
      </c>
      <c r="C198" s="149" t="str">
        <f>'Standard cost - Testing'!B77&amp;" - "&amp;'Standard cost - Testing'!A77</f>
        <v>EHRS  - E013</v>
      </c>
      <c r="D198" s="150" t="str">
        <f>IF(RIGHT(INDEX('Standard cost - Testing'!$A$1:$N$497,MATCH(RIGHT($C198,4),'Standard cost - Testing'!$A$1:$A$497,0),4),1)="]",INDEX('Standard cost - Testing'!$A$1:$N$497,MATCH(RIGHT($C198,4),'Standard cost - Testing'!$A$1:$A$497,0),4),IF(INDEX('Standard cost - Testing'!$A$1:$N$497,MATCH(RIGHT($C198,4),'Standard cost - Testing'!$A$1:$A$497,0),10)=1,INDEX('Standard cost - Testing'!$A$1:$N$497,MATCH(RIGHT($C198,4),'Standard cost - Testing'!$A$1:$A$497,0),4)&amp;" [1 part]",INDEX('Standard cost - Testing'!$A$1:$N$497,MATCH(RIGHT($C198,4),'Standard cost - Testing'!$A$1:$A$497,0),4)&amp;" ["&amp;INDEX('Standard cost - Testing'!$A$1:$N$497,MATCH(RIGHT($C198,4),'Standard cost - Testing'!$A$1:$A$497,0),10)&amp;" parts]"))</f>
        <v>Full Actuator cycling test @ 20,000 cycles for only cold condition [3 parts]</v>
      </c>
      <c r="E198" s="51" t="str">
        <f>IF('Project information'!$A$4="","",'Project information'!$A$4)</f>
        <v>China</v>
      </c>
      <c r="F198" s="149" t="str">
        <f>INDEX('Standard cost - Testing'!$A$1:$N$497,MATCH(RIGHT($C198,4),'Standard cost - Testing'!$A$1:$A$497,0),5)</f>
        <v>Faurecia</v>
      </c>
      <c r="G198" s="149">
        <f>IF($E198='Standard cost - Testing'!$F$1,INDEX('Standard cost - Testing'!$A$1:$N$497,MATCH(RIGHT($C198,4),'Standard cost - Testing'!$A$1:$A$497,0),6),INDEX('Standard cost - Testing'!$A$1:$N$497,MATCH(RIGHT($C198,4),'Standard cost - Testing'!$A$1:$A$497,0),7))</f>
        <v>0</v>
      </c>
      <c r="H198" s="46"/>
      <c r="I198" s="46"/>
      <c r="J198" s="46"/>
      <c r="K198" s="46"/>
      <c r="L198" s="46"/>
      <c r="M198" s="33">
        <f t="shared" si="196"/>
        <v>0</v>
      </c>
      <c r="N198" s="157" t="str">
        <f>IF(E198="","",IF(ISERROR(INDEX('Standard cost - Testing'!$A$1:$N$497,MATCH(RIGHT($C198,4),'Standard cost - Testing'!$A$1:$A$497,0),MATCH($E198,'Standard cost - Testing'!$K$1:$N$1,0)+10)),"NA",INDEX('Standard cost - Testing'!$A$1:$N$497,MATCH(RIGHT($C198,4),'Standard cost - Testing'!$A$1:$A$497,0),MATCH($E198,'Standard cost - Testing'!$K$1:$N$1,0)+10)))</f>
        <v>NA</v>
      </c>
      <c r="O198" s="45">
        <f>IF(OR(ISERROR($N198),$N198="",$N198="NA"),0,H198*$N198)*(1+INDEX('For Finance Control'!$B$27:$E$29,2,MATCH('Project information'!$A$4,'For Finance Control'!$B$27:$E$27,0)))</f>
        <v>0</v>
      </c>
      <c r="P198" s="45">
        <f>IF(OR(ISERROR($N198),$N198="",$N198="NA"),0,I198*$N198)*(1+INDEX('For Finance Control'!$B$27:$E$29,2,MATCH('Project information'!$A$4,'For Finance Control'!$B$27:$E$27,0)))</f>
        <v>0</v>
      </c>
      <c r="Q198" s="45">
        <f>IF(OR(ISERROR($N198),$N198="",$N198="NA"),0,J198*$N198)*(1+INDEX('For Finance Control'!$B$27:$E$29,2,MATCH('Project information'!$A$4,'For Finance Control'!$B$27:$E$27,0)))</f>
        <v>0</v>
      </c>
      <c r="R198" s="45">
        <f>IF(OR(ISERROR($N198),$N198="",$N198="NA"),0,K198*$N198)*(1+INDEX('For Finance Control'!$B$27:$E$29,2,MATCH('Project information'!$A$4,'For Finance Control'!$B$27:$E$27,0)))</f>
        <v>0</v>
      </c>
      <c r="S198" s="45">
        <f>IF(OR(ISERROR($N198),$N198="",$N198="NA"),0,L198*$N198)*(1+INDEX('For Finance Control'!$B$27:$E$29,2,MATCH('Project information'!$A$4,'For Finance Control'!$B$27:$E$27,0)))</f>
        <v>0</v>
      </c>
      <c r="T198" s="45">
        <f t="shared" si="197"/>
        <v>0</v>
      </c>
      <c r="U198" s="33" t="str" cm="1">
        <f t="array" ref="U198">IF($N198="NA","NA",$N198*INDEX('Exchange rate'!$A$1:$G$7,MATCH('Project information'!$A$13,'Exchange rate'!$A$1:$A$7,0),MATCH(LOOKUP(2,1/({"China";"Korea";"India";"Japan";"EUR";"NAO"}=$E198),{"CNY";"KRW";"INR";"JPY";"EUR";"USD"}),'Exchange rate'!$A$1:$G$1,0)))</f>
        <v>NA</v>
      </c>
      <c r="V198" s="33">
        <f t="shared" si="198"/>
        <v>0</v>
      </c>
      <c r="W198" s="33">
        <f t="shared" si="199"/>
        <v>0</v>
      </c>
      <c r="X198" s="33">
        <f t="shared" si="200"/>
        <v>0</v>
      </c>
      <c r="Y198" s="33">
        <f t="shared" si="201"/>
        <v>0</v>
      </c>
      <c r="Z198" s="33">
        <f t="shared" si="202"/>
        <v>0</v>
      </c>
      <c r="AA198" s="33">
        <f t="shared" si="205"/>
        <v>0</v>
      </c>
      <c r="AB198" s="246"/>
      <c r="AC198" s="247"/>
      <c r="AZ198" s="148" t="str">
        <f t="shared" si="206"/>
        <v>5.76</v>
      </c>
      <c r="BA198" s="149" t="s">
        <v>101</v>
      </c>
    </row>
    <row r="199" spans="1:53" ht="25" outlineLevel="1">
      <c r="A199" s="148" t="str">
        <f t="shared" si="204"/>
        <v>5.77</v>
      </c>
      <c r="B199" s="148" t="str">
        <f>INDEX('Standard cost - Testing'!$A$1:$N$497,MATCH(RIGHT($C199,4),'Standard cost - Testing'!$A$1:$A$497,0),3)</f>
        <v>LVE</v>
      </c>
      <c r="C199" s="149" t="str">
        <f>'Standard cost - Testing'!B78&amp;" - "&amp;'Standard cost - Testing'!A78</f>
        <v>EHRS  - E014</v>
      </c>
      <c r="D199" s="150" t="str">
        <f>IF(RIGHT(INDEX('Standard cost - Testing'!$A$1:$N$497,MATCH(RIGHT($C199,4),'Standard cost - Testing'!$A$1:$A$497,0),4),1)="]",INDEX('Standard cost - Testing'!$A$1:$N$497,MATCH(RIGHT($C199,4),'Standard cost - Testing'!$A$1:$A$497,0),4),IF(INDEX('Standard cost - Testing'!$A$1:$N$497,MATCH(RIGHT($C199,4),'Standard cost - Testing'!$A$1:$A$497,0),10)=1,INDEX('Standard cost - Testing'!$A$1:$N$497,MATCH(RIGHT($C199,4),'Standard cost - Testing'!$A$1:$A$497,0),4)&amp;" [1 part]",INDEX('Standard cost - Testing'!$A$1:$N$497,MATCH(RIGHT($C199,4),'Standard cost - Testing'!$A$1:$A$497,0),4)&amp;" ["&amp;INDEX('Standard cost - Testing'!$A$1:$N$497,MATCH(RIGHT($C199,4),'Standard cost - Testing'!$A$1:$A$497,0),10)&amp;" parts]"))</f>
        <v>Noise test for By-pass valve and moving parts -Operating noise [2 parts]</v>
      </c>
      <c r="E199" s="51" t="str">
        <f>IF('Project information'!$A$4="","",'Project information'!$A$4)</f>
        <v>China</v>
      </c>
      <c r="F199" s="149" t="str">
        <f>INDEX('Standard cost - Testing'!$A$1:$N$497,MATCH(RIGHT($C199,4),'Standard cost - Testing'!$A$1:$A$497,0),5)</f>
        <v>HMC</v>
      </c>
      <c r="G199" s="149">
        <f>IF($E199='Standard cost - Testing'!$F$1,INDEX('Standard cost - Testing'!$A$1:$N$497,MATCH(RIGHT($C199,4),'Standard cost - Testing'!$A$1:$A$497,0),6),INDEX('Standard cost - Testing'!$A$1:$N$497,MATCH(RIGHT($C199,4),'Standard cost - Testing'!$A$1:$A$497,0),7))</f>
        <v>0</v>
      </c>
      <c r="H199" s="46"/>
      <c r="I199" s="46"/>
      <c r="J199" s="46"/>
      <c r="K199" s="46"/>
      <c r="L199" s="46"/>
      <c r="M199" s="33">
        <f t="shared" si="196"/>
        <v>0</v>
      </c>
      <c r="N199" s="157" t="str">
        <f>IF(E199="","",IF(ISERROR(INDEX('Standard cost - Testing'!$A$1:$N$497,MATCH(RIGHT($C199,4),'Standard cost - Testing'!$A$1:$A$497,0),MATCH($E199,'Standard cost - Testing'!$K$1:$N$1,0)+10)),"NA",INDEX('Standard cost - Testing'!$A$1:$N$497,MATCH(RIGHT($C199,4),'Standard cost - Testing'!$A$1:$A$497,0),MATCH($E199,'Standard cost - Testing'!$K$1:$N$1,0)+10)))</f>
        <v>NA</v>
      </c>
      <c r="O199" s="45">
        <f>IF(OR(ISERROR($N199),$N199="",$N199="NA"),0,H199*$N199)*(1+INDEX('For Finance Control'!$B$27:$E$29,2,MATCH('Project information'!$A$4,'For Finance Control'!$B$27:$E$27,0)))</f>
        <v>0</v>
      </c>
      <c r="P199" s="45">
        <f>IF(OR(ISERROR($N199),$N199="",$N199="NA"),0,I199*$N199)*(1+INDEX('For Finance Control'!$B$27:$E$29,2,MATCH('Project information'!$A$4,'For Finance Control'!$B$27:$E$27,0)))</f>
        <v>0</v>
      </c>
      <c r="Q199" s="45">
        <f>IF(OR(ISERROR($N199),$N199="",$N199="NA"),0,J199*$N199)*(1+INDEX('For Finance Control'!$B$27:$E$29,2,MATCH('Project information'!$A$4,'For Finance Control'!$B$27:$E$27,0)))</f>
        <v>0</v>
      </c>
      <c r="R199" s="45">
        <f>IF(OR(ISERROR($N199),$N199="",$N199="NA"),0,K199*$N199)*(1+INDEX('For Finance Control'!$B$27:$E$29,2,MATCH('Project information'!$A$4,'For Finance Control'!$B$27:$E$27,0)))</f>
        <v>0</v>
      </c>
      <c r="S199" s="45">
        <f>IF(OR(ISERROR($N199),$N199="",$N199="NA"),0,L199*$N199)*(1+INDEX('For Finance Control'!$B$27:$E$29,2,MATCH('Project information'!$A$4,'For Finance Control'!$B$27:$E$27,0)))</f>
        <v>0</v>
      </c>
      <c r="T199" s="45">
        <f t="shared" si="197"/>
        <v>0</v>
      </c>
      <c r="U199" s="33" t="str" cm="1">
        <f t="array" ref="U199">IF($N199="NA","NA",$N199*INDEX('Exchange rate'!$A$1:$G$7,MATCH('Project information'!$A$13,'Exchange rate'!$A$1:$A$7,0),MATCH(LOOKUP(2,1/({"China";"Korea";"India";"Japan";"EUR";"NAO"}=$E199),{"CNY";"KRW";"INR";"JPY";"EUR";"USD"}),'Exchange rate'!$A$1:$G$1,0)))</f>
        <v>NA</v>
      </c>
      <c r="V199" s="33">
        <f t="shared" si="198"/>
        <v>0</v>
      </c>
      <c r="W199" s="33">
        <f t="shared" si="199"/>
        <v>0</v>
      </c>
      <c r="X199" s="33">
        <f t="shared" si="200"/>
        <v>0</v>
      </c>
      <c r="Y199" s="33">
        <f t="shared" si="201"/>
        <v>0</v>
      </c>
      <c r="Z199" s="33">
        <f t="shared" si="202"/>
        <v>0</v>
      </c>
      <c r="AA199" s="33">
        <f t="shared" si="205"/>
        <v>0</v>
      </c>
      <c r="AB199" s="246"/>
      <c r="AC199" s="247"/>
      <c r="AZ199" s="148" t="str">
        <f t="shared" si="206"/>
        <v>5.77</v>
      </c>
      <c r="BA199" s="149" t="s">
        <v>101</v>
      </c>
    </row>
    <row r="200" spans="1:53" ht="25" outlineLevel="1">
      <c r="A200" s="148" t="str">
        <f t="shared" si="204"/>
        <v>5.78</v>
      </c>
      <c r="B200" s="148" t="str">
        <f>INDEX('Standard cost - Testing'!$A$1:$N$497,MATCH(RIGHT($C200,4),'Standard cost - Testing'!$A$1:$A$497,0),3)</f>
        <v>LVE</v>
      </c>
      <c r="C200" s="149" t="str">
        <f>'Standard cost - Testing'!B79&amp;" - "&amp;'Standard cost - Testing'!A79</f>
        <v>EHRS  - E015</v>
      </c>
      <c r="D200" s="150" t="str">
        <f>IF(RIGHT(INDEX('Standard cost - Testing'!$A$1:$N$497,MATCH(RIGHT($C200,4),'Standard cost - Testing'!$A$1:$A$497,0),4),1)="]",INDEX('Standard cost - Testing'!$A$1:$N$497,MATCH(RIGHT($C200,4),'Standard cost - Testing'!$A$1:$A$497,0),4),IF(INDEX('Standard cost - Testing'!$A$1:$N$497,MATCH(RIGHT($C200,4),'Standard cost - Testing'!$A$1:$A$497,0),10)=1,INDEX('Standard cost - Testing'!$A$1:$N$497,MATCH(RIGHT($C200,4),'Standard cost - Testing'!$A$1:$A$497,0),4)&amp;" [1 part]",INDEX('Standard cost - Testing'!$A$1:$N$497,MATCH(RIGHT($C200,4),'Standard cost - Testing'!$A$1:$A$497,0),4)&amp;" ["&amp;INDEX('Standard cost - Testing'!$A$1:$N$497,MATCH(RIGHT($C200,4),'Standard cost - Testing'!$A$1:$A$497,0),10)&amp;" parts]"))</f>
        <v>Noise test for By-pass valve and moving parts -Vibration noise [2 parts]</v>
      </c>
      <c r="E200" s="51" t="str">
        <f>IF('Project information'!$A$4="","",'Project information'!$A$4)</f>
        <v>China</v>
      </c>
      <c r="F200" s="149" t="str">
        <f>INDEX('Standard cost - Testing'!$A$1:$N$497,MATCH(RIGHT($C200,4),'Standard cost - Testing'!$A$1:$A$497,0),5)</f>
        <v>HMC</v>
      </c>
      <c r="G200" s="149">
        <f>IF($E200='Standard cost - Testing'!$F$1,INDEX('Standard cost - Testing'!$A$1:$N$497,MATCH(RIGHT($C200,4),'Standard cost - Testing'!$A$1:$A$497,0),6),INDEX('Standard cost - Testing'!$A$1:$N$497,MATCH(RIGHT($C200,4),'Standard cost - Testing'!$A$1:$A$497,0),7))</f>
        <v>0</v>
      </c>
      <c r="H200" s="46"/>
      <c r="I200" s="46"/>
      <c r="J200" s="46"/>
      <c r="K200" s="46"/>
      <c r="L200" s="46"/>
      <c r="M200" s="33">
        <f t="shared" si="196"/>
        <v>0</v>
      </c>
      <c r="N200" s="157" t="str">
        <f>IF(E200="","",IF(ISERROR(INDEX('Standard cost - Testing'!$A$1:$N$497,MATCH(RIGHT($C200,4),'Standard cost - Testing'!$A$1:$A$497,0),MATCH($E200,'Standard cost - Testing'!$K$1:$N$1,0)+10)),"NA",INDEX('Standard cost - Testing'!$A$1:$N$497,MATCH(RIGHT($C200,4),'Standard cost - Testing'!$A$1:$A$497,0),MATCH($E200,'Standard cost - Testing'!$K$1:$N$1,0)+10)))</f>
        <v>NA</v>
      </c>
      <c r="O200" s="45">
        <f>IF(OR(ISERROR($N200),$N200="",$N200="NA"),0,H200*$N200)*(1+INDEX('For Finance Control'!$B$27:$E$29,2,MATCH('Project information'!$A$4,'For Finance Control'!$B$27:$E$27,0)))</f>
        <v>0</v>
      </c>
      <c r="P200" s="45">
        <f>IF(OR(ISERROR($N200),$N200="",$N200="NA"),0,I200*$N200)*(1+INDEX('For Finance Control'!$B$27:$E$29,2,MATCH('Project information'!$A$4,'For Finance Control'!$B$27:$E$27,0)))</f>
        <v>0</v>
      </c>
      <c r="Q200" s="45">
        <f>IF(OR(ISERROR($N200),$N200="",$N200="NA"),0,J200*$N200)*(1+INDEX('For Finance Control'!$B$27:$E$29,2,MATCH('Project information'!$A$4,'For Finance Control'!$B$27:$E$27,0)))</f>
        <v>0</v>
      </c>
      <c r="R200" s="45">
        <f>IF(OR(ISERROR($N200),$N200="",$N200="NA"),0,K200*$N200)*(1+INDEX('For Finance Control'!$B$27:$E$29,2,MATCH('Project information'!$A$4,'For Finance Control'!$B$27:$E$27,0)))</f>
        <v>0</v>
      </c>
      <c r="S200" s="45">
        <f>IF(OR(ISERROR($N200),$N200="",$N200="NA"),0,L200*$N200)*(1+INDEX('For Finance Control'!$B$27:$E$29,2,MATCH('Project information'!$A$4,'For Finance Control'!$B$27:$E$27,0)))</f>
        <v>0</v>
      </c>
      <c r="T200" s="45">
        <f t="shared" si="197"/>
        <v>0</v>
      </c>
      <c r="U200" s="33" t="str" cm="1">
        <f t="array" ref="U200">IF($N200="NA","NA",$N200*INDEX('Exchange rate'!$A$1:$G$7,MATCH('Project information'!$A$13,'Exchange rate'!$A$1:$A$7,0),MATCH(LOOKUP(2,1/({"China";"Korea";"India";"Japan";"EUR";"NAO"}=$E200),{"CNY";"KRW";"INR";"JPY";"EUR";"USD"}),'Exchange rate'!$A$1:$G$1,0)))</f>
        <v>NA</v>
      </c>
      <c r="V200" s="33">
        <f t="shared" si="198"/>
        <v>0</v>
      </c>
      <c r="W200" s="33">
        <f t="shared" si="199"/>
        <v>0</v>
      </c>
      <c r="X200" s="33">
        <f t="shared" si="200"/>
        <v>0</v>
      </c>
      <c r="Y200" s="33">
        <f t="shared" si="201"/>
        <v>0</v>
      </c>
      <c r="Z200" s="33">
        <f t="shared" si="202"/>
        <v>0</v>
      </c>
      <c r="AA200" s="33">
        <f t="shared" si="205"/>
        <v>0</v>
      </c>
      <c r="AB200" s="246"/>
      <c r="AC200" s="247"/>
      <c r="AZ200" s="148" t="str">
        <f t="shared" si="206"/>
        <v>5.78</v>
      </c>
      <c r="BA200" s="149" t="s">
        <v>101</v>
      </c>
    </row>
    <row r="201" spans="1:53" ht="37.5" outlineLevel="1">
      <c r="A201" s="148" t="str">
        <f t="shared" si="204"/>
        <v>5.79</v>
      </c>
      <c r="B201" s="148" t="str">
        <f>INDEX('Standard cost - Testing'!$A$1:$N$497,MATCH(RIGHT($C201,4),'Standard cost - Testing'!$A$1:$A$497,0),3)</f>
        <v>LVE</v>
      </c>
      <c r="C201" s="149" t="str">
        <f>'Standard cost - Testing'!B80&amp;" - "&amp;'Standard cost - Testing'!A80</f>
        <v>EHRS  - E016</v>
      </c>
      <c r="D201" s="150" t="str">
        <f>IF(RIGHT(INDEX('Standard cost - Testing'!$A$1:$N$497,MATCH(RIGHT($C201,4),'Standard cost - Testing'!$A$1:$A$497,0),4),1)="]",INDEX('Standard cost - Testing'!$A$1:$N$497,MATCH(RIGHT($C201,4),'Standard cost - Testing'!$A$1:$A$497,0),4),IF(INDEX('Standard cost - Testing'!$A$1:$N$497,MATCH(RIGHT($C201,4),'Standard cost - Testing'!$A$1:$A$497,0),10)=1,INDEX('Standard cost - Testing'!$A$1:$N$497,MATCH(RIGHT($C201,4),'Standard cost - Testing'!$A$1:$A$497,0),4)&amp;" [1 part]",INDEX('Standard cost - Testing'!$A$1:$N$497,MATCH(RIGHT($C201,4),'Standard cost - Testing'!$A$1:$A$497,0),4)&amp;" ["&amp;INDEX('Standard cost - Testing'!$A$1:$N$497,MATCH(RIGHT($C201,4),'Standard cost - Testing'!$A$1:$A$497,0),10)&amp;" parts]"))</f>
        <v>Performance test for Bypass valve and moving parts with Thermal regulator [2 parts]</v>
      </c>
      <c r="E201" s="51" t="str">
        <f>IF('Project information'!$A$4="","",'Project information'!$A$4)</f>
        <v>China</v>
      </c>
      <c r="F201" s="149" t="str">
        <f>INDEX('Standard cost - Testing'!$A$1:$N$497,MATCH(RIGHT($C201,4),'Standard cost - Testing'!$A$1:$A$497,0),5)</f>
        <v>HMC</v>
      </c>
      <c r="G201" s="149">
        <f>IF($E201='Standard cost - Testing'!$F$1,INDEX('Standard cost - Testing'!$A$1:$N$497,MATCH(RIGHT($C201,4),'Standard cost - Testing'!$A$1:$A$497,0),6),INDEX('Standard cost - Testing'!$A$1:$N$497,MATCH(RIGHT($C201,4),'Standard cost - Testing'!$A$1:$A$497,0),7))</f>
        <v>0</v>
      </c>
      <c r="H201" s="46"/>
      <c r="I201" s="46"/>
      <c r="J201" s="46"/>
      <c r="K201" s="46"/>
      <c r="L201" s="46"/>
      <c r="M201" s="33">
        <f t="shared" si="196"/>
        <v>0</v>
      </c>
      <c r="N201" s="157" t="str">
        <f>IF(E201="","",IF(ISERROR(INDEX('Standard cost - Testing'!$A$1:$N$497,MATCH(RIGHT($C201,4),'Standard cost - Testing'!$A$1:$A$497,0),MATCH($E201,'Standard cost - Testing'!$K$1:$N$1,0)+10)),"NA",INDEX('Standard cost - Testing'!$A$1:$N$497,MATCH(RIGHT($C201,4),'Standard cost - Testing'!$A$1:$A$497,0),MATCH($E201,'Standard cost - Testing'!$K$1:$N$1,0)+10)))</f>
        <v>NA</v>
      </c>
      <c r="O201" s="45">
        <f>IF(OR(ISERROR($N201),$N201="",$N201="NA"),0,H201*$N201)*(1+INDEX('For Finance Control'!$B$27:$E$29,2,MATCH('Project information'!$A$4,'For Finance Control'!$B$27:$E$27,0)))</f>
        <v>0</v>
      </c>
      <c r="P201" s="45">
        <f>IF(OR(ISERROR($N201),$N201="",$N201="NA"),0,I201*$N201)*(1+INDEX('For Finance Control'!$B$27:$E$29,2,MATCH('Project information'!$A$4,'For Finance Control'!$B$27:$E$27,0)))</f>
        <v>0</v>
      </c>
      <c r="Q201" s="45">
        <f>IF(OR(ISERROR($N201),$N201="",$N201="NA"),0,J201*$N201)*(1+INDEX('For Finance Control'!$B$27:$E$29,2,MATCH('Project information'!$A$4,'For Finance Control'!$B$27:$E$27,0)))</f>
        <v>0</v>
      </c>
      <c r="R201" s="45">
        <f>IF(OR(ISERROR($N201),$N201="",$N201="NA"),0,K201*$N201)*(1+INDEX('For Finance Control'!$B$27:$E$29,2,MATCH('Project information'!$A$4,'For Finance Control'!$B$27:$E$27,0)))</f>
        <v>0</v>
      </c>
      <c r="S201" s="45">
        <f>IF(OR(ISERROR($N201),$N201="",$N201="NA"),0,L201*$N201)*(1+INDEX('For Finance Control'!$B$27:$E$29,2,MATCH('Project information'!$A$4,'For Finance Control'!$B$27:$E$27,0)))</f>
        <v>0</v>
      </c>
      <c r="T201" s="45">
        <f t="shared" si="197"/>
        <v>0</v>
      </c>
      <c r="U201" s="33" t="str" cm="1">
        <f t="array" ref="U201">IF($N201="NA","NA",$N201*INDEX('Exchange rate'!$A$1:$G$7,MATCH('Project information'!$A$13,'Exchange rate'!$A$1:$A$7,0),MATCH(LOOKUP(2,1/({"China";"Korea";"India";"Japan";"EUR";"NAO"}=$E201),{"CNY";"KRW";"INR";"JPY";"EUR";"USD"}),'Exchange rate'!$A$1:$G$1,0)))</f>
        <v>NA</v>
      </c>
      <c r="V201" s="33">
        <f t="shared" si="198"/>
        <v>0</v>
      </c>
      <c r="W201" s="33">
        <f t="shared" si="199"/>
        <v>0</v>
      </c>
      <c r="X201" s="33">
        <f t="shared" si="200"/>
        <v>0</v>
      </c>
      <c r="Y201" s="33">
        <f t="shared" si="201"/>
        <v>0</v>
      </c>
      <c r="Z201" s="33">
        <f t="shared" si="202"/>
        <v>0</v>
      </c>
      <c r="AA201" s="33">
        <f t="shared" si="205"/>
        <v>0</v>
      </c>
      <c r="AB201" s="246"/>
      <c r="AC201" s="247"/>
      <c r="AZ201" s="148" t="str">
        <f t="shared" si="206"/>
        <v>5.79</v>
      </c>
      <c r="BA201" s="149" t="s">
        <v>101</v>
      </c>
    </row>
    <row r="202" spans="1:53" ht="37.5" outlineLevel="1">
      <c r="A202" s="148" t="str">
        <f t="shared" si="204"/>
        <v>5.80</v>
      </c>
      <c r="B202" s="148" t="str">
        <f>INDEX('Standard cost - Testing'!$A$1:$N$497,MATCH(RIGHT($C202,4),'Standard cost - Testing'!$A$1:$A$497,0),3)</f>
        <v>LVE</v>
      </c>
      <c r="C202" s="149" t="str">
        <f>'Standard cost - Testing'!B81&amp;" - "&amp;'Standard cost - Testing'!A81</f>
        <v>EHRS  - E017</v>
      </c>
      <c r="D202" s="150" t="str">
        <f>IF(RIGHT(INDEX('Standard cost - Testing'!$A$1:$N$497,MATCH(RIGHT($C202,4),'Standard cost - Testing'!$A$1:$A$497,0),4),1)="]",INDEX('Standard cost - Testing'!$A$1:$N$497,MATCH(RIGHT($C202,4),'Standard cost - Testing'!$A$1:$A$497,0),4),IF(INDEX('Standard cost - Testing'!$A$1:$N$497,MATCH(RIGHT($C202,4),'Standard cost - Testing'!$A$1:$A$497,0),10)=1,INDEX('Standard cost - Testing'!$A$1:$N$497,MATCH(RIGHT($C202,4),'Standard cost - Testing'!$A$1:$A$497,0),4)&amp;" [1 part]",INDEX('Standard cost - Testing'!$A$1:$N$497,MATCH(RIGHT($C202,4),'Standard cost - Testing'!$A$1:$A$497,0),4)&amp;" ["&amp;INDEX('Standard cost - Testing'!$A$1:$N$497,MATCH(RIGHT($C202,4),'Standard cost - Testing'!$A$1:$A$497,0),10)&amp;" parts]"))</f>
        <v>Performance test for Bypass valve and moving parts with cold flow bench [2 parts]</v>
      </c>
      <c r="E202" s="51" t="str">
        <f>IF('Project information'!$A$4="","",'Project information'!$A$4)</f>
        <v>China</v>
      </c>
      <c r="F202" s="149" t="str">
        <f>INDEX('Standard cost - Testing'!$A$1:$N$497,MATCH(RIGHT($C202,4),'Standard cost - Testing'!$A$1:$A$497,0),5)</f>
        <v>HMC</v>
      </c>
      <c r="G202" s="149">
        <f>IF($E202='Standard cost - Testing'!$F$1,INDEX('Standard cost - Testing'!$A$1:$N$497,MATCH(RIGHT($C202,4),'Standard cost - Testing'!$A$1:$A$497,0),6),INDEX('Standard cost - Testing'!$A$1:$N$497,MATCH(RIGHT($C202,4),'Standard cost - Testing'!$A$1:$A$497,0),7))</f>
        <v>0</v>
      </c>
      <c r="H202" s="46"/>
      <c r="I202" s="46"/>
      <c r="J202" s="46"/>
      <c r="K202" s="46"/>
      <c r="L202" s="46"/>
      <c r="M202" s="33">
        <f t="shared" si="196"/>
        <v>0</v>
      </c>
      <c r="N202" s="157" t="str">
        <f>IF(E202="","",IF(ISERROR(INDEX('Standard cost - Testing'!$A$1:$N$497,MATCH(RIGHT($C202,4),'Standard cost - Testing'!$A$1:$A$497,0),MATCH($E202,'Standard cost - Testing'!$K$1:$N$1,0)+10)),"NA",INDEX('Standard cost - Testing'!$A$1:$N$497,MATCH(RIGHT($C202,4),'Standard cost - Testing'!$A$1:$A$497,0),MATCH($E202,'Standard cost - Testing'!$K$1:$N$1,0)+10)))</f>
        <v>NA</v>
      </c>
      <c r="O202" s="45">
        <f>IF(OR(ISERROR($N202),$N202="",$N202="NA"),0,H202*$N202)*(1+INDEX('For Finance Control'!$B$27:$E$29,2,MATCH('Project information'!$A$4,'For Finance Control'!$B$27:$E$27,0)))</f>
        <v>0</v>
      </c>
      <c r="P202" s="45">
        <f>IF(OR(ISERROR($N202),$N202="",$N202="NA"),0,I202*$N202)*(1+INDEX('For Finance Control'!$B$27:$E$29,2,MATCH('Project information'!$A$4,'For Finance Control'!$B$27:$E$27,0)))</f>
        <v>0</v>
      </c>
      <c r="Q202" s="45">
        <f>IF(OR(ISERROR($N202),$N202="",$N202="NA"),0,J202*$N202)*(1+INDEX('For Finance Control'!$B$27:$E$29,2,MATCH('Project information'!$A$4,'For Finance Control'!$B$27:$E$27,0)))</f>
        <v>0</v>
      </c>
      <c r="R202" s="45">
        <f>IF(OR(ISERROR($N202),$N202="",$N202="NA"),0,K202*$N202)*(1+INDEX('For Finance Control'!$B$27:$E$29,2,MATCH('Project information'!$A$4,'For Finance Control'!$B$27:$E$27,0)))</f>
        <v>0</v>
      </c>
      <c r="S202" s="45">
        <f>IF(OR(ISERROR($N202),$N202="",$N202="NA"),0,L202*$N202)*(1+INDEX('For Finance Control'!$B$27:$E$29,2,MATCH('Project information'!$A$4,'For Finance Control'!$B$27:$E$27,0)))</f>
        <v>0</v>
      </c>
      <c r="T202" s="45">
        <f t="shared" si="197"/>
        <v>0</v>
      </c>
      <c r="U202" s="33" t="str" cm="1">
        <f t="array" ref="U202">IF($N202="NA","NA",$N202*INDEX('Exchange rate'!$A$1:$G$7,MATCH('Project information'!$A$13,'Exchange rate'!$A$1:$A$7,0),MATCH(LOOKUP(2,1/({"China";"Korea";"India";"Japan";"EUR";"NAO"}=$E202),{"CNY";"KRW";"INR";"JPY";"EUR";"USD"}),'Exchange rate'!$A$1:$G$1,0)))</f>
        <v>NA</v>
      </c>
      <c r="V202" s="33">
        <f t="shared" si="198"/>
        <v>0</v>
      </c>
      <c r="W202" s="33">
        <f t="shared" si="199"/>
        <v>0</v>
      </c>
      <c r="X202" s="33">
        <f t="shared" si="200"/>
        <v>0</v>
      </c>
      <c r="Y202" s="33">
        <f t="shared" si="201"/>
        <v>0</v>
      </c>
      <c r="Z202" s="33">
        <f t="shared" si="202"/>
        <v>0</v>
      </c>
      <c r="AA202" s="33">
        <f t="shared" si="205"/>
        <v>0</v>
      </c>
      <c r="AB202" s="246"/>
      <c r="AC202" s="247"/>
      <c r="AZ202" s="148" t="str">
        <f t="shared" si="206"/>
        <v>5.80</v>
      </c>
      <c r="BA202" s="149" t="s">
        <v>101</v>
      </c>
    </row>
    <row r="203" spans="1:53" outlineLevel="1">
      <c r="A203" s="148" t="str">
        <f t="shared" si="204"/>
        <v>5.81</v>
      </c>
      <c r="B203" s="148" t="str">
        <f>INDEX('Standard cost - Testing'!$A$1:$N$497,MATCH(RIGHT($C203,4),'Standard cost - Testing'!$A$1:$A$497,0),3)</f>
        <v>LVE</v>
      </c>
      <c r="C203" s="149" t="str">
        <f>'Standard cost - Testing'!B82&amp;" - "&amp;'Standard cost - Testing'!A82</f>
        <v>EHRS  - E018</v>
      </c>
      <c r="D203" s="150" t="str">
        <f>IF(RIGHT(INDEX('Standard cost - Testing'!$A$1:$N$497,MATCH(RIGHT($C203,4),'Standard cost - Testing'!$A$1:$A$497,0),4),1)="]",INDEX('Standard cost - Testing'!$A$1:$N$497,MATCH(RIGHT($C203,4),'Standard cost - Testing'!$A$1:$A$497,0),4),IF(INDEX('Standard cost - Testing'!$A$1:$N$497,MATCH(RIGHT($C203,4),'Standard cost - Testing'!$A$1:$A$497,0),10)=1,INDEX('Standard cost - Testing'!$A$1:$N$497,MATCH(RIGHT($C203,4),'Standard cost - Testing'!$A$1:$A$497,0),4)&amp;" [1 part]",INDEX('Standard cost - Testing'!$A$1:$N$497,MATCH(RIGHT($C203,4),'Standard cost - Testing'!$A$1:$A$497,0),4)&amp;" ["&amp;INDEX('Standard cost - Testing'!$A$1:$N$497,MATCH(RIGHT($C203,4),'Standard cost - Testing'!$A$1:$A$497,0),10)&amp;" parts]"))</f>
        <v>Performance test [2 parts]</v>
      </c>
      <c r="E203" s="51" t="str">
        <f>IF('Project information'!$A$4="","",'Project information'!$A$4)</f>
        <v>China</v>
      </c>
      <c r="F203" s="149" t="str">
        <f>INDEX('Standard cost - Testing'!$A$1:$N$497,MATCH(RIGHT($C203,4),'Standard cost - Testing'!$A$1:$A$497,0),5)</f>
        <v>HMC</v>
      </c>
      <c r="G203" s="149">
        <f>IF($E203='Standard cost - Testing'!$F$1,INDEX('Standard cost - Testing'!$A$1:$N$497,MATCH(RIGHT($C203,4),'Standard cost - Testing'!$A$1:$A$497,0),6),INDEX('Standard cost - Testing'!$A$1:$N$497,MATCH(RIGHT($C203,4),'Standard cost - Testing'!$A$1:$A$497,0),7))</f>
        <v>0</v>
      </c>
      <c r="H203" s="46"/>
      <c r="I203" s="46"/>
      <c r="J203" s="46"/>
      <c r="K203" s="46"/>
      <c r="L203" s="46"/>
      <c r="M203" s="33">
        <f t="shared" si="196"/>
        <v>0</v>
      </c>
      <c r="N203" s="157" t="str">
        <f>IF(E203="","",IF(ISERROR(INDEX('Standard cost - Testing'!$A$1:$N$497,MATCH(RIGHT($C203,4),'Standard cost - Testing'!$A$1:$A$497,0),MATCH($E203,'Standard cost - Testing'!$K$1:$N$1,0)+10)),"NA",INDEX('Standard cost - Testing'!$A$1:$N$497,MATCH(RIGHT($C203,4),'Standard cost - Testing'!$A$1:$A$497,0),MATCH($E203,'Standard cost - Testing'!$K$1:$N$1,0)+10)))</f>
        <v>NA</v>
      </c>
      <c r="O203" s="45">
        <f>IF(OR(ISERROR($N203),$N203="",$N203="NA"),0,H203*$N203)*(1+INDEX('For Finance Control'!$B$27:$E$29,2,MATCH('Project information'!$A$4,'For Finance Control'!$B$27:$E$27,0)))</f>
        <v>0</v>
      </c>
      <c r="P203" s="45">
        <f>IF(OR(ISERROR($N203),$N203="",$N203="NA"),0,I203*$N203)*(1+INDEX('For Finance Control'!$B$27:$E$29,2,MATCH('Project information'!$A$4,'For Finance Control'!$B$27:$E$27,0)))</f>
        <v>0</v>
      </c>
      <c r="Q203" s="45">
        <f>IF(OR(ISERROR($N203),$N203="",$N203="NA"),0,J203*$N203)*(1+INDEX('For Finance Control'!$B$27:$E$29,2,MATCH('Project information'!$A$4,'For Finance Control'!$B$27:$E$27,0)))</f>
        <v>0</v>
      </c>
      <c r="R203" s="45">
        <f>IF(OR(ISERROR($N203),$N203="",$N203="NA"),0,K203*$N203)*(1+INDEX('For Finance Control'!$B$27:$E$29,2,MATCH('Project information'!$A$4,'For Finance Control'!$B$27:$E$27,0)))</f>
        <v>0</v>
      </c>
      <c r="S203" s="45">
        <f>IF(OR(ISERROR($N203),$N203="",$N203="NA"),0,L203*$N203)*(1+INDEX('For Finance Control'!$B$27:$E$29,2,MATCH('Project information'!$A$4,'For Finance Control'!$B$27:$E$27,0)))</f>
        <v>0</v>
      </c>
      <c r="T203" s="45">
        <f t="shared" si="197"/>
        <v>0</v>
      </c>
      <c r="U203" s="33" t="str" cm="1">
        <f t="array" ref="U203">IF($N203="NA","NA",$N203*INDEX('Exchange rate'!$A$1:$G$7,MATCH('Project information'!$A$13,'Exchange rate'!$A$1:$A$7,0),MATCH(LOOKUP(2,1/({"China";"Korea";"India";"Japan";"EUR";"NAO"}=$E203),{"CNY";"KRW";"INR";"JPY";"EUR";"USD"}),'Exchange rate'!$A$1:$G$1,0)))</f>
        <v>NA</v>
      </c>
      <c r="V203" s="33">
        <f t="shared" si="198"/>
        <v>0</v>
      </c>
      <c r="W203" s="33">
        <f t="shared" si="199"/>
        <v>0</v>
      </c>
      <c r="X203" s="33">
        <f t="shared" si="200"/>
        <v>0</v>
      </c>
      <c r="Y203" s="33">
        <f t="shared" si="201"/>
        <v>0</v>
      </c>
      <c r="Z203" s="33">
        <f t="shared" si="202"/>
        <v>0</v>
      </c>
      <c r="AA203" s="33">
        <f t="shared" si="205"/>
        <v>0</v>
      </c>
      <c r="AB203" s="246"/>
      <c r="AC203" s="247"/>
      <c r="AZ203" s="148" t="str">
        <f t="shared" si="206"/>
        <v>5.81</v>
      </c>
      <c r="BA203" s="149" t="s">
        <v>101</v>
      </c>
    </row>
    <row r="204" spans="1:53" outlineLevel="1">
      <c r="A204" s="148" t="str">
        <f t="shared" si="204"/>
        <v>5.82</v>
      </c>
      <c r="B204" s="148" t="str">
        <f>INDEX('Standard cost - Testing'!$A$1:$N$497,MATCH(RIGHT($C204,4),'Standard cost - Testing'!$A$1:$A$497,0),3)</f>
        <v>LVE</v>
      </c>
      <c r="C204" s="149" t="str">
        <f>'Standard cost - Testing'!B83&amp;" - "&amp;'Standard cost - Testing'!A83</f>
        <v>EHRS  - E019</v>
      </c>
      <c r="D204" s="150" t="str">
        <f>IF(RIGHT(INDEX('Standard cost - Testing'!$A$1:$N$497,MATCH(RIGHT($C204,4),'Standard cost - Testing'!$A$1:$A$497,0),4),1)="]",INDEX('Standard cost - Testing'!$A$1:$N$497,MATCH(RIGHT($C204,4),'Standard cost - Testing'!$A$1:$A$497,0),4),IF(INDEX('Standard cost - Testing'!$A$1:$N$497,MATCH(RIGHT($C204,4),'Standard cost - Testing'!$A$1:$A$497,0),10)=1,INDEX('Standard cost - Testing'!$A$1:$N$497,MATCH(RIGHT($C204,4),'Standard cost - Testing'!$A$1:$A$497,0),4)&amp;" [1 part]",INDEX('Standard cost - Testing'!$A$1:$N$497,MATCH(RIGHT($C204,4),'Standard cost - Testing'!$A$1:$A$497,0),4)&amp;" ["&amp;INDEX('Standard cost - Testing'!$A$1:$N$497,MATCH(RIGHT($C204,4),'Standard cost - Testing'!$A$1:$A$497,0),10)&amp;" parts]"))</f>
        <v>Leakage [2 parts]</v>
      </c>
      <c r="E204" s="51" t="str">
        <f>IF('Project information'!$A$4="","",'Project information'!$A$4)</f>
        <v>China</v>
      </c>
      <c r="F204" s="149" t="str">
        <f>INDEX('Standard cost - Testing'!$A$1:$N$497,MATCH(RIGHT($C204,4),'Standard cost - Testing'!$A$1:$A$497,0),5)</f>
        <v>HMC</v>
      </c>
      <c r="G204" s="149">
        <f>IF($E204='Standard cost - Testing'!$F$1,INDEX('Standard cost - Testing'!$A$1:$N$497,MATCH(RIGHT($C204,4),'Standard cost - Testing'!$A$1:$A$497,0),6),INDEX('Standard cost - Testing'!$A$1:$N$497,MATCH(RIGHT($C204,4),'Standard cost - Testing'!$A$1:$A$497,0),7))</f>
        <v>0</v>
      </c>
      <c r="H204" s="46"/>
      <c r="I204" s="46"/>
      <c r="J204" s="46"/>
      <c r="K204" s="46"/>
      <c r="L204" s="46"/>
      <c r="M204" s="33">
        <f t="shared" ref="M204:M294" si="247">SUM(H204:L204)</f>
        <v>0</v>
      </c>
      <c r="N204" s="157" t="str">
        <f>IF(E204="","",IF(ISERROR(INDEX('Standard cost - Testing'!$A$1:$N$497,MATCH(RIGHT($C204,4),'Standard cost - Testing'!$A$1:$A$497,0),MATCH($E204,'Standard cost - Testing'!$K$1:$N$1,0)+10)),"NA",INDEX('Standard cost - Testing'!$A$1:$N$497,MATCH(RIGHT($C204,4),'Standard cost - Testing'!$A$1:$A$497,0),MATCH($E204,'Standard cost - Testing'!$K$1:$N$1,0)+10)))</f>
        <v>NA</v>
      </c>
      <c r="O204" s="45">
        <f>IF(OR(ISERROR($N204),$N204="",$N204="NA"),0,H204*$N204)*(1+INDEX('For Finance Control'!$B$27:$E$29,2,MATCH('Project information'!$A$4,'For Finance Control'!$B$27:$E$27,0)))</f>
        <v>0</v>
      </c>
      <c r="P204" s="45">
        <f>IF(OR(ISERROR($N204),$N204="",$N204="NA"),0,I204*$N204)*(1+INDEX('For Finance Control'!$B$27:$E$29,2,MATCH('Project information'!$A$4,'For Finance Control'!$B$27:$E$27,0)))</f>
        <v>0</v>
      </c>
      <c r="Q204" s="45">
        <f>IF(OR(ISERROR($N204),$N204="",$N204="NA"),0,J204*$N204)*(1+INDEX('For Finance Control'!$B$27:$E$29,2,MATCH('Project information'!$A$4,'For Finance Control'!$B$27:$E$27,0)))</f>
        <v>0</v>
      </c>
      <c r="R204" s="45">
        <f>IF(OR(ISERROR($N204),$N204="",$N204="NA"),0,K204*$N204)*(1+INDEX('For Finance Control'!$B$27:$E$29,2,MATCH('Project information'!$A$4,'For Finance Control'!$B$27:$E$27,0)))</f>
        <v>0</v>
      </c>
      <c r="S204" s="45">
        <f>IF(OR(ISERROR($N204),$N204="",$N204="NA"),0,L204*$N204)*(1+INDEX('For Finance Control'!$B$27:$E$29,2,MATCH('Project information'!$A$4,'For Finance Control'!$B$27:$E$27,0)))</f>
        <v>0</v>
      </c>
      <c r="T204" s="45">
        <f t="shared" ref="T204:T275" si="248">SUM(O204:S204)</f>
        <v>0</v>
      </c>
      <c r="U204" s="33" t="str" cm="1">
        <f t="array" ref="U204">IF($N204="NA","NA",$N204*INDEX('Exchange rate'!$A$1:$G$7,MATCH('Project information'!$A$13,'Exchange rate'!$A$1:$A$7,0),MATCH(LOOKUP(2,1/({"China";"Korea";"India";"Japan";"EUR";"NAO"}=$E204),{"CNY";"KRW";"INR";"JPY";"EUR";"USD"}),'Exchange rate'!$A$1:$G$1,0)))</f>
        <v>NA</v>
      </c>
      <c r="V204" s="33">
        <f t="shared" ref="V204:V275" si="249">IF(OR(ISERROR($U204),$U204="",$U204="NA"),0,H204*$U204)</f>
        <v>0</v>
      </c>
      <c r="W204" s="33">
        <f t="shared" ref="W204:W275" si="250">IF(OR(ISERROR($U204),$U204="",$U204="NA"),0,I204*$U204)</f>
        <v>0</v>
      </c>
      <c r="X204" s="33">
        <f t="shared" ref="X204:X275" si="251">IF(OR(ISERROR($U204),$U204="",$U204="NA"),0,J204*$U204)</f>
        <v>0</v>
      </c>
      <c r="Y204" s="33">
        <f t="shared" ref="Y204:Y275" si="252">IF(OR(ISERROR($U204),$U204="",$U204="NA"),0,K204*$U204)</f>
        <v>0</v>
      </c>
      <c r="Z204" s="33">
        <f t="shared" ref="Z204:Z275" si="253">IF(OR(ISERROR($U204),$U204="",$U204="NA"),0,L204*$U204)</f>
        <v>0</v>
      </c>
      <c r="AA204" s="33">
        <f t="shared" si="205"/>
        <v>0</v>
      </c>
      <c r="AB204" s="246"/>
      <c r="AC204" s="247"/>
      <c r="AZ204" s="148" t="str">
        <f t="shared" si="206"/>
        <v>5.82</v>
      </c>
      <c r="BA204" s="149" t="s">
        <v>101</v>
      </c>
    </row>
    <row r="205" spans="1:53" ht="25" outlineLevel="1">
      <c r="A205" s="148" t="str">
        <f t="shared" ref="A205:A295" si="254">$A$122&amp;"."&amp;ROW(A205)-ROW($A$122)</f>
        <v>5.83</v>
      </c>
      <c r="B205" s="148" t="str">
        <f>INDEX('Standard cost - Testing'!$A$1:$N$497,MATCH(RIGHT($C205,4),'Standard cost - Testing'!$A$1:$A$497,0),3)</f>
        <v>LVE</v>
      </c>
      <c r="C205" s="149" t="str">
        <f>'Standard cost - Testing'!B84&amp;" - "&amp;'Standard cost - Testing'!A84</f>
        <v>EHRS  - E020</v>
      </c>
      <c r="D205" s="150" t="str">
        <f>IF(RIGHT(INDEX('Standard cost - Testing'!$A$1:$N$497,MATCH(RIGHT($C205,4),'Standard cost - Testing'!$A$1:$A$497,0),4),1)="]",INDEX('Standard cost - Testing'!$A$1:$N$497,MATCH(RIGHT($C205,4),'Standard cost - Testing'!$A$1:$A$497,0),4),IF(INDEX('Standard cost - Testing'!$A$1:$N$497,MATCH(RIGHT($C205,4),'Standard cost - Testing'!$A$1:$A$497,0),10)=1,INDEX('Standard cost - Testing'!$A$1:$N$497,MATCH(RIGHT($C205,4),'Standard cost - Testing'!$A$1:$A$497,0),4)&amp;" [1 part]",INDEX('Standard cost - Testing'!$A$1:$N$497,MATCH(RIGHT($C205,4),'Standard cost - Testing'!$A$1:$A$497,0),4)&amp;" ["&amp;INDEX('Standard cost - Testing'!$A$1:$N$497,MATCH(RIGHT($C205,4),'Standard cost - Testing'!$A$1:$A$497,0),10)&amp;" parts]"))</f>
        <v>City mode (internal) thermal shock test [2 parts]</v>
      </c>
      <c r="E205" s="51" t="str">
        <f>IF('Project information'!$A$4="","",'Project information'!$A$4)</f>
        <v>China</v>
      </c>
      <c r="F205" s="149" t="str">
        <f>INDEX('Standard cost - Testing'!$A$1:$N$497,MATCH(RIGHT($C205,4),'Standard cost - Testing'!$A$1:$A$497,0),5)</f>
        <v>HMC</v>
      </c>
      <c r="G205" s="149">
        <f>IF($E205='Standard cost - Testing'!$F$1,INDEX('Standard cost - Testing'!$A$1:$N$497,MATCH(RIGHT($C205,4),'Standard cost - Testing'!$A$1:$A$497,0),6),INDEX('Standard cost - Testing'!$A$1:$N$497,MATCH(RIGHT($C205,4),'Standard cost - Testing'!$A$1:$A$497,0),7))</f>
        <v>0</v>
      </c>
      <c r="H205" s="46"/>
      <c r="I205" s="46"/>
      <c r="J205" s="46"/>
      <c r="K205" s="46"/>
      <c r="L205" s="46"/>
      <c r="M205" s="33">
        <f t="shared" si="247"/>
        <v>0</v>
      </c>
      <c r="N205" s="157" t="str">
        <f>IF(E205="","",IF(ISERROR(INDEX('Standard cost - Testing'!$A$1:$N$497,MATCH(RIGHT($C205,4),'Standard cost - Testing'!$A$1:$A$497,0),MATCH($E205,'Standard cost - Testing'!$K$1:$N$1,0)+10)),"NA",INDEX('Standard cost - Testing'!$A$1:$N$497,MATCH(RIGHT($C205,4),'Standard cost - Testing'!$A$1:$A$497,0),MATCH($E205,'Standard cost - Testing'!$K$1:$N$1,0)+10)))</f>
        <v>NA</v>
      </c>
      <c r="O205" s="45">
        <f>IF(OR(ISERROR($N205),$N205="",$N205="NA"),0,H205*$N205)*(1+INDEX('For Finance Control'!$B$27:$E$29,2,MATCH('Project information'!$A$4,'For Finance Control'!$B$27:$E$27,0)))</f>
        <v>0</v>
      </c>
      <c r="P205" s="45">
        <f>IF(OR(ISERROR($N205),$N205="",$N205="NA"),0,I205*$N205)*(1+INDEX('For Finance Control'!$B$27:$E$29,2,MATCH('Project information'!$A$4,'For Finance Control'!$B$27:$E$27,0)))</f>
        <v>0</v>
      </c>
      <c r="Q205" s="45">
        <f>IF(OR(ISERROR($N205),$N205="",$N205="NA"),0,J205*$N205)*(1+INDEX('For Finance Control'!$B$27:$E$29,2,MATCH('Project information'!$A$4,'For Finance Control'!$B$27:$E$27,0)))</f>
        <v>0</v>
      </c>
      <c r="R205" s="45">
        <f>IF(OR(ISERROR($N205),$N205="",$N205="NA"),0,K205*$N205)*(1+INDEX('For Finance Control'!$B$27:$E$29,2,MATCH('Project information'!$A$4,'For Finance Control'!$B$27:$E$27,0)))</f>
        <v>0</v>
      </c>
      <c r="S205" s="45">
        <f>IF(OR(ISERROR($N205),$N205="",$N205="NA"),0,L205*$N205)*(1+INDEX('For Finance Control'!$B$27:$E$29,2,MATCH('Project information'!$A$4,'For Finance Control'!$B$27:$E$27,0)))</f>
        <v>0</v>
      </c>
      <c r="T205" s="45">
        <f t="shared" si="248"/>
        <v>0</v>
      </c>
      <c r="U205" s="33" t="str" cm="1">
        <f t="array" ref="U205">IF($N205="NA","NA",$N205*INDEX('Exchange rate'!$A$1:$G$7,MATCH('Project information'!$A$13,'Exchange rate'!$A$1:$A$7,0),MATCH(LOOKUP(2,1/({"China";"Korea";"India";"Japan";"EUR";"NAO"}=$E205),{"CNY";"KRW";"INR";"JPY";"EUR";"USD"}),'Exchange rate'!$A$1:$G$1,0)))</f>
        <v>NA</v>
      </c>
      <c r="V205" s="33">
        <f t="shared" si="249"/>
        <v>0</v>
      </c>
      <c r="W205" s="33">
        <f t="shared" si="250"/>
        <v>0</v>
      </c>
      <c r="X205" s="33">
        <f t="shared" si="251"/>
        <v>0</v>
      </c>
      <c r="Y205" s="33">
        <f t="shared" si="252"/>
        <v>0</v>
      </c>
      <c r="Z205" s="33">
        <f t="shared" si="253"/>
        <v>0</v>
      </c>
      <c r="AA205" s="33">
        <f t="shared" ref="AA205:AA276" si="255">SUM(V205:Z205)</f>
        <v>0</v>
      </c>
      <c r="AB205" s="246"/>
      <c r="AC205" s="247"/>
      <c r="AZ205" s="148" t="str">
        <f t="shared" ref="AZ205:AZ295" si="256">$A$122&amp;"."&amp;ROW(AZ205)-ROW($A$122)</f>
        <v>5.83</v>
      </c>
      <c r="BA205" s="149" t="s">
        <v>101</v>
      </c>
    </row>
    <row r="206" spans="1:53" ht="25" outlineLevel="1">
      <c r="A206" s="148" t="str">
        <f t="shared" si="254"/>
        <v>5.84</v>
      </c>
      <c r="B206" s="148" t="str">
        <f>INDEX('Standard cost - Testing'!$A$1:$N$497,MATCH(RIGHT($C206,4),'Standard cost - Testing'!$A$1:$A$497,0),3)</f>
        <v>LVE</v>
      </c>
      <c r="C206" s="149" t="str">
        <f>'Standard cost - Testing'!B85&amp;" - "&amp;'Standard cost - Testing'!A85</f>
        <v>EHRS  - E021</v>
      </c>
      <c r="D206" s="150" t="str">
        <f>IF(RIGHT(INDEX('Standard cost - Testing'!$A$1:$N$497,MATCH(RIGHT($C206,4),'Standard cost - Testing'!$A$1:$A$497,0),4),1)="]",INDEX('Standard cost - Testing'!$A$1:$N$497,MATCH(RIGHT($C206,4),'Standard cost - Testing'!$A$1:$A$497,0),4),IF(INDEX('Standard cost - Testing'!$A$1:$N$497,MATCH(RIGHT($C206,4),'Standard cost - Testing'!$A$1:$A$497,0),10)=1,INDEX('Standard cost - Testing'!$A$1:$N$497,MATCH(RIGHT($C206,4),'Standard cost - Testing'!$A$1:$A$497,0),4)&amp;" [1 part]",INDEX('Standard cost - Testing'!$A$1:$N$497,MATCH(RIGHT($C206,4),'Standard cost - Testing'!$A$1:$A$497,0),4)&amp;" ["&amp;INDEX('Standard cost - Testing'!$A$1:$N$497,MATCH(RIGHT($C206,4),'Standard cost - Testing'!$A$1:$A$497,0),10)&amp;" parts]"))</f>
        <v>Integrated thermal fatigue (external) [2 parts]</v>
      </c>
      <c r="E206" s="51" t="str">
        <f>IF('Project information'!$A$4="","",'Project information'!$A$4)</f>
        <v>China</v>
      </c>
      <c r="F206" s="149" t="str">
        <f>INDEX('Standard cost - Testing'!$A$1:$N$497,MATCH(RIGHT($C206,4),'Standard cost - Testing'!$A$1:$A$497,0),5)</f>
        <v>HMC</v>
      </c>
      <c r="G206" s="149">
        <f>IF($E206='Standard cost - Testing'!$F$1,INDEX('Standard cost - Testing'!$A$1:$N$497,MATCH(RIGHT($C206,4),'Standard cost - Testing'!$A$1:$A$497,0),6),INDEX('Standard cost - Testing'!$A$1:$N$497,MATCH(RIGHT($C206,4),'Standard cost - Testing'!$A$1:$A$497,0),7))</f>
        <v>0</v>
      </c>
      <c r="H206" s="46"/>
      <c r="I206" s="46"/>
      <c r="J206" s="46"/>
      <c r="K206" s="46"/>
      <c r="L206" s="46"/>
      <c r="M206" s="33">
        <f t="shared" si="247"/>
        <v>0</v>
      </c>
      <c r="N206" s="157" t="str">
        <f>IF(E206="","",IF(ISERROR(INDEX('Standard cost - Testing'!$A$1:$N$497,MATCH(RIGHT($C206,4),'Standard cost - Testing'!$A$1:$A$497,0),MATCH($E206,'Standard cost - Testing'!$K$1:$N$1,0)+10)),"NA",INDEX('Standard cost - Testing'!$A$1:$N$497,MATCH(RIGHT($C206,4),'Standard cost - Testing'!$A$1:$A$497,0),MATCH($E206,'Standard cost - Testing'!$K$1:$N$1,0)+10)))</f>
        <v>NA</v>
      </c>
      <c r="O206" s="45">
        <f>IF(OR(ISERROR($N206),$N206="",$N206="NA"),0,H206*$N206)*(1+INDEX('For Finance Control'!$B$27:$E$29,2,MATCH('Project information'!$A$4,'For Finance Control'!$B$27:$E$27,0)))</f>
        <v>0</v>
      </c>
      <c r="P206" s="45">
        <f>IF(OR(ISERROR($N206),$N206="",$N206="NA"),0,I206*$N206)*(1+INDEX('For Finance Control'!$B$27:$E$29,2,MATCH('Project information'!$A$4,'For Finance Control'!$B$27:$E$27,0)))</f>
        <v>0</v>
      </c>
      <c r="Q206" s="45">
        <f>IF(OR(ISERROR($N206),$N206="",$N206="NA"),0,J206*$N206)*(1+INDEX('For Finance Control'!$B$27:$E$29,2,MATCH('Project information'!$A$4,'For Finance Control'!$B$27:$E$27,0)))</f>
        <v>0</v>
      </c>
      <c r="R206" s="45">
        <f>IF(OR(ISERROR($N206),$N206="",$N206="NA"),0,K206*$N206)*(1+INDEX('For Finance Control'!$B$27:$E$29,2,MATCH('Project information'!$A$4,'For Finance Control'!$B$27:$E$27,0)))</f>
        <v>0</v>
      </c>
      <c r="S206" s="45">
        <f>IF(OR(ISERROR($N206),$N206="",$N206="NA"),0,L206*$N206)*(1+INDEX('For Finance Control'!$B$27:$E$29,2,MATCH('Project information'!$A$4,'For Finance Control'!$B$27:$E$27,0)))</f>
        <v>0</v>
      </c>
      <c r="T206" s="45">
        <f t="shared" si="248"/>
        <v>0</v>
      </c>
      <c r="U206" s="33" t="str" cm="1">
        <f t="array" ref="U206">IF($N206="NA","NA",$N206*INDEX('Exchange rate'!$A$1:$G$7,MATCH('Project information'!$A$13,'Exchange rate'!$A$1:$A$7,0),MATCH(LOOKUP(2,1/({"China";"Korea";"India";"Japan";"EUR";"NAO"}=$E206),{"CNY";"KRW";"INR";"JPY";"EUR";"USD"}),'Exchange rate'!$A$1:$G$1,0)))</f>
        <v>NA</v>
      </c>
      <c r="V206" s="33">
        <f t="shared" si="249"/>
        <v>0</v>
      </c>
      <c r="W206" s="33">
        <f t="shared" si="250"/>
        <v>0</v>
      </c>
      <c r="X206" s="33">
        <f t="shared" si="251"/>
        <v>0</v>
      </c>
      <c r="Y206" s="33">
        <f t="shared" si="252"/>
        <v>0</v>
      </c>
      <c r="Z206" s="33">
        <f t="shared" si="253"/>
        <v>0</v>
      </c>
      <c r="AA206" s="33">
        <f t="shared" si="255"/>
        <v>0</v>
      </c>
      <c r="AB206" s="246"/>
      <c r="AC206" s="247"/>
      <c r="AZ206" s="148" t="str">
        <f t="shared" si="256"/>
        <v>5.84</v>
      </c>
      <c r="BA206" s="149" t="s">
        <v>101</v>
      </c>
    </row>
    <row r="207" spans="1:53" outlineLevel="1">
      <c r="A207" s="148" t="str">
        <f t="shared" si="254"/>
        <v>5.85</v>
      </c>
      <c r="B207" s="148" t="str">
        <f>INDEX('Standard cost - Testing'!$A$1:$N$497,MATCH(RIGHT($C207,4),'Standard cost - Testing'!$A$1:$A$497,0),3)</f>
        <v>LVE</v>
      </c>
      <c r="C207" s="149" t="str">
        <f>'Standard cost - Testing'!B86&amp;" - "&amp;'Standard cost - Testing'!A86</f>
        <v>EHRS  - E022</v>
      </c>
      <c r="D207" s="150" t="str">
        <f>IF(RIGHT(INDEX('Standard cost - Testing'!$A$1:$N$497,MATCH(RIGHT($C207,4),'Standard cost - Testing'!$A$1:$A$497,0),4),1)="]",INDEX('Standard cost - Testing'!$A$1:$N$497,MATCH(RIGHT($C207,4),'Standard cost - Testing'!$A$1:$A$497,0),4),IF(INDEX('Standard cost - Testing'!$A$1:$N$497,MATCH(RIGHT($C207,4),'Standard cost - Testing'!$A$1:$A$497,0),10)=1,INDEX('Standard cost - Testing'!$A$1:$N$497,MATCH(RIGHT($C207,4),'Standard cost - Testing'!$A$1:$A$497,0),4)&amp;" [1 part]",INDEX('Standard cost - Testing'!$A$1:$N$497,MATCH(RIGHT($C207,4),'Standard cost - Testing'!$A$1:$A$497,0),4)&amp;" ["&amp;INDEX('Standard cost - Testing'!$A$1:$N$497,MATCH(RIGHT($C207,4),'Standard cost - Testing'!$A$1:$A$497,0),10)&amp;" parts]"))</f>
        <v>Vibration durability test [2 parts]</v>
      </c>
      <c r="E207" s="51" t="str">
        <f>IF('Project information'!$A$4="","",'Project information'!$A$4)</f>
        <v>China</v>
      </c>
      <c r="F207" s="149" t="str">
        <f>INDEX('Standard cost - Testing'!$A$1:$N$497,MATCH(RIGHT($C207,4),'Standard cost - Testing'!$A$1:$A$497,0),5)</f>
        <v>HMC</v>
      </c>
      <c r="G207" s="149">
        <f>IF($E207='Standard cost - Testing'!$F$1,INDEX('Standard cost - Testing'!$A$1:$N$497,MATCH(RIGHT($C207,4),'Standard cost - Testing'!$A$1:$A$497,0),6),INDEX('Standard cost - Testing'!$A$1:$N$497,MATCH(RIGHT($C207,4),'Standard cost - Testing'!$A$1:$A$497,0),7))</f>
        <v>0</v>
      </c>
      <c r="H207" s="46"/>
      <c r="I207" s="46"/>
      <c r="J207" s="46"/>
      <c r="K207" s="46"/>
      <c r="L207" s="46"/>
      <c r="M207" s="33">
        <f t="shared" si="247"/>
        <v>0</v>
      </c>
      <c r="N207" s="157">
        <f>IF(E207="","",IF(ISERROR(INDEX('Standard cost - Testing'!$A$1:$N$497,MATCH(RIGHT($C207,4),'Standard cost - Testing'!$A$1:$A$497,0),MATCH($E207,'Standard cost - Testing'!$K$1:$N$1,0)+10)),"NA",INDEX('Standard cost - Testing'!$A$1:$N$497,MATCH(RIGHT($C207,4),'Standard cost - Testing'!$A$1:$A$497,0),MATCH($E207,'Standard cost - Testing'!$K$1:$N$1,0)+10)))</f>
        <v>71655</v>
      </c>
      <c r="O207" s="45">
        <f>IF(OR(ISERROR($N207),$N207="",$N207="NA"),0,H207*$N207)*(1+INDEX('For Finance Control'!$B$27:$E$29,2,MATCH('Project information'!$A$4,'For Finance Control'!$B$27:$E$27,0)))</f>
        <v>0</v>
      </c>
      <c r="P207" s="45">
        <f>IF(OR(ISERROR($N207),$N207="",$N207="NA"),0,I207*$N207)*(1+INDEX('For Finance Control'!$B$27:$E$29,2,MATCH('Project information'!$A$4,'For Finance Control'!$B$27:$E$27,0)))</f>
        <v>0</v>
      </c>
      <c r="Q207" s="45">
        <f>IF(OR(ISERROR($N207),$N207="",$N207="NA"),0,J207*$N207)*(1+INDEX('For Finance Control'!$B$27:$E$29,2,MATCH('Project information'!$A$4,'For Finance Control'!$B$27:$E$27,0)))</f>
        <v>0</v>
      </c>
      <c r="R207" s="45">
        <f>IF(OR(ISERROR($N207),$N207="",$N207="NA"),0,K207*$N207)*(1+INDEX('For Finance Control'!$B$27:$E$29,2,MATCH('Project information'!$A$4,'For Finance Control'!$B$27:$E$27,0)))</f>
        <v>0</v>
      </c>
      <c r="S207" s="45">
        <f>IF(OR(ISERROR($N207),$N207="",$N207="NA"),0,L207*$N207)*(1+INDEX('For Finance Control'!$B$27:$E$29,2,MATCH('Project information'!$A$4,'For Finance Control'!$B$27:$E$27,0)))</f>
        <v>0</v>
      </c>
      <c r="T207" s="45">
        <f t="shared" si="248"/>
        <v>0</v>
      </c>
      <c r="U207" s="33" cm="1">
        <f t="array" ref="U207">IF($N207="NA","NA",$N207*INDEX('Exchange rate'!$A$1:$G$7,MATCH('Project information'!$A$13,'Exchange rate'!$A$1:$A$7,0),MATCH(LOOKUP(2,1/({"China";"Korea";"India";"Japan";"EUR";"NAO"}=$E207),{"CNY";"KRW";"INR";"JPY";"EUR";"USD"}),'Exchange rate'!$A$1:$G$1,0)))</f>
        <v>71655</v>
      </c>
      <c r="V207" s="33">
        <f t="shared" si="249"/>
        <v>0</v>
      </c>
      <c r="W207" s="33">
        <f t="shared" si="250"/>
        <v>0</v>
      </c>
      <c r="X207" s="33">
        <f t="shared" si="251"/>
        <v>0</v>
      </c>
      <c r="Y207" s="33">
        <f t="shared" si="252"/>
        <v>0</v>
      </c>
      <c r="Z207" s="33">
        <f t="shared" si="253"/>
        <v>0</v>
      </c>
      <c r="AA207" s="33">
        <f t="shared" si="255"/>
        <v>0</v>
      </c>
      <c r="AB207" s="246"/>
      <c r="AC207" s="247"/>
      <c r="AZ207" s="148" t="str">
        <f t="shared" si="256"/>
        <v>5.85</v>
      </c>
      <c r="BA207" s="149" t="s">
        <v>101</v>
      </c>
    </row>
    <row r="208" spans="1:53" ht="25" outlineLevel="1">
      <c r="A208" s="148" t="str">
        <f t="shared" si="254"/>
        <v>5.86</v>
      </c>
      <c r="B208" s="148" t="str">
        <f>INDEX('Standard cost - Testing'!$A$1:$N$497,MATCH(RIGHT($C208,4),'Standard cost - Testing'!$A$1:$A$497,0),3)</f>
        <v>LVE</v>
      </c>
      <c r="C208" s="149" t="str">
        <f>'Standard cost - Testing'!B87&amp;" - "&amp;'Standard cost - Testing'!A87</f>
        <v>EHRS  - E023</v>
      </c>
      <c r="D208" s="150" t="str">
        <f>IF(RIGHT(INDEX('Standard cost - Testing'!$A$1:$N$497,MATCH(RIGHT($C208,4),'Standard cost - Testing'!$A$1:$A$497,0),4),1)="]",INDEX('Standard cost - Testing'!$A$1:$N$497,MATCH(RIGHT($C208,4),'Standard cost - Testing'!$A$1:$A$497,0),4),IF(INDEX('Standard cost - Testing'!$A$1:$N$497,MATCH(RIGHT($C208,4),'Standard cost - Testing'!$A$1:$A$497,0),10)=1,INDEX('Standard cost - Testing'!$A$1:$N$497,MATCH(RIGHT($C208,4),'Standard cost - Testing'!$A$1:$A$497,0),4)&amp;" [1 part]",INDEX('Standard cost - Testing'!$A$1:$N$497,MATCH(RIGHT($C208,4),'Standard cost - Testing'!$A$1:$A$497,0),4)&amp;" ["&amp;INDEX('Standard cost - Testing'!$A$1:$N$497,MATCH(RIGHT($C208,4),'Standard cost - Testing'!$A$1:$A$497,0),10)&amp;" parts]"))</f>
        <v>Light impact (73,000) in Pressure fatigue before heavy impact [2 parts]</v>
      </c>
      <c r="E208" s="51" t="str">
        <f>IF('Project information'!$A$4="","",'Project information'!$A$4)</f>
        <v>China</v>
      </c>
      <c r="F208" s="149" t="str">
        <f>INDEX('Standard cost - Testing'!$A$1:$N$497,MATCH(RIGHT($C208,4),'Standard cost - Testing'!$A$1:$A$497,0),5)</f>
        <v>HMC</v>
      </c>
      <c r="G208" s="149">
        <f>IF($E208='Standard cost - Testing'!$F$1,INDEX('Standard cost - Testing'!$A$1:$N$497,MATCH(RIGHT($C208,4),'Standard cost - Testing'!$A$1:$A$497,0),6),INDEX('Standard cost - Testing'!$A$1:$N$497,MATCH(RIGHT($C208,4),'Standard cost - Testing'!$A$1:$A$497,0),7))</f>
        <v>0</v>
      </c>
      <c r="H208" s="46"/>
      <c r="I208" s="46"/>
      <c r="J208" s="46"/>
      <c r="K208" s="46"/>
      <c r="L208" s="46"/>
      <c r="M208" s="33">
        <f t="shared" si="247"/>
        <v>0</v>
      </c>
      <c r="N208" s="157">
        <f>IF(E208="","",IF(ISERROR(INDEX('Standard cost - Testing'!$A$1:$N$497,MATCH(RIGHT($C208,4),'Standard cost - Testing'!$A$1:$A$497,0),MATCH($E208,'Standard cost - Testing'!$K$1:$N$1,0)+10)),"NA",INDEX('Standard cost - Testing'!$A$1:$N$497,MATCH(RIGHT($C208,4),'Standard cost - Testing'!$A$1:$A$497,0),MATCH($E208,'Standard cost - Testing'!$K$1:$N$1,0)+10)))</f>
        <v>71655</v>
      </c>
      <c r="O208" s="45">
        <f>IF(OR(ISERROR($N208),$N208="",$N208="NA"),0,H208*$N208)*(1+INDEX('For Finance Control'!$B$27:$E$29,2,MATCH('Project information'!$A$4,'For Finance Control'!$B$27:$E$27,0)))</f>
        <v>0</v>
      </c>
      <c r="P208" s="45">
        <f>IF(OR(ISERROR($N208),$N208="",$N208="NA"),0,I208*$N208)*(1+INDEX('For Finance Control'!$B$27:$E$29,2,MATCH('Project information'!$A$4,'For Finance Control'!$B$27:$E$27,0)))</f>
        <v>0</v>
      </c>
      <c r="Q208" s="45">
        <f>IF(OR(ISERROR($N208),$N208="",$N208="NA"),0,J208*$N208)*(1+INDEX('For Finance Control'!$B$27:$E$29,2,MATCH('Project information'!$A$4,'For Finance Control'!$B$27:$E$27,0)))</f>
        <v>0</v>
      </c>
      <c r="R208" s="45">
        <f>IF(OR(ISERROR($N208),$N208="",$N208="NA"),0,K208*$N208)*(1+INDEX('For Finance Control'!$B$27:$E$29,2,MATCH('Project information'!$A$4,'For Finance Control'!$B$27:$E$27,0)))</f>
        <v>0</v>
      </c>
      <c r="S208" s="45">
        <f>IF(OR(ISERROR($N208),$N208="",$N208="NA"),0,L208*$N208)*(1+INDEX('For Finance Control'!$B$27:$E$29,2,MATCH('Project information'!$A$4,'For Finance Control'!$B$27:$E$27,0)))</f>
        <v>0</v>
      </c>
      <c r="T208" s="45">
        <f t="shared" si="248"/>
        <v>0</v>
      </c>
      <c r="U208" s="33" cm="1">
        <f t="array" ref="U208">IF($N208="NA","NA",$N208*INDEX('Exchange rate'!$A$1:$G$7,MATCH('Project information'!$A$13,'Exchange rate'!$A$1:$A$7,0),MATCH(LOOKUP(2,1/({"China";"Korea";"India";"Japan";"EUR";"NAO"}=$E208),{"CNY";"KRW";"INR";"JPY";"EUR";"USD"}),'Exchange rate'!$A$1:$G$1,0)))</f>
        <v>71655</v>
      </c>
      <c r="V208" s="33">
        <f t="shared" si="249"/>
        <v>0</v>
      </c>
      <c r="W208" s="33">
        <f t="shared" si="250"/>
        <v>0</v>
      </c>
      <c r="X208" s="33">
        <f t="shared" si="251"/>
        <v>0</v>
      </c>
      <c r="Y208" s="33">
        <f t="shared" si="252"/>
        <v>0</v>
      </c>
      <c r="Z208" s="33">
        <f t="shared" si="253"/>
        <v>0</v>
      </c>
      <c r="AA208" s="33">
        <f t="shared" si="255"/>
        <v>0</v>
      </c>
      <c r="AB208" s="246"/>
      <c r="AC208" s="247"/>
      <c r="AZ208" s="148" t="str">
        <f t="shared" si="256"/>
        <v>5.86</v>
      </c>
      <c r="BA208" s="149" t="s">
        <v>101</v>
      </c>
    </row>
    <row r="209" spans="1:53" ht="25" outlineLevel="1">
      <c r="A209" s="148" t="str">
        <f t="shared" si="254"/>
        <v>5.87</v>
      </c>
      <c r="B209" s="148" t="str">
        <f>INDEX('Standard cost - Testing'!$A$1:$N$497,MATCH(RIGHT($C209,4),'Standard cost - Testing'!$A$1:$A$497,0),3)</f>
        <v>LVE</v>
      </c>
      <c r="C209" s="149" t="str">
        <f>'Standard cost - Testing'!B88&amp;" - "&amp;'Standard cost - Testing'!A88</f>
        <v>EHRS  - E024</v>
      </c>
      <c r="D209" s="150" t="str">
        <f>IF(RIGHT(INDEX('Standard cost - Testing'!$A$1:$N$497,MATCH(RIGHT($C209,4),'Standard cost - Testing'!$A$1:$A$497,0),4),1)="]",INDEX('Standard cost - Testing'!$A$1:$N$497,MATCH(RIGHT($C209,4),'Standard cost - Testing'!$A$1:$A$497,0),4),IF(INDEX('Standard cost - Testing'!$A$1:$N$497,MATCH(RIGHT($C209,4),'Standard cost - Testing'!$A$1:$A$497,0),10)=1,INDEX('Standard cost - Testing'!$A$1:$N$497,MATCH(RIGHT($C209,4),'Standard cost - Testing'!$A$1:$A$497,0),4)&amp;" [1 part]",INDEX('Standard cost - Testing'!$A$1:$N$497,MATCH(RIGHT($C209,4),'Standard cost - Testing'!$A$1:$A$497,0),4)&amp;" ["&amp;INDEX('Standard cost - Testing'!$A$1:$N$497,MATCH(RIGHT($C209,4),'Standard cost - Testing'!$A$1:$A$497,0),10)&amp;" parts]"))</f>
        <v>Light impact (660,000) in Pressure fatigue before heavy impact [2 parts]</v>
      </c>
      <c r="E209" s="51" t="str">
        <f>IF('Project information'!$A$4="","",'Project information'!$A$4)</f>
        <v>China</v>
      </c>
      <c r="F209" s="149" t="str">
        <f>INDEX('Standard cost - Testing'!$A$1:$N$497,MATCH(RIGHT($C209,4),'Standard cost - Testing'!$A$1:$A$497,0),5)</f>
        <v>HMC</v>
      </c>
      <c r="G209" s="149">
        <f>IF($E209='Standard cost - Testing'!$F$1,INDEX('Standard cost - Testing'!$A$1:$N$497,MATCH(RIGHT($C209,4),'Standard cost - Testing'!$A$1:$A$497,0),6),INDEX('Standard cost - Testing'!$A$1:$N$497,MATCH(RIGHT($C209,4),'Standard cost - Testing'!$A$1:$A$497,0),7))</f>
        <v>0</v>
      </c>
      <c r="H209" s="46"/>
      <c r="I209" s="46"/>
      <c r="J209" s="46"/>
      <c r="K209" s="46"/>
      <c r="L209" s="46"/>
      <c r="M209" s="33">
        <f t="shared" si="247"/>
        <v>0</v>
      </c>
      <c r="N209" s="157">
        <f>IF(E209="","",IF(ISERROR(INDEX('Standard cost - Testing'!$A$1:$N$497,MATCH(RIGHT($C209,4),'Standard cost - Testing'!$A$1:$A$497,0),MATCH($E209,'Standard cost - Testing'!$K$1:$N$1,0)+10)),"NA",INDEX('Standard cost - Testing'!$A$1:$N$497,MATCH(RIGHT($C209,4),'Standard cost - Testing'!$A$1:$A$497,0),MATCH($E209,'Standard cost - Testing'!$K$1:$N$1,0)+10)))</f>
        <v>149634</v>
      </c>
      <c r="O209" s="45">
        <f>IF(OR(ISERROR($N209),$N209="",$N209="NA"),0,H209*$N209)*(1+INDEX('For Finance Control'!$B$27:$E$29,2,MATCH('Project information'!$A$4,'For Finance Control'!$B$27:$E$27,0)))</f>
        <v>0</v>
      </c>
      <c r="P209" s="45">
        <f>IF(OR(ISERROR($N209),$N209="",$N209="NA"),0,I209*$N209)*(1+INDEX('For Finance Control'!$B$27:$E$29,2,MATCH('Project information'!$A$4,'For Finance Control'!$B$27:$E$27,0)))</f>
        <v>0</v>
      </c>
      <c r="Q209" s="45">
        <f>IF(OR(ISERROR($N209),$N209="",$N209="NA"),0,J209*$N209)*(1+INDEX('For Finance Control'!$B$27:$E$29,2,MATCH('Project information'!$A$4,'For Finance Control'!$B$27:$E$27,0)))</f>
        <v>0</v>
      </c>
      <c r="R209" s="45">
        <f>IF(OR(ISERROR($N209),$N209="",$N209="NA"),0,K209*$N209)*(1+INDEX('For Finance Control'!$B$27:$E$29,2,MATCH('Project information'!$A$4,'For Finance Control'!$B$27:$E$27,0)))</f>
        <v>0</v>
      </c>
      <c r="S209" s="45">
        <f>IF(OR(ISERROR($N209),$N209="",$N209="NA"),0,L209*$N209)*(1+INDEX('For Finance Control'!$B$27:$E$29,2,MATCH('Project information'!$A$4,'For Finance Control'!$B$27:$E$27,0)))</f>
        <v>0</v>
      </c>
      <c r="T209" s="45">
        <f t="shared" si="248"/>
        <v>0</v>
      </c>
      <c r="U209" s="33" cm="1">
        <f t="array" ref="U209">IF($N209="NA","NA",$N209*INDEX('Exchange rate'!$A$1:$G$7,MATCH('Project information'!$A$13,'Exchange rate'!$A$1:$A$7,0),MATCH(LOOKUP(2,1/({"China";"Korea";"India";"Japan";"EUR";"NAO"}=$E209),{"CNY";"KRW";"INR";"JPY";"EUR";"USD"}),'Exchange rate'!$A$1:$G$1,0)))</f>
        <v>149634</v>
      </c>
      <c r="V209" s="33">
        <f t="shared" si="249"/>
        <v>0</v>
      </c>
      <c r="W209" s="33">
        <f t="shared" si="250"/>
        <v>0</v>
      </c>
      <c r="X209" s="33">
        <f t="shared" si="251"/>
        <v>0</v>
      </c>
      <c r="Y209" s="33">
        <f t="shared" si="252"/>
        <v>0</v>
      </c>
      <c r="Z209" s="33">
        <f t="shared" si="253"/>
        <v>0</v>
      </c>
      <c r="AA209" s="33">
        <f t="shared" si="255"/>
        <v>0</v>
      </c>
      <c r="AB209" s="246"/>
      <c r="AC209" s="247"/>
      <c r="AZ209" s="148" t="str">
        <f t="shared" si="256"/>
        <v>5.87</v>
      </c>
      <c r="BA209" s="149" t="s">
        <v>101</v>
      </c>
    </row>
    <row r="210" spans="1:53" ht="25" outlineLevel="1">
      <c r="A210" s="148" t="str">
        <f t="shared" si="254"/>
        <v>5.88</v>
      </c>
      <c r="B210" s="148" t="str">
        <f>INDEX('Standard cost - Testing'!$A$1:$N$497,MATCH(RIGHT($C210,4),'Standard cost - Testing'!$A$1:$A$497,0),3)</f>
        <v>LVE</v>
      </c>
      <c r="C210" s="149" t="str">
        <f>'Standard cost - Testing'!B89&amp;" - "&amp;'Standard cost - Testing'!A89</f>
        <v>EHRS  - E025</v>
      </c>
      <c r="D210" s="150" t="str">
        <f>IF(RIGHT(INDEX('Standard cost - Testing'!$A$1:$N$497,MATCH(RIGHT($C210,4),'Standard cost - Testing'!$A$1:$A$497,0),4),1)="]",INDEX('Standard cost - Testing'!$A$1:$N$497,MATCH(RIGHT($C210,4),'Standard cost - Testing'!$A$1:$A$497,0),4),IF(INDEX('Standard cost - Testing'!$A$1:$N$497,MATCH(RIGHT($C210,4),'Standard cost - Testing'!$A$1:$A$497,0),10)=1,INDEX('Standard cost - Testing'!$A$1:$N$497,MATCH(RIGHT($C210,4),'Standard cost - Testing'!$A$1:$A$497,0),4)&amp;" [1 part]",INDEX('Standard cost - Testing'!$A$1:$N$497,MATCH(RIGHT($C210,4),'Standard cost - Testing'!$A$1:$A$497,0),4)&amp;" ["&amp;INDEX('Standard cost - Testing'!$A$1:$N$497,MATCH(RIGHT($C210,4),'Standard cost - Testing'!$A$1:$A$497,0),10)&amp;" parts]"))</f>
        <v>Heavy impact in Pressure fatigue after shaker testing [4 parts]</v>
      </c>
      <c r="E210" s="51" t="str">
        <f>IF('Project information'!$A$4="","",'Project information'!$A$4)</f>
        <v>China</v>
      </c>
      <c r="F210" s="149" t="str">
        <f>INDEX('Standard cost - Testing'!$A$1:$N$497,MATCH(RIGHT($C210,4),'Standard cost - Testing'!$A$1:$A$497,0),5)</f>
        <v>HMC</v>
      </c>
      <c r="G210" s="149">
        <f>IF($E210='Standard cost - Testing'!$F$1,INDEX('Standard cost - Testing'!$A$1:$N$497,MATCH(RIGHT($C210,4),'Standard cost - Testing'!$A$1:$A$497,0),6),INDEX('Standard cost - Testing'!$A$1:$N$497,MATCH(RIGHT($C210,4),'Standard cost - Testing'!$A$1:$A$497,0),7))</f>
        <v>0</v>
      </c>
      <c r="H210" s="46"/>
      <c r="I210" s="46"/>
      <c r="J210" s="46"/>
      <c r="K210" s="46"/>
      <c r="L210" s="46"/>
      <c r="M210" s="33">
        <f t="shared" si="247"/>
        <v>0</v>
      </c>
      <c r="N210" s="157" t="str">
        <f>IF(E210="","",IF(ISERROR(INDEX('Standard cost - Testing'!$A$1:$N$497,MATCH(RIGHT($C210,4),'Standard cost - Testing'!$A$1:$A$497,0),MATCH($E210,'Standard cost - Testing'!$K$1:$N$1,0)+10)),"NA",INDEX('Standard cost - Testing'!$A$1:$N$497,MATCH(RIGHT($C210,4),'Standard cost - Testing'!$A$1:$A$497,0),MATCH($E210,'Standard cost - Testing'!$K$1:$N$1,0)+10)))</f>
        <v>NA</v>
      </c>
      <c r="O210" s="45">
        <f>IF(OR(ISERROR($N210),$N210="",$N210="NA"),0,H210*$N210)*(1+INDEX('For Finance Control'!$B$27:$E$29,2,MATCH('Project information'!$A$4,'For Finance Control'!$B$27:$E$27,0)))</f>
        <v>0</v>
      </c>
      <c r="P210" s="45">
        <f>IF(OR(ISERROR($N210),$N210="",$N210="NA"),0,I210*$N210)*(1+INDEX('For Finance Control'!$B$27:$E$29,2,MATCH('Project information'!$A$4,'For Finance Control'!$B$27:$E$27,0)))</f>
        <v>0</v>
      </c>
      <c r="Q210" s="45">
        <f>IF(OR(ISERROR($N210),$N210="",$N210="NA"),0,J210*$N210)*(1+INDEX('For Finance Control'!$B$27:$E$29,2,MATCH('Project information'!$A$4,'For Finance Control'!$B$27:$E$27,0)))</f>
        <v>0</v>
      </c>
      <c r="R210" s="45">
        <f>IF(OR(ISERROR($N210),$N210="",$N210="NA"),0,K210*$N210)*(1+INDEX('For Finance Control'!$B$27:$E$29,2,MATCH('Project information'!$A$4,'For Finance Control'!$B$27:$E$27,0)))</f>
        <v>0</v>
      </c>
      <c r="S210" s="45">
        <f>IF(OR(ISERROR($N210),$N210="",$N210="NA"),0,L210*$N210)*(1+INDEX('For Finance Control'!$B$27:$E$29,2,MATCH('Project information'!$A$4,'For Finance Control'!$B$27:$E$27,0)))</f>
        <v>0</v>
      </c>
      <c r="T210" s="45">
        <f t="shared" si="248"/>
        <v>0</v>
      </c>
      <c r="U210" s="33" t="str" cm="1">
        <f t="array" ref="U210">IF($N210="NA","NA",$N210*INDEX('Exchange rate'!$A$1:$G$7,MATCH('Project information'!$A$13,'Exchange rate'!$A$1:$A$7,0),MATCH(LOOKUP(2,1/({"China";"Korea";"India";"Japan";"EUR";"NAO"}=$E210),{"CNY";"KRW";"INR";"JPY";"EUR";"USD"}),'Exchange rate'!$A$1:$G$1,0)))</f>
        <v>NA</v>
      </c>
      <c r="V210" s="33">
        <f t="shared" si="249"/>
        <v>0</v>
      </c>
      <c r="W210" s="33">
        <f t="shared" si="250"/>
        <v>0</v>
      </c>
      <c r="X210" s="33">
        <f t="shared" si="251"/>
        <v>0</v>
      </c>
      <c r="Y210" s="33">
        <f t="shared" si="252"/>
        <v>0</v>
      </c>
      <c r="Z210" s="33">
        <f t="shared" si="253"/>
        <v>0</v>
      </c>
      <c r="AA210" s="33">
        <f t="shared" si="255"/>
        <v>0</v>
      </c>
      <c r="AB210" s="246"/>
      <c r="AC210" s="247"/>
      <c r="AZ210" s="148" t="str">
        <f t="shared" si="256"/>
        <v>5.88</v>
      </c>
      <c r="BA210" s="149" t="s">
        <v>101</v>
      </c>
    </row>
    <row r="211" spans="1:53" ht="25" outlineLevel="1">
      <c r="A211" s="148" t="str">
        <f t="shared" si="254"/>
        <v>5.89</v>
      </c>
      <c r="B211" s="148" t="str">
        <f>INDEX('Standard cost - Testing'!$A$1:$N$497,MATCH(RIGHT($C211,4),'Standard cost - Testing'!$A$1:$A$497,0),3)</f>
        <v>LVE</v>
      </c>
      <c r="C211" s="149" t="str">
        <f>'Standard cost - Testing'!B90&amp;" - "&amp;'Standard cost - Testing'!A90</f>
        <v>EHRS  - E026</v>
      </c>
      <c r="D211" s="150" t="str">
        <f>IF(RIGHT(INDEX('Standard cost - Testing'!$A$1:$N$497,MATCH(RIGHT($C211,4),'Standard cost - Testing'!$A$1:$A$497,0),4),1)="]",INDEX('Standard cost - Testing'!$A$1:$N$497,MATCH(RIGHT($C211,4),'Standard cost - Testing'!$A$1:$A$497,0),4),IF(INDEX('Standard cost - Testing'!$A$1:$N$497,MATCH(RIGHT($C211,4),'Standard cost - Testing'!$A$1:$A$497,0),10)=1,INDEX('Standard cost - Testing'!$A$1:$N$497,MATCH(RIGHT($C211,4),'Standard cost - Testing'!$A$1:$A$497,0),4)&amp;" [1 part]",INDEX('Standard cost - Testing'!$A$1:$N$497,MATCH(RIGHT($C211,4),'Standard cost - Testing'!$A$1:$A$497,0),4)&amp;" ["&amp;INDEX('Standard cost - Testing'!$A$1:$N$497,MATCH(RIGHT($C211,4),'Standard cost - Testing'!$A$1:$A$497,0),10)&amp;" parts]"))</f>
        <v>Integrated corrosion environment test [3 parts]</v>
      </c>
      <c r="E211" s="51" t="str">
        <f>IF('Project information'!$A$4="","",'Project information'!$A$4)</f>
        <v>China</v>
      </c>
      <c r="F211" s="149" t="str">
        <f>INDEX('Standard cost - Testing'!$A$1:$N$497,MATCH(RIGHT($C211,4),'Standard cost - Testing'!$A$1:$A$497,0),5)</f>
        <v>HMC</v>
      </c>
      <c r="G211" s="149">
        <f>IF($E211='Standard cost - Testing'!$F$1,INDEX('Standard cost - Testing'!$A$1:$N$497,MATCH(RIGHT($C211,4),'Standard cost - Testing'!$A$1:$A$497,0),6),INDEX('Standard cost - Testing'!$A$1:$N$497,MATCH(RIGHT($C211,4),'Standard cost - Testing'!$A$1:$A$497,0),7))</f>
        <v>0</v>
      </c>
      <c r="H211" s="46"/>
      <c r="I211" s="46"/>
      <c r="J211" s="46"/>
      <c r="K211" s="46"/>
      <c r="L211" s="46"/>
      <c r="M211" s="33">
        <f t="shared" si="247"/>
        <v>0</v>
      </c>
      <c r="N211" s="157">
        <f>IF(E211="","",IF(ISERROR(INDEX('Standard cost - Testing'!$A$1:$N$497,MATCH(RIGHT($C211,4),'Standard cost - Testing'!$A$1:$A$497,0),MATCH($E211,'Standard cost - Testing'!$K$1:$N$1,0)+10)),"NA",INDEX('Standard cost - Testing'!$A$1:$N$497,MATCH(RIGHT($C211,4),'Standard cost - Testing'!$A$1:$A$497,0),MATCH($E211,'Standard cost - Testing'!$K$1:$N$1,0)+10)))</f>
        <v>98731.5</v>
      </c>
      <c r="O211" s="45">
        <f>IF(OR(ISERROR($N211),$N211="",$N211="NA"),0,H211*$N211)*(1+INDEX('For Finance Control'!$B$27:$E$29,2,MATCH('Project information'!$A$4,'For Finance Control'!$B$27:$E$27,0)))</f>
        <v>0</v>
      </c>
      <c r="P211" s="45">
        <f>IF(OR(ISERROR($N211),$N211="",$N211="NA"),0,I211*$N211)*(1+INDEX('For Finance Control'!$B$27:$E$29,2,MATCH('Project information'!$A$4,'For Finance Control'!$B$27:$E$27,0)))</f>
        <v>0</v>
      </c>
      <c r="Q211" s="45">
        <f>IF(OR(ISERROR($N211),$N211="",$N211="NA"),0,J211*$N211)*(1+INDEX('For Finance Control'!$B$27:$E$29,2,MATCH('Project information'!$A$4,'For Finance Control'!$B$27:$E$27,0)))</f>
        <v>0</v>
      </c>
      <c r="R211" s="45">
        <f>IF(OR(ISERROR($N211),$N211="",$N211="NA"),0,K211*$N211)*(1+INDEX('For Finance Control'!$B$27:$E$29,2,MATCH('Project information'!$A$4,'For Finance Control'!$B$27:$E$27,0)))</f>
        <v>0</v>
      </c>
      <c r="S211" s="45">
        <f>IF(OR(ISERROR($N211),$N211="",$N211="NA"),0,L211*$N211)*(1+INDEX('For Finance Control'!$B$27:$E$29,2,MATCH('Project information'!$A$4,'For Finance Control'!$B$27:$E$27,0)))</f>
        <v>0</v>
      </c>
      <c r="T211" s="45">
        <f t="shared" si="248"/>
        <v>0</v>
      </c>
      <c r="U211" s="33" cm="1">
        <f t="array" ref="U211">IF($N211="NA","NA",$N211*INDEX('Exchange rate'!$A$1:$G$7,MATCH('Project information'!$A$13,'Exchange rate'!$A$1:$A$7,0),MATCH(LOOKUP(2,1/({"China";"Korea";"India";"Japan";"EUR";"NAO"}=$E211),{"CNY";"KRW";"INR";"JPY";"EUR";"USD"}),'Exchange rate'!$A$1:$G$1,0)))</f>
        <v>98731.5</v>
      </c>
      <c r="V211" s="33">
        <f t="shared" si="249"/>
        <v>0</v>
      </c>
      <c r="W211" s="33">
        <f t="shared" si="250"/>
        <v>0</v>
      </c>
      <c r="X211" s="33">
        <f t="shared" si="251"/>
        <v>0</v>
      </c>
      <c r="Y211" s="33">
        <f t="shared" si="252"/>
        <v>0</v>
      </c>
      <c r="Z211" s="33">
        <f t="shared" si="253"/>
        <v>0</v>
      </c>
      <c r="AA211" s="33">
        <f t="shared" si="255"/>
        <v>0</v>
      </c>
      <c r="AB211" s="246"/>
      <c r="AC211" s="247"/>
      <c r="AZ211" s="148" t="str">
        <f t="shared" si="256"/>
        <v>5.89</v>
      </c>
      <c r="BA211" s="149" t="s">
        <v>101</v>
      </c>
    </row>
    <row r="212" spans="1:53" ht="25" outlineLevel="1">
      <c r="A212" s="148" t="str">
        <f t="shared" si="254"/>
        <v>5.90</v>
      </c>
      <c r="B212" s="148" t="str">
        <f>INDEX('Standard cost - Testing'!$A$1:$N$497,MATCH(RIGHT($C212,4),'Standard cost - Testing'!$A$1:$A$497,0),3)</f>
        <v>LVE</v>
      </c>
      <c r="C212" s="149" t="str">
        <f>'Standard cost - Testing'!B91&amp;" - "&amp;'Standard cost - Testing'!A91</f>
        <v>EHRS  - E027</v>
      </c>
      <c r="D212" s="150" t="str">
        <f>IF(RIGHT(INDEX('Standard cost - Testing'!$A$1:$N$497,MATCH(RIGHT($C212,4),'Standard cost - Testing'!$A$1:$A$497,0),4),1)="]",INDEX('Standard cost - Testing'!$A$1:$N$497,MATCH(RIGHT($C212,4),'Standard cost - Testing'!$A$1:$A$497,0),4),IF(INDEX('Standard cost - Testing'!$A$1:$N$497,MATCH(RIGHT($C212,4),'Standard cost - Testing'!$A$1:$A$497,0),10)=1,INDEX('Standard cost - Testing'!$A$1:$N$497,MATCH(RIGHT($C212,4),'Standard cost - Testing'!$A$1:$A$497,0),4)&amp;" [1 part]",INDEX('Standard cost - Testing'!$A$1:$N$497,MATCH(RIGHT($C212,4),'Standard cost - Testing'!$A$1:$A$497,0),4)&amp;" ["&amp;INDEX('Standard cost - Testing'!$A$1:$N$497,MATCH(RIGHT($C212,4),'Standard cost - Testing'!$A$1:$A$497,0),10)&amp;" parts]"))</f>
        <v>High way mode in High temperature durability [2 parts]</v>
      </c>
      <c r="E212" s="51" t="str">
        <f>IF('Project information'!$A$4="","",'Project information'!$A$4)</f>
        <v>China</v>
      </c>
      <c r="F212" s="149" t="str">
        <f>INDEX('Standard cost - Testing'!$A$1:$N$497,MATCH(RIGHT($C212,4),'Standard cost - Testing'!$A$1:$A$497,0),5)</f>
        <v>HMC</v>
      </c>
      <c r="G212" s="149">
        <f>IF($E212='Standard cost - Testing'!$F$1,INDEX('Standard cost - Testing'!$A$1:$N$497,MATCH(RIGHT($C212,4),'Standard cost - Testing'!$A$1:$A$497,0),6),INDEX('Standard cost - Testing'!$A$1:$N$497,MATCH(RIGHT($C212,4),'Standard cost - Testing'!$A$1:$A$497,0),7))</f>
        <v>0</v>
      </c>
      <c r="H212" s="46"/>
      <c r="I212" s="46"/>
      <c r="J212" s="46"/>
      <c r="K212" s="46"/>
      <c r="L212" s="46"/>
      <c r="M212" s="33">
        <f t="shared" ref="M212" si="257">SUM(H212:L212)</f>
        <v>0</v>
      </c>
      <c r="N212" s="157" t="str">
        <f>IF(E212="","",IF(ISERROR(INDEX('Standard cost - Testing'!$A$1:$N$497,MATCH(RIGHT($C212,4),'Standard cost - Testing'!$A$1:$A$497,0),MATCH($E212,'Standard cost - Testing'!$K$1:$N$1,0)+10)),"NA",INDEX('Standard cost - Testing'!$A$1:$N$497,MATCH(RIGHT($C212,4),'Standard cost - Testing'!$A$1:$A$497,0),MATCH($E212,'Standard cost - Testing'!$K$1:$N$1,0)+10)))</f>
        <v>NA</v>
      </c>
      <c r="O212" s="45">
        <f>IF(OR(ISERROR($N212),$N212="",$N212="NA"),0,H212*$N212)*(1+INDEX('For Finance Control'!$B$27:$E$29,2,MATCH('Project information'!$A$4,'For Finance Control'!$B$27:$E$27,0)))</f>
        <v>0</v>
      </c>
      <c r="P212" s="45">
        <f>IF(OR(ISERROR($N212),$N212="",$N212="NA"),0,I212*$N212)*(1+INDEX('For Finance Control'!$B$27:$E$29,2,MATCH('Project information'!$A$4,'For Finance Control'!$B$27:$E$27,0)))</f>
        <v>0</v>
      </c>
      <c r="Q212" s="45">
        <f>IF(OR(ISERROR($N212),$N212="",$N212="NA"),0,J212*$N212)*(1+INDEX('For Finance Control'!$B$27:$E$29,2,MATCH('Project information'!$A$4,'For Finance Control'!$B$27:$E$27,0)))</f>
        <v>0</v>
      </c>
      <c r="R212" s="45">
        <f>IF(OR(ISERROR($N212),$N212="",$N212="NA"),0,K212*$N212)*(1+INDEX('For Finance Control'!$B$27:$E$29,2,MATCH('Project information'!$A$4,'For Finance Control'!$B$27:$E$27,0)))</f>
        <v>0</v>
      </c>
      <c r="S212" s="45">
        <f>IF(OR(ISERROR($N212),$N212="",$N212="NA"),0,L212*$N212)*(1+INDEX('For Finance Control'!$B$27:$E$29,2,MATCH('Project information'!$A$4,'For Finance Control'!$B$27:$E$27,0)))</f>
        <v>0</v>
      </c>
      <c r="T212" s="45">
        <f t="shared" si="248"/>
        <v>0</v>
      </c>
      <c r="U212" s="33" t="str" cm="1">
        <f t="array" ref="U212">IF($N212="NA","NA",$N212*INDEX('Exchange rate'!$A$1:$G$7,MATCH('Project information'!$A$13,'Exchange rate'!$A$1:$A$7,0),MATCH(LOOKUP(2,1/({"China";"Korea";"India";"Japan";"EUR";"NAO"}=$E212),{"CNY";"KRW";"INR";"JPY";"EUR";"USD"}),'Exchange rate'!$A$1:$G$1,0)))</f>
        <v>NA</v>
      </c>
      <c r="V212" s="33">
        <f t="shared" si="249"/>
        <v>0</v>
      </c>
      <c r="W212" s="33">
        <f t="shared" si="250"/>
        <v>0</v>
      </c>
      <c r="X212" s="33">
        <f t="shared" si="251"/>
        <v>0</v>
      </c>
      <c r="Y212" s="33">
        <f t="shared" si="252"/>
        <v>0</v>
      </c>
      <c r="Z212" s="33">
        <f t="shared" si="253"/>
        <v>0</v>
      </c>
      <c r="AA212" s="33">
        <f t="shared" si="255"/>
        <v>0</v>
      </c>
      <c r="AB212" s="246"/>
      <c r="AC212" s="247"/>
      <c r="AZ212" s="148" t="str">
        <f t="shared" si="256"/>
        <v>5.90</v>
      </c>
      <c r="BA212" s="149" t="s">
        <v>101</v>
      </c>
    </row>
    <row r="213" spans="1:53" ht="25" outlineLevel="1">
      <c r="A213" s="148" t="str">
        <f t="shared" si="254"/>
        <v>5.91</v>
      </c>
      <c r="B213" s="148" t="str">
        <f>INDEX('Standard cost - Testing'!$A$1:$N$497,MATCH(RIGHT($C213,4),'Standard cost - Testing'!$A$1:$A$497,0),3)</f>
        <v>LVE</v>
      </c>
      <c r="C213" s="149" t="str">
        <f>'Standard cost - Testing'!B92&amp;" - "&amp;'Standard cost - Testing'!A92</f>
        <v>EHRS  - E028</v>
      </c>
      <c r="D213" s="150" t="str">
        <f>IF(RIGHT(INDEX('Standard cost - Testing'!$A$1:$N$497,MATCH(RIGHT($C213,4),'Standard cost - Testing'!$A$1:$A$497,0),4),1)="]",INDEX('Standard cost - Testing'!$A$1:$N$497,MATCH(RIGHT($C213,4),'Standard cost - Testing'!$A$1:$A$497,0),4),IF(INDEX('Standard cost - Testing'!$A$1:$N$497,MATCH(RIGHT($C213,4),'Standard cost - Testing'!$A$1:$A$497,0),10)=1,INDEX('Standard cost - Testing'!$A$1:$N$497,MATCH(RIGHT($C213,4),'Standard cost - Testing'!$A$1:$A$497,0),4)&amp;" [1 part]",INDEX('Standard cost - Testing'!$A$1:$N$497,MATCH(RIGHT($C213,4),'Standard cost - Testing'!$A$1:$A$497,0),4)&amp;" ["&amp;INDEX('Standard cost - Testing'!$A$1:$N$497,MATCH(RIGHT($C213,4),'Standard cost - Testing'!$A$1:$A$497,0),10)&amp;" parts]"))</f>
        <v>Low temp. durability test and environment [2 parts]</v>
      </c>
      <c r="E213" s="51" t="str">
        <f>IF('Project information'!$A$4="","",'Project information'!$A$4)</f>
        <v>China</v>
      </c>
      <c r="F213" s="149" t="str">
        <f>INDEX('Standard cost - Testing'!$A$1:$N$497,MATCH(RIGHT($C213,4),'Standard cost - Testing'!$A$1:$A$497,0),5)</f>
        <v>HMC</v>
      </c>
      <c r="G213" s="149">
        <f>IF($E213='Standard cost - Testing'!$F$1,INDEX('Standard cost - Testing'!$A$1:$N$497,MATCH(RIGHT($C213,4),'Standard cost - Testing'!$A$1:$A$497,0),6),INDEX('Standard cost - Testing'!$A$1:$N$497,MATCH(RIGHT($C213,4),'Standard cost - Testing'!$A$1:$A$497,0),7))</f>
        <v>0</v>
      </c>
      <c r="H213" s="46"/>
      <c r="I213" s="46"/>
      <c r="J213" s="46"/>
      <c r="K213" s="46"/>
      <c r="L213" s="46"/>
      <c r="M213" s="33">
        <f t="shared" ref="M213" si="258">SUM(H213:L213)</f>
        <v>0</v>
      </c>
      <c r="N213" s="157" t="str">
        <f>IF(E213="","",IF(ISERROR(INDEX('Standard cost - Testing'!$A$1:$N$497,MATCH(RIGHT($C213,4),'Standard cost - Testing'!$A$1:$A$497,0),MATCH($E213,'Standard cost - Testing'!$K$1:$N$1,0)+10)),"NA",INDEX('Standard cost - Testing'!$A$1:$N$497,MATCH(RIGHT($C213,4),'Standard cost - Testing'!$A$1:$A$497,0),MATCH($E213,'Standard cost - Testing'!$K$1:$N$1,0)+10)))</f>
        <v>NA</v>
      </c>
      <c r="O213" s="45">
        <f>IF(OR(ISERROR($N213),$N213="",$N213="NA"),0,H213*$N213)*(1+INDEX('For Finance Control'!$B$27:$E$29,2,MATCH('Project information'!$A$4,'For Finance Control'!$B$27:$E$27,0)))</f>
        <v>0</v>
      </c>
      <c r="P213" s="45">
        <f>IF(OR(ISERROR($N213),$N213="",$N213="NA"),0,I213*$N213)*(1+INDEX('For Finance Control'!$B$27:$E$29,2,MATCH('Project information'!$A$4,'For Finance Control'!$B$27:$E$27,0)))</f>
        <v>0</v>
      </c>
      <c r="Q213" s="45">
        <f>IF(OR(ISERROR($N213),$N213="",$N213="NA"),0,J213*$N213)*(1+INDEX('For Finance Control'!$B$27:$E$29,2,MATCH('Project information'!$A$4,'For Finance Control'!$B$27:$E$27,0)))</f>
        <v>0</v>
      </c>
      <c r="R213" s="45">
        <f>IF(OR(ISERROR($N213),$N213="",$N213="NA"),0,K213*$N213)*(1+INDEX('For Finance Control'!$B$27:$E$29,2,MATCH('Project information'!$A$4,'For Finance Control'!$B$27:$E$27,0)))</f>
        <v>0</v>
      </c>
      <c r="S213" s="45">
        <f>IF(OR(ISERROR($N213),$N213="",$N213="NA"),0,L213*$N213)*(1+INDEX('For Finance Control'!$B$27:$E$29,2,MATCH('Project information'!$A$4,'For Finance Control'!$B$27:$E$27,0)))</f>
        <v>0</v>
      </c>
      <c r="T213" s="45">
        <f t="shared" si="248"/>
        <v>0</v>
      </c>
      <c r="U213" s="33" t="str" cm="1">
        <f t="array" ref="U213">IF($N213="NA","NA",$N213*INDEX('Exchange rate'!$A$1:$G$7,MATCH('Project information'!$A$13,'Exchange rate'!$A$1:$A$7,0),MATCH(LOOKUP(2,1/({"China";"Korea";"India";"Japan";"EUR";"NAO"}=$E213),{"CNY";"KRW";"INR";"JPY";"EUR";"USD"}),'Exchange rate'!$A$1:$G$1,0)))</f>
        <v>NA</v>
      </c>
      <c r="V213" s="33">
        <f t="shared" si="249"/>
        <v>0</v>
      </c>
      <c r="W213" s="33">
        <f t="shared" si="250"/>
        <v>0</v>
      </c>
      <c r="X213" s="33">
        <f t="shared" si="251"/>
        <v>0</v>
      </c>
      <c r="Y213" s="33">
        <f t="shared" si="252"/>
        <v>0</v>
      </c>
      <c r="Z213" s="33">
        <f t="shared" si="253"/>
        <v>0</v>
      </c>
      <c r="AA213" s="33">
        <f t="shared" si="255"/>
        <v>0</v>
      </c>
      <c r="AB213" s="246"/>
      <c r="AC213" s="247"/>
      <c r="AZ213" s="148" t="str">
        <f t="shared" si="256"/>
        <v>5.91</v>
      </c>
      <c r="BA213" s="149" t="s">
        <v>101</v>
      </c>
    </row>
    <row r="214" spans="1:53" ht="25" outlineLevel="1">
      <c r="A214" s="148" t="str">
        <f t="shared" si="254"/>
        <v>5.92</v>
      </c>
      <c r="B214" s="148" t="str">
        <f>INDEX('Standard cost - Testing'!$A$1:$N$497,MATCH(RIGHT($C214,4),'Standard cost - Testing'!$A$1:$A$497,0),3)</f>
        <v>LVE</v>
      </c>
      <c r="C214" s="149" t="str">
        <f>'Standard cost - Testing'!B93&amp;" - "&amp;'Standard cost - Testing'!A93</f>
        <v>EHRS  - E029</v>
      </c>
      <c r="D214" s="150" t="str">
        <f>IF(RIGHT(INDEX('Standard cost - Testing'!$A$1:$N$497,MATCH(RIGHT($C214,4),'Standard cost - Testing'!$A$1:$A$497,0),4),1)="]",INDEX('Standard cost - Testing'!$A$1:$N$497,MATCH(RIGHT($C214,4),'Standard cost - Testing'!$A$1:$A$497,0),4),IF(INDEX('Standard cost - Testing'!$A$1:$N$497,MATCH(RIGHT($C214,4),'Standard cost - Testing'!$A$1:$A$497,0),10)=1,INDEX('Standard cost - Testing'!$A$1:$N$497,MATCH(RIGHT($C214,4),'Standard cost - Testing'!$A$1:$A$497,0),4)&amp;" [1 part]",INDEX('Standard cost - Testing'!$A$1:$N$497,MATCH(RIGHT($C214,4),'Standard cost - Testing'!$A$1:$A$497,0),4)&amp;" ["&amp;INDEX('Standard cost - Testing'!$A$1:$N$497,MATCH(RIGHT($C214,4),'Standard cost - Testing'!$A$1:$A$497,0),10)&amp;" parts]"))</f>
        <v>Coolant frozen and condensate water frozen test [2 parts]</v>
      </c>
      <c r="E214" s="51" t="str">
        <f>IF('Project information'!$A$4="","",'Project information'!$A$4)</f>
        <v>China</v>
      </c>
      <c r="F214" s="149" t="str">
        <f>INDEX('Standard cost - Testing'!$A$1:$N$497,MATCH(RIGHT($C214,4),'Standard cost - Testing'!$A$1:$A$497,0),5)</f>
        <v>HMC</v>
      </c>
      <c r="G214" s="149">
        <f>IF($E214='Standard cost - Testing'!$F$1,INDEX('Standard cost - Testing'!$A$1:$N$497,MATCH(RIGHT($C214,4),'Standard cost - Testing'!$A$1:$A$497,0),6),INDEX('Standard cost - Testing'!$A$1:$N$497,MATCH(RIGHT($C214,4),'Standard cost - Testing'!$A$1:$A$497,0),7))</f>
        <v>0</v>
      </c>
      <c r="H214" s="46"/>
      <c r="I214" s="46"/>
      <c r="J214" s="46"/>
      <c r="K214" s="46"/>
      <c r="L214" s="46"/>
      <c r="M214" s="33">
        <f t="shared" ref="M214" si="259">SUM(H214:L214)</f>
        <v>0</v>
      </c>
      <c r="N214" s="157" t="str">
        <f>IF(E214="","",IF(ISERROR(INDEX('Standard cost - Testing'!$A$1:$N$497,MATCH(RIGHT($C214,4),'Standard cost - Testing'!$A$1:$A$497,0),MATCH($E214,'Standard cost - Testing'!$K$1:$N$1,0)+10)),"NA",INDEX('Standard cost - Testing'!$A$1:$N$497,MATCH(RIGHT($C214,4),'Standard cost - Testing'!$A$1:$A$497,0),MATCH($E214,'Standard cost - Testing'!$K$1:$N$1,0)+10)))</f>
        <v>NA</v>
      </c>
      <c r="O214" s="45">
        <f>IF(OR(ISERROR($N214),$N214="",$N214="NA"),0,H214*$N214)*(1+INDEX('For Finance Control'!$B$27:$E$29,2,MATCH('Project information'!$A$4,'For Finance Control'!$B$27:$E$27,0)))</f>
        <v>0</v>
      </c>
      <c r="P214" s="45">
        <f>IF(OR(ISERROR($N214),$N214="",$N214="NA"),0,I214*$N214)*(1+INDEX('For Finance Control'!$B$27:$E$29,2,MATCH('Project information'!$A$4,'For Finance Control'!$B$27:$E$27,0)))</f>
        <v>0</v>
      </c>
      <c r="Q214" s="45">
        <f>IF(OR(ISERROR($N214),$N214="",$N214="NA"),0,J214*$N214)*(1+INDEX('For Finance Control'!$B$27:$E$29,2,MATCH('Project information'!$A$4,'For Finance Control'!$B$27:$E$27,0)))</f>
        <v>0</v>
      </c>
      <c r="R214" s="45">
        <f>IF(OR(ISERROR($N214),$N214="",$N214="NA"),0,K214*$N214)*(1+INDEX('For Finance Control'!$B$27:$E$29,2,MATCH('Project information'!$A$4,'For Finance Control'!$B$27:$E$27,0)))</f>
        <v>0</v>
      </c>
      <c r="S214" s="45">
        <f>IF(OR(ISERROR($N214),$N214="",$N214="NA"),0,L214*$N214)*(1+INDEX('For Finance Control'!$B$27:$E$29,2,MATCH('Project information'!$A$4,'For Finance Control'!$B$27:$E$27,0)))</f>
        <v>0</v>
      </c>
      <c r="T214" s="45">
        <f t="shared" si="248"/>
        <v>0</v>
      </c>
      <c r="U214" s="33" t="str" cm="1">
        <f t="array" ref="U214">IF($N214="NA","NA",$N214*INDEX('Exchange rate'!$A$1:$G$7,MATCH('Project information'!$A$13,'Exchange rate'!$A$1:$A$7,0),MATCH(LOOKUP(2,1/({"China";"Korea";"India";"Japan";"EUR";"NAO"}=$E214),{"CNY";"KRW";"INR";"JPY";"EUR";"USD"}),'Exchange rate'!$A$1:$G$1,0)))</f>
        <v>NA</v>
      </c>
      <c r="V214" s="33">
        <f t="shared" si="249"/>
        <v>0</v>
      </c>
      <c r="W214" s="33">
        <f t="shared" si="250"/>
        <v>0</v>
      </c>
      <c r="X214" s="33">
        <f t="shared" si="251"/>
        <v>0</v>
      </c>
      <c r="Y214" s="33">
        <f t="shared" si="252"/>
        <v>0</v>
      </c>
      <c r="Z214" s="33">
        <f t="shared" si="253"/>
        <v>0</v>
      </c>
      <c r="AA214" s="33">
        <f t="shared" si="255"/>
        <v>0</v>
      </c>
      <c r="AB214" s="246"/>
      <c r="AC214" s="247"/>
      <c r="AZ214" s="148" t="str">
        <f t="shared" si="256"/>
        <v>5.92</v>
      </c>
      <c r="BA214" s="149" t="s">
        <v>101</v>
      </c>
    </row>
    <row r="215" spans="1:53" ht="25" outlineLevel="1">
      <c r="A215" s="148" t="str">
        <f t="shared" si="254"/>
        <v>5.93</v>
      </c>
      <c r="B215" s="148" t="str">
        <f>INDEX('Standard cost - Testing'!$A$1:$N$497,MATCH(RIGHT($C215,4),'Standard cost - Testing'!$A$1:$A$497,0),3)</f>
        <v>LVE</v>
      </c>
      <c r="C215" s="149" t="str">
        <f>'Standard cost - Testing'!B94&amp;" - "&amp;'Standard cost - Testing'!A94</f>
        <v>EHRS  - E030</v>
      </c>
      <c r="D215" s="150" t="str">
        <f>IF(RIGHT(INDEX('Standard cost - Testing'!$A$1:$N$497,MATCH(RIGHT($C215,4),'Standard cost - Testing'!$A$1:$A$497,0),4),1)="]",INDEX('Standard cost - Testing'!$A$1:$N$497,MATCH(RIGHT($C215,4),'Standard cost - Testing'!$A$1:$A$497,0),4),IF(INDEX('Standard cost - Testing'!$A$1:$N$497,MATCH(RIGHT($C215,4),'Standard cost - Testing'!$A$1:$A$497,0),10)=1,INDEX('Standard cost - Testing'!$A$1:$N$497,MATCH(RIGHT($C215,4),'Standard cost - Testing'!$A$1:$A$497,0),4)&amp;" [1 part]",INDEX('Standard cost - Testing'!$A$1:$N$497,MATCH(RIGHT($C215,4),'Standard cost - Testing'!$A$1:$A$497,0),4)&amp;" ["&amp;INDEX('Standard cost - Testing'!$A$1:$N$497,MATCH(RIGHT($C215,4),'Standard cost - Testing'!$A$1:$A$497,0),10)&amp;" parts]"))</f>
        <v>Gas pulsation/acceleration cycles on engine bench 800 cycles [2 parts]</v>
      </c>
      <c r="E215" s="51" t="str">
        <f>IF('Project information'!$A$4="","",'Project information'!$A$4)</f>
        <v>China</v>
      </c>
      <c r="F215" s="149" t="str">
        <f>INDEX('Standard cost - Testing'!$A$1:$N$497,MATCH(RIGHT($C215,4),'Standard cost - Testing'!$A$1:$A$497,0),5)</f>
        <v>HMC</v>
      </c>
      <c r="G215" s="149">
        <f>IF($E215='Standard cost - Testing'!$F$1,INDEX('Standard cost - Testing'!$A$1:$N$497,MATCH(RIGHT($C215,4),'Standard cost - Testing'!$A$1:$A$497,0),6),INDEX('Standard cost - Testing'!$A$1:$N$497,MATCH(RIGHT($C215,4),'Standard cost - Testing'!$A$1:$A$497,0),7))</f>
        <v>0</v>
      </c>
      <c r="H215" s="46"/>
      <c r="I215" s="46"/>
      <c r="J215" s="46"/>
      <c r="K215" s="46"/>
      <c r="L215" s="46"/>
      <c r="M215" s="33">
        <f t="shared" ref="M215" si="260">SUM(H215:L215)</f>
        <v>0</v>
      </c>
      <c r="N215" s="157" t="str">
        <f>IF(E215="","",IF(ISERROR(INDEX('Standard cost - Testing'!$A$1:$N$497,MATCH(RIGHT($C215,4),'Standard cost - Testing'!$A$1:$A$497,0),MATCH($E215,'Standard cost - Testing'!$K$1:$N$1,0)+10)),"NA",INDEX('Standard cost - Testing'!$A$1:$N$497,MATCH(RIGHT($C215,4),'Standard cost - Testing'!$A$1:$A$497,0),MATCH($E215,'Standard cost - Testing'!$K$1:$N$1,0)+10)))</f>
        <v>NA</v>
      </c>
      <c r="O215" s="45">
        <f>IF(OR(ISERROR($N215),$N215="",$N215="NA"),0,H215*$N215)*(1+INDEX('For Finance Control'!$B$27:$E$29,2,MATCH('Project information'!$A$4,'For Finance Control'!$B$27:$E$27,0)))</f>
        <v>0</v>
      </c>
      <c r="P215" s="45">
        <f>IF(OR(ISERROR($N215),$N215="",$N215="NA"),0,I215*$N215)*(1+INDEX('For Finance Control'!$B$27:$E$29,2,MATCH('Project information'!$A$4,'For Finance Control'!$B$27:$E$27,0)))</f>
        <v>0</v>
      </c>
      <c r="Q215" s="45">
        <f>IF(OR(ISERROR($N215),$N215="",$N215="NA"),0,J215*$N215)*(1+INDEX('For Finance Control'!$B$27:$E$29,2,MATCH('Project information'!$A$4,'For Finance Control'!$B$27:$E$27,0)))</f>
        <v>0</v>
      </c>
      <c r="R215" s="45">
        <f>IF(OR(ISERROR($N215),$N215="",$N215="NA"),0,K215*$N215)*(1+INDEX('For Finance Control'!$B$27:$E$29,2,MATCH('Project information'!$A$4,'For Finance Control'!$B$27:$E$27,0)))</f>
        <v>0</v>
      </c>
      <c r="S215" s="45">
        <f>IF(OR(ISERROR($N215),$N215="",$N215="NA"),0,L215*$N215)*(1+INDEX('For Finance Control'!$B$27:$E$29,2,MATCH('Project information'!$A$4,'For Finance Control'!$B$27:$E$27,0)))</f>
        <v>0</v>
      </c>
      <c r="T215" s="45">
        <f t="shared" si="248"/>
        <v>0</v>
      </c>
      <c r="U215" s="33" t="str" cm="1">
        <f t="array" ref="U215">IF($N215="NA","NA",$N215*INDEX('Exchange rate'!$A$1:$G$7,MATCH('Project information'!$A$13,'Exchange rate'!$A$1:$A$7,0),MATCH(LOOKUP(2,1/({"China";"Korea";"India";"Japan";"EUR";"NAO"}=$E215),{"CNY";"KRW";"INR";"JPY";"EUR";"USD"}),'Exchange rate'!$A$1:$G$1,0)))</f>
        <v>NA</v>
      </c>
      <c r="V215" s="33">
        <f t="shared" si="249"/>
        <v>0</v>
      </c>
      <c r="W215" s="33">
        <f t="shared" si="250"/>
        <v>0</v>
      </c>
      <c r="X215" s="33">
        <f t="shared" si="251"/>
        <v>0</v>
      </c>
      <c r="Y215" s="33">
        <f t="shared" si="252"/>
        <v>0</v>
      </c>
      <c r="Z215" s="33">
        <f t="shared" si="253"/>
        <v>0</v>
      </c>
      <c r="AA215" s="33">
        <f t="shared" si="255"/>
        <v>0</v>
      </c>
      <c r="AB215" s="246"/>
      <c r="AC215" s="247"/>
      <c r="AZ215" s="148" t="str">
        <f t="shared" si="256"/>
        <v>5.93</v>
      </c>
      <c r="BA215" s="149" t="s">
        <v>101</v>
      </c>
    </row>
    <row r="216" spans="1:53" ht="37.5" outlineLevel="1">
      <c r="A216" s="148" t="str">
        <f t="shared" si="254"/>
        <v>5.94</v>
      </c>
      <c r="B216" s="148" t="str">
        <f>INDEX('Standard cost - Testing'!$A$1:$N$497,MATCH(RIGHT($C216,4),'Standard cost - Testing'!$A$1:$A$497,0),3)</f>
        <v>LVE</v>
      </c>
      <c r="C216" s="149" t="str">
        <f>'Standard cost - Testing'!B95&amp;" - "&amp;'Standard cost - Testing'!A95</f>
        <v>EHRS  - E031</v>
      </c>
      <c r="D216" s="150" t="str">
        <f>IF(RIGHT(INDEX('Standard cost - Testing'!$A$1:$N$497,MATCH(RIGHT($C216,4),'Standard cost - Testing'!$A$1:$A$497,0),4),1)="]",INDEX('Standard cost - Testing'!$A$1:$N$497,MATCH(RIGHT($C216,4),'Standard cost - Testing'!$A$1:$A$497,0),4),IF(INDEX('Standard cost - Testing'!$A$1:$N$497,MATCH(RIGHT($C216,4),'Standard cost - Testing'!$A$1:$A$497,0),10)=1,INDEX('Standard cost - Testing'!$A$1:$N$497,MATCH(RIGHT($C216,4),'Standard cost - Testing'!$A$1:$A$497,0),4)&amp;" [1 part]",INDEX('Standard cost - Testing'!$A$1:$N$497,MATCH(RIGHT($C216,4),'Standard cost - Testing'!$A$1:$A$497,0),4)&amp;" ["&amp;INDEX('Standard cost - Testing'!$A$1:$N$497,MATCH(RIGHT($C216,4),'Standard cost - Testing'!$A$1:$A$497,0),10)&amp;" parts]"))</f>
        <v>Endurance test for valve on engine bench (with vacuum actuation) 73,000 cycles [3 parts]</v>
      </c>
      <c r="E216" s="51" t="str">
        <f>IF('Project information'!$A$4="","",'Project information'!$A$4)</f>
        <v>China</v>
      </c>
      <c r="F216" s="149" t="str">
        <f>INDEX('Standard cost - Testing'!$A$1:$N$497,MATCH(RIGHT($C216,4),'Standard cost - Testing'!$A$1:$A$497,0),5)</f>
        <v>HMC</v>
      </c>
      <c r="G216" s="149">
        <f>IF($E216='Standard cost - Testing'!$F$1,INDEX('Standard cost - Testing'!$A$1:$N$497,MATCH(RIGHT($C216,4),'Standard cost - Testing'!$A$1:$A$497,0),6),INDEX('Standard cost - Testing'!$A$1:$N$497,MATCH(RIGHT($C216,4),'Standard cost - Testing'!$A$1:$A$497,0),7))</f>
        <v>0</v>
      </c>
      <c r="H216" s="46"/>
      <c r="I216" s="46"/>
      <c r="J216" s="46"/>
      <c r="K216" s="46"/>
      <c r="L216" s="46"/>
      <c r="M216" s="33">
        <f t="shared" ref="M216" si="261">SUM(H216:L216)</f>
        <v>0</v>
      </c>
      <c r="N216" s="157" t="str">
        <f>IF(E216="","",IF(ISERROR(INDEX('Standard cost - Testing'!$A$1:$N$497,MATCH(RIGHT($C216,4),'Standard cost - Testing'!$A$1:$A$497,0),MATCH($E216,'Standard cost - Testing'!$K$1:$N$1,0)+10)),"NA",INDEX('Standard cost - Testing'!$A$1:$N$497,MATCH(RIGHT($C216,4),'Standard cost - Testing'!$A$1:$A$497,0),MATCH($E216,'Standard cost - Testing'!$K$1:$N$1,0)+10)))</f>
        <v>NA</v>
      </c>
      <c r="O216" s="45">
        <f>IF(OR(ISERROR($N216),$N216="",$N216="NA"),0,H216*$N216)*(1+INDEX('For Finance Control'!$B$27:$E$29,2,MATCH('Project information'!$A$4,'For Finance Control'!$B$27:$E$27,0)))</f>
        <v>0</v>
      </c>
      <c r="P216" s="45">
        <f>IF(OR(ISERROR($N216),$N216="",$N216="NA"),0,I216*$N216)*(1+INDEX('For Finance Control'!$B$27:$E$29,2,MATCH('Project information'!$A$4,'For Finance Control'!$B$27:$E$27,0)))</f>
        <v>0</v>
      </c>
      <c r="Q216" s="45">
        <f>IF(OR(ISERROR($N216),$N216="",$N216="NA"),0,J216*$N216)*(1+INDEX('For Finance Control'!$B$27:$E$29,2,MATCH('Project information'!$A$4,'For Finance Control'!$B$27:$E$27,0)))</f>
        <v>0</v>
      </c>
      <c r="R216" s="45">
        <f>IF(OR(ISERROR($N216),$N216="",$N216="NA"),0,K216*$N216)*(1+INDEX('For Finance Control'!$B$27:$E$29,2,MATCH('Project information'!$A$4,'For Finance Control'!$B$27:$E$27,0)))</f>
        <v>0</v>
      </c>
      <c r="S216" s="45">
        <f>IF(OR(ISERROR($N216),$N216="",$N216="NA"),0,L216*$N216)*(1+INDEX('For Finance Control'!$B$27:$E$29,2,MATCH('Project information'!$A$4,'For Finance Control'!$B$27:$E$27,0)))</f>
        <v>0</v>
      </c>
      <c r="T216" s="45">
        <f t="shared" si="248"/>
        <v>0</v>
      </c>
      <c r="U216" s="33" t="str" cm="1">
        <f t="array" ref="U216">IF($N216="NA","NA",$N216*INDEX('Exchange rate'!$A$1:$G$7,MATCH('Project information'!$A$13,'Exchange rate'!$A$1:$A$7,0),MATCH(LOOKUP(2,1/({"China";"Korea";"India";"Japan";"EUR";"NAO"}=$E216),{"CNY";"KRW";"INR";"JPY";"EUR";"USD"}),'Exchange rate'!$A$1:$G$1,0)))</f>
        <v>NA</v>
      </c>
      <c r="V216" s="33">
        <f t="shared" si="249"/>
        <v>0</v>
      </c>
      <c r="W216" s="33">
        <f t="shared" si="250"/>
        <v>0</v>
      </c>
      <c r="X216" s="33">
        <f t="shared" si="251"/>
        <v>0</v>
      </c>
      <c r="Y216" s="33">
        <f t="shared" si="252"/>
        <v>0</v>
      </c>
      <c r="Z216" s="33">
        <f t="shared" si="253"/>
        <v>0</v>
      </c>
      <c r="AA216" s="33">
        <f t="shared" si="255"/>
        <v>0</v>
      </c>
      <c r="AB216" s="246"/>
      <c r="AC216" s="247"/>
      <c r="AZ216" s="148" t="str">
        <f t="shared" si="256"/>
        <v>5.94</v>
      </c>
      <c r="BA216" s="149" t="s">
        <v>101</v>
      </c>
    </row>
    <row r="217" spans="1:53" ht="25" outlineLevel="1">
      <c r="A217" s="148" t="str">
        <f t="shared" si="254"/>
        <v>5.95</v>
      </c>
      <c r="B217" s="148" t="str">
        <f>INDEX('Standard cost - Testing'!$A$1:$N$497,MATCH(RIGHT($C217,4),'Standard cost - Testing'!$A$1:$A$497,0),3)</f>
        <v>LVE</v>
      </c>
      <c r="C217" s="149" t="str">
        <f>'Standard cost - Testing'!B96&amp;" - "&amp;'Standard cost - Testing'!A96</f>
        <v>Fatigue test - F001</v>
      </c>
      <c r="D217" s="150" t="str">
        <f>IF(RIGHT(INDEX('Standard cost - Testing'!$A$1:$N$497,MATCH(RIGHT($C217,4),'Standard cost - Testing'!$A$1:$A$497,0),4),1)="]",INDEX('Standard cost - Testing'!$A$1:$N$497,MATCH(RIGHT($C217,4),'Standard cost - Testing'!$A$1:$A$497,0),4),IF(INDEX('Standard cost - Testing'!$A$1:$N$497,MATCH(RIGHT($C217,4),'Standard cost - Testing'!$A$1:$A$497,0),10)=1,INDEX('Standard cost - Testing'!$A$1:$N$497,MATCH(RIGHT($C217,4),'Standard cost - Testing'!$A$1:$A$497,0),4)&amp;" [1 part]",INDEX('Standard cost - Testing'!$A$1:$N$497,MATCH(RIGHT($C217,4),'Standard cost - Testing'!$A$1:$A$497,0),4)&amp;" ["&amp;INDEX('Standard cost - Testing'!$A$1:$N$497,MATCH(RIGHT($C217,4),'Standard cost - Testing'!$A$1:$A$497,0),10)&amp;" parts]"))</f>
        <v>Mono-axis fatigue test - DV [4 parts]</v>
      </c>
      <c r="E217" s="51" t="str">
        <f>IF('Project information'!$A$4="","",'Project information'!$A$4)</f>
        <v>China</v>
      </c>
      <c r="F217" s="149" t="str">
        <f>INDEX('Standard cost - Testing'!$A$1:$N$497,MATCH(RIGHT($C217,4),'Standard cost - Testing'!$A$1:$A$497,0),5)</f>
        <v>Faurecia</v>
      </c>
      <c r="G217" s="149" t="str">
        <f>IF($E217='Standard cost - Testing'!$F$1,INDEX('Standard cost - Testing'!$A$1:$N$497,MATCH(RIGHT($C217,4),'Standard cost - Testing'!$A$1:$A$497,0),6),INDEX('Standard cost - Testing'!$A$1:$N$497,MATCH(RIGHT($C217,4),'Standard cost - Testing'!$A$1:$A$497,0),7))</f>
        <v>CHD-I-DSE-2001</v>
      </c>
      <c r="H217" s="46"/>
      <c r="I217" s="46"/>
      <c r="J217" s="46"/>
      <c r="K217" s="46"/>
      <c r="L217" s="46"/>
      <c r="M217" s="33">
        <f t="shared" ref="M217" si="262">SUM(H217:L217)</f>
        <v>0</v>
      </c>
      <c r="N217" s="157">
        <f>IF(E217="","",IF(ISERROR(INDEX('Standard cost - Testing'!$A$1:$N$497,MATCH(RIGHT($C217,4),'Standard cost - Testing'!$A$1:$A$497,0),MATCH($E217,'Standard cost - Testing'!$K$1:$N$1,0)+10)),"NA",INDEX('Standard cost - Testing'!$A$1:$N$497,MATCH(RIGHT($C217,4),'Standard cost - Testing'!$A$1:$A$497,0),MATCH($E217,'Standard cost - Testing'!$K$1:$N$1,0)+10)))</f>
        <v>28645</v>
      </c>
      <c r="O217" s="45">
        <f>IF(OR(ISERROR($N217),$N217="",$N217="NA"),0,H217*$N217)*(1+INDEX('For Finance Control'!$B$27:$E$29,2,MATCH('Project information'!$A$4,'For Finance Control'!$B$27:$E$27,0)))</f>
        <v>0</v>
      </c>
      <c r="P217" s="45">
        <f>IF(OR(ISERROR($N217),$N217="",$N217="NA"),0,I217*$N217)*(1+INDEX('For Finance Control'!$B$27:$E$29,2,MATCH('Project information'!$A$4,'For Finance Control'!$B$27:$E$27,0)))</f>
        <v>0</v>
      </c>
      <c r="Q217" s="45">
        <f>IF(OR(ISERROR($N217),$N217="",$N217="NA"),0,J217*$N217)*(1+INDEX('For Finance Control'!$B$27:$E$29,2,MATCH('Project information'!$A$4,'For Finance Control'!$B$27:$E$27,0)))</f>
        <v>0</v>
      </c>
      <c r="R217" s="45">
        <f>IF(OR(ISERROR($N217),$N217="",$N217="NA"),0,K217*$N217)*(1+INDEX('For Finance Control'!$B$27:$E$29,2,MATCH('Project information'!$A$4,'For Finance Control'!$B$27:$E$27,0)))</f>
        <v>0</v>
      </c>
      <c r="S217" s="45">
        <f>IF(OR(ISERROR($N217),$N217="",$N217="NA"),0,L217*$N217)*(1+INDEX('For Finance Control'!$B$27:$E$29,2,MATCH('Project information'!$A$4,'For Finance Control'!$B$27:$E$27,0)))</f>
        <v>0</v>
      </c>
      <c r="T217" s="45">
        <f t="shared" si="248"/>
        <v>0</v>
      </c>
      <c r="U217" s="33" cm="1">
        <f t="array" ref="U217">IF($N217="NA","NA",$N217*INDEX('Exchange rate'!$A$1:$G$7,MATCH('Project information'!$A$13,'Exchange rate'!$A$1:$A$7,0),MATCH(LOOKUP(2,1/({"China";"Korea";"India";"Japan";"EUR";"NAO"}=$E217),{"CNY";"KRW";"INR";"JPY";"EUR";"USD"}),'Exchange rate'!$A$1:$G$1,0)))</f>
        <v>28645</v>
      </c>
      <c r="V217" s="33">
        <f t="shared" si="249"/>
        <v>0</v>
      </c>
      <c r="W217" s="33">
        <f t="shared" si="250"/>
        <v>0</v>
      </c>
      <c r="X217" s="33">
        <f t="shared" si="251"/>
        <v>0</v>
      </c>
      <c r="Y217" s="33">
        <f t="shared" si="252"/>
        <v>0</v>
      </c>
      <c r="Z217" s="33">
        <f t="shared" si="253"/>
        <v>0</v>
      </c>
      <c r="AA217" s="33">
        <f t="shared" si="255"/>
        <v>0</v>
      </c>
      <c r="AB217" s="246"/>
      <c r="AC217" s="247"/>
      <c r="AZ217" s="148" t="str">
        <f t="shared" si="256"/>
        <v>5.95</v>
      </c>
      <c r="BA217" s="149" t="s">
        <v>349</v>
      </c>
    </row>
    <row r="218" spans="1:53" ht="25" outlineLevel="1">
      <c r="A218" s="148" t="str">
        <f t="shared" si="254"/>
        <v>5.96</v>
      </c>
      <c r="B218" s="148" t="str">
        <f>INDEX('Standard cost - Testing'!$A$1:$N$497,MATCH(RIGHT($C218,4),'Standard cost - Testing'!$A$1:$A$497,0),3)</f>
        <v>LVE</v>
      </c>
      <c r="C218" s="149" t="str">
        <f>'Standard cost - Testing'!B97&amp;" - "&amp;'Standard cost - Testing'!A97</f>
        <v>Fatigue test - F002</v>
      </c>
      <c r="D218" s="150" t="str">
        <f>IF(RIGHT(INDEX('Standard cost - Testing'!$A$1:$N$497,MATCH(RIGHT($C218,4),'Standard cost - Testing'!$A$1:$A$497,0),4),1)="]",INDEX('Standard cost - Testing'!$A$1:$N$497,MATCH(RIGHT($C218,4),'Standard cost - Testing'!$A$1:$A$497,0),4),IF(INDEX('Standard cost - Testing'!$A$1:$N$497,MATCH(RIGHT($C218,4),'Standard cost - Testing'!$A$1:$A$497,0),10)=1,INDEX('Standard cost - Testing'!$A$1:$N$497,MATCH(RIGHT($C218,4),'Standard cost - Testing'!$A$1:$A$497,0),4)&amp;" [1 part]",INDEX('Standard cost - Testing'!$A$1:$N$497,MATCH(RIGHT($C218,4),'Standard cost - Testing'!$A$1:$A$497,0),4)&amp;" ["&amp;INDEX('Standard cost - Testing'!$A$1:$N$497,MATCH(RIGHT($C218,4),'Standard cost - Testing'!$A$1:$A$497,0),10)&amp;" parts]"))</f>
        <v>Mono-axis fatigue test - PV [7 parts]</v>
      </c>
      <c r="E218" s="51" t="str">
        <f>IF('Project information'!$A$4="","",'Project information'!$A$4)</f>
        <v>China</v>
      </c>
      <c r="F218" s="149" t="str">
        <f>INDEX('Standard cost - Testing'!$A$1:$N$497,MATCH(RIGHT($C218,4),'Standard cost - Testing'!$A$1:$A$497,0),5)</f>
        <v>Faurecia</v>
      </c>
      <c r="G218" s="149" t="str">
        <f>IF($E218='Standard cost - Testing'!$F$1,INDEX('Standard cost - Testing'!$A$1:$N$497,MATCH(RIGHT($C218,4),'Standard cost - Testing'!$A$1:$A$497,0),6),INDEX('Standard cost - Testing'!$A$1:$N$497,MATCH(RIGHT($C218,4),'Standard cost - Testing'!$A$1:$A$497,0),7))</f>
        <v>CHD-I-DSE-2001</v>
      </c>
      <c r="H218" s="46"/>
      <c r="I218" s="46"/>
      <c r="J218" s="46"/>
      <c r="K218" s="46"/>
      <c r="L218" s="46"/>
      <c r="M218" s="33">
        <f t="shared" ref="M218" si="263">SUM(H218:L218)</f>
        <v>0</v>
      </c>
      <c r="N218" s="157">
        <f>IF(E218="","",IF(ISERROR(INDEX('Standard cost - Testing'!$A$1:$N$497,MATCH(RIGHT($C218,4),'Standard cost - Testing'!$A$1:$A$497,0),MATCH($E218,'Standard cost - Testing'!$K$1:$N$1,0)+10)),"NA",INDEX('Standard cost - Testing'!$A$1:$N$497,MATCH(RIGHT($C218,4),'Standard cost - Testing'!$A$1:$A$497,0),MATCH($E218,'Standard cost - Testing'!$K$1:$N$1,0)+10)))</f>
        <v>46930</v>
      </c>
      <c r="O218" s="45">
        <f>IF(OR(ISERROR($N218),$N218="",$N218="NA"),0,H218*$N218)*(1+INDEX('For Finance Control'!$B$27:$E$29,2,MATCH('Project information'!$A$4,'For Finance Control'!$B$27:$E$27,0)))</f>
        <v>0</v>
      </c>
      <c r="P218" s="45">
        <f>IF(OR(ISERROR($N218),$N218="",$N218="NA"),0,I218*$N218)*(1+INDEX('For Finance Control'!$B$27:$E$29,2,MATCH('Project information'!$A$4,'For Finance Control'!$B$27:$E$27,0)))</f>
        <v>0</v>
      </c>
      <c r="Q218" s="45">
        <f>IF(OR(ISERROR($N218),$N218="",$N218="NA"),0,J218*$N218)*(1+INDEX('For Finance Control'!$B$27:$E$29,2,MATCH('Project information'!$A$4,'For Finance Control'!$B$27:$E$27,0)))</f>
        <v>0</v>
      </c>
      <c r="R218" s="45">
        <f>IF(OR(ISERROR($N218),$N218="",$N218="NA"),0,K218*$N218)*(1+INDEX('For Finance Control'!$B$27:$E$29,2,MATCH('Project information'!$A$4,'For Finance Control'!$B$27:$E$27,0)))</f>
        <v>0</v>
      </c>
      <c r="S218" s="45">
        <f>IF(OR(ISERROR($N218),$N218="",$N218="NA"),0,L218*$N218)*(1+INDEX('For Finance Control'!$B$27:$E$29,2,MATCH('Project information'!$A$4,'For Finance Control'!$B$27:$E$27,0)))</f>
        <v>0</v>
      </c>
      <c r="T218" s="45">
        <f t="shared" si="248"/>
        <v>0</v>
      </c>
      <c r="U218" s="33" cm="1">
        <f t="array" ref="U218">IF($N218="NA","NA",$N218*INDEX('Exchange rate'!$A$1:$G$7,MATCH('Project information'!$A$13,'Exchange rate'!$A$1:$A$7,0),MATCH(LOOKUP(2,1/({"China";"Korea";"India";"Japan";"EUR";"NAO"}=$E218),{"CNY";"KRW";"INR";"JPY";"EUR";"USD"}),'Exchange rate'!$A$1:$G$1,0)))</f>
        <v>46930</v>
      </c>
      <c r="V218" s="33">
        <f t="shared" si="249"/>
        <v>0</v>
      </c>
      <c r="W218" s="33">
        <f t="shared" si="250"/>
        <v>0</v>
      </c>
      <c r="X218" s="33">
        <f t="shared" si="251"/>
        <v>0</v>
      </c>
      <c r="Y218" s="33">
        <f t="shared" si="252"/>
        <v>0</v>
      </c>
      <c r="Z218" s="33">
        <f t="shared" si="253"/>
        <v>0</v>
      </c>
      <c r="AA218" s="33">
        <f t="shared" si="255"/>
        <v>0</v>
      </c>
      <c r="AB218" s="246"/>
      <c r="AC218" s="247"/>
      <c r="AZ218" s="148" t="str">
        <f t="shared" si="256"/>
        <v>5.96</v>
      </c>
      <c r="BA218" s="149" t="s">
        <v>349</v>
      </c>
    </row>
    <row r="219" spans="1:53" ht="25" outlineLevel="1">
      <c r="A219" s="148" t="str">
        <f t="shared" si="254"/>
        <v>5.97</v>
      </c>
      <c r="B219" s="148" t="str">
        <f>INDEX('Standard cost - Testing'!$A$1:$N$497,MATCH(RIGHT($C219,4),'Standard cost - Testing'!$A$1:$A$497,0),3)</f>
        <v>LVE</v>
      </c>
      <c r="C219" s="149" t="str">
        <f>'Standard cost - Testing'!B98&amp;" - "&amp;'Standard cost - Testing'!A98</f>
        <v>Fatigue test - F003</v>
      </c>
      <c r="D219" s="150" t="str">
        <f>IF(RIGHT(INDEX('Standard cost - Testing'!$A$1:$N$497,MATCH(RIGHT($C219,4),'Standard cost - Testing'!$A$1:$A$497,0),4),1)="]",INDEX('Standard cost - Testing'!$A$1:$N$497,MATCH(RIGHT($C219,4),'Standard cost - Testing'!$A$1:$A$497,0),4),IF(INDEX('Standard cost - Testing'!$A$1:$N$497,MATCH(RIGHT($C219,4),'Standard cost - Testing'!$A$1:$A$497,0),10)=1,INDEX('Standard cost - Testing'!$A$1:$N$497,MATCH(RIGHT($C219,4),'Standard cost - Testing'!$A$1:$A$497,0),4)&amp;" [1 part]",INDEX('Standard cost - Testing'!$A$1:$N$497,MATCH(RIGHT($C219,4),'Standard cost - Testing'!$A$1:$A$497,0),4)&amp;" ["&amp;INDEX('Standard cost - Testing'!$A$1:$N$497,MATCH(RIGHT($C219,4),'Standard cost - Testing'!$A$1:$A$497,0),10)&amp;" parts]"))</f>
        <v>Mono-axis fatigue test - DV [6 parts]</v>
      </c>
      <c r="E219" s="51" t="str">
        <f>IF('Project information'!$A$4="","",'Project information'!$A$4)</f>
        <v>China</v>
      </c>
      <c r="F219" s="149" t="str">
        <f>INDEX('Standard cost - Testing'!$A$1:$N$497,MATCH(RIGHT($C219,4),'Standard cost - Testing'!$A$1:$A$497,0),5)</f>
        <v>PSA</v>
      </c>
      <c r="G219" s="149" t="str">
        <f>IF($E219='Standard cost - Testing'!$F$1,INDEX('Standard cost - Testing'!$A$1:$N$497,MATCH(RIGHT($C219,4),'Standard cost - Testing'!$A$1:$A$497,0),6),INDEX('Standard cost - Testing'!$A$1:$N$497,MATCH(RIGHT($C219,4),'Standard cost - Testing'!$A$1:$A$497,0),7))</f>
        <v>CHD-I-DSE-2002</v>
      </c>
      <c r="H219" s="46"/>
      <c r="I219" s="46"/>
      <c r="J219" s="46"/>
      <c r="K219" s="46"/>
      <c r="L219" s="46"/>
      <c r="M219" s="33">
        <f t="shared" ref="M219" si="264">SUM(H219:L219)</f>
        <v>0</v>
      </c>
      <c r="N219" s="157">
        <f>IF(E219="","",IF(ISERROR(INDEX('Standard cost - Testing'!$A$1:$N$497,MATCH(RIGHT($C219,4),'Standard cost - Testing'!$A$1:$A$497,0),MATCH($E219,'Standard cost - Testing'!$K$1:$N$1,0)+10)),"NA",INDEX('Standard cost - Testing'!$A$1:$N$497,MATCH(RIGHT($C219,4),'Standard cost - Testing'!$A$1:$A$497,0),MATCH($E219,'Standard cost - Testing'!$K$1:$N$1,0)+10)))</f>
        <v>40645</v>
      </c>
      <c r="O219" s="45">
        <f>IF(OR(ISERROR($N219),$N219="",$N219="NA"),0,H219*$N219)*(1+INDEX('For Finance Control'!$B$27:$E$29,2,MATCH('Project information'!$A$4,'For Finance Control'!$B$27:$E$27,0)))</f>
        <v>0</v>
      </c>
      <c r="P219" s="45">
        <f>IF(OR(ISERROR($N219),$N219="",$N219="NA"),0,I219*$N219)*(1+INDEX('For Finance Control'!$B$27:$E$29,2,MATCH('Project information'!$A$4,'For Finance Control'!$B$27:$E$27,0)))</f>
        <v>0</v>
      </c>
      <c r="Q219" s="45">
        <f>IF(OR(ISERROR($N219),$N219="",$N219="NA"),0,J219*$N219)*(1+INDEX('For Finance Control'!$B$27:$E$29,2,MATCH('Project information'!$A$4,'For Finance Control'!$B$27:$E$27,0)))</f>
        <v>0</v>
      </c>
      <c r="R219" s="45">
        <f>IF(OR(ISERROR($N219),$N219="",$N219="NA"),0,K219*$N219)*(1+INDEX('For Finance Control'!$B$27:$E$29,2,MATCH('Project information'!$A$4,'For Finance Control'!$B$27:$E$27,0)))</f>
        <v>0</v>
      </c>
      <c r="S219" s="45">
        <f>IF(OR(ISERROR($N219),$N219="",$N219="NA"),0,L219*$N219)*(1+INDEX('For Finance Control'!$B$27:$E$29,2,MATCH('Project information'!$A$4,'For Finance Control'!$B$27:$E$27,0)))</f>
        <v>0</v>
      </c>
      <c r="T219" s="45">
        <f t="shared" si="248"/>
        <v>0</v>
      </c>
      <c r="U219" s="33" cm="1">
        <f t="array" ref="U219">IF($N219="NA","NA",$N219*INDEX('Exchange rate'!$A$1:$G$7,MATCH('Project information'!$A$13,'Exchange rate'!$A$1:$A$7,0),MATCH(LOOKUP(2,1/({"China";"Korea";"India";"Japan";"EUR";"NAO"}=$E219),{"CNY";"KRW";"INR";"JPY";"EUR";"USD"}),'Exchange rate'!$A$1:$G$1,0)))</f>
        <v>40645</v>
      </c>
      <c r="V219" s="33">
        <f t="shared" si="249"/>
        <v>0</v>
      </c>
      <c r="W219" s="33">
        <f t="shared" si="250"/>
        <v>0</v>
      </c>
      <c r="X219" s="33">
        <f t="shared" si="251"/>
        <v>0</v>
      </c>
      <c r="Y219" s="33">
        <f t="shared" si="252"/>
        <v>0</v>
      </c>
      <c r="Z219" s="33">
        <f t="shared" si="253"/>
        <v>0</v>
      </c>
      <c r="AA219" s="33">
        <f t="shared" si="255"/>
        <v>0</v>
      </c>
      <c r="AB219" s="246"/>
      <c r="AC219" s="247"/>
      <c r="AZ219" s="148" t="str">
        <f t="shared" si="256"/>
        <v>5.97</v>
      </c>
      <c r="BA219" s="149" t="s">
        <v>350</v>
      </c>
    </row>
    <row r="220" spans="1:53" ht="25" outlineLevel="1">
      <c r="A220" s="148" t="str">
        <f t="shared" si="254"/>
        <v>5.98</v>
      </c>
      <c r="B220" s="148" t="str">
        <f>INDEX('Standard cost - Testing'!$A$1:$N$497,MATCH(RIGHT($C220,4),'Standard cost - Testing'!$A$1:$A$497,0),3)</f>
        <v>LVE</v>
      </c>
      <c r="C220" s="149" t="str">
        <f>'Standard cost - Testing'!B99&amp;" - "&amp;'Standard cost - Testing'!A99</f>
        <v>Fatigue test - F004</v>
      </c>
      <c r="D220" s="150" t="str">
        <f>IF(RIGHT(INDEX('Standard cost - Testing'!$A$1:$N$497,MATCH(RIGHT($C220,4),'Standard cost - Testing'!$A$1:$A$497,0),4),1)="]",INDEX('Standard cost - Testing'!$A$1:$N$497,MATCH(RIGHT($C220,4),'Standard cost - Testing'!$A$1:$A$497,0),4),IF(INDEX('Standard cost - Testing'!$A$1:$N$497,MATCH(RIGHT($C220,4),'Standard cost - Testing'!$A$1:$A$497,0),10)=1,INDEX('Standard cost - Testing'!$A$1:$N$497,MATCH(RIGHT($C220,4),'Standard cost - Testing'!$A$1:$A$497,0),4)&amp;" [1 part]",INDEX('Standard cost - Testing'!$A$1:$N$497,MATCH(RIGHT($C220,4),'Standard cost - Testing'!$A$1:$A$497,0),4)&amp;" ["&amp;INDEX('Standard cost - Testing'!$A$1:$N$497,MATCH(RIGHT($C220,4),'Standard cost - Testing'!$A$1:$A$497,0),10)&amp;" parts]"))</f>
        <v>Mono-axis fatigue test - PV [9 parts]</v>
      </c>
      <c r="E220" s="51" t="str">
        <f>IF('Project information'!$A$4="","",'Project information'!$A$4)</f>
        <v>China</v>
      </c>
      <c r="F220" s="149" t="str">
        <f>INDEX('Standard cost - Testing'!$A$1:$N$497,MATCH(RIGHT($C220,4),'Standard cost - Testing'!$A$1:$A$497,0),5)</f>
        <v>PSA</v>
      </c>
      <c r="G220" s="149" t="str">
        <f>IF($E220='Standard cost - Testing'!$F$1,INDEX('Standard cost - Testing'!$A$1:$N$497,MATCH(RIGHT($C220,4),'Standard cost - Testing'!$A$1:$A$497,0),6),INDEX('Standard cost - Testing'!$A$1:$N$497,MATCH(RIGHT($C220,4),'Standard cost - Testing'!$A$1:$A$497,0),7))</f>
        <v>CHD-I-DSE-2002</v>
      </c>
      <c r="H220" s="46"/>
      <c r="I220" s="46"/>
      <c r="J220" s="46"/>
      <c r="K220" s="46"/>
      <c r="L220" s="46"/>
      <c r="M220" s="33">
        <f t="shared" ref="M220" si="265">SUM(H220:L220)</f>
        <v>0</v>
      </c>
      <c r="N220" s="157">
        <f>IF(E220="","",IF(ISERROR(INDEX('Standard cost - Testing'!$A$1:$N$497,MATCH(RIGHT($C220,4),'Standard cost - Testing'!$A$1:$A$497,0),MATCH($E220,'Standard cost - Testing'!$K$1:$N$1,0)+10)),"NA",INDEX('Standard cost - Testing'!$A$1:$N$497,MATCH(RIGHT($C220,4),'Standard cost - Testing'!$A$1:$A$497,0),MATCH($E220,'Standard cost - Testing'!$K$1:$N$1,0)+10)))</f>
        <v>58930</v>
      </c>
      <c r="O220" s="45">
        <f>IF(OR(ISERROR($N220),$N220="",$N220="NA"),0,H220*$N220)*(1+INDEX('For Finance Control'!$B$27:$E$29,2,MATCH('Project information'!$A$4,'For Finance Control'!$B$27:$E$27,0)))</f>
        <v>0</v>
      </c>
      <c r="P220" s="45">
        <f>IF(OR(ISERROR($N220),$N220="",$N220="NA"),0,I220*$N220)*(1+INDEX('For Finance Control'!$B$27:$E$29,2,MATCH('Project information'!$A$4,'For Finance Control'!$B$27:$E$27,0)))</f>
        <v>0</v>
      </c>
      <c r="Q220" s="45">
        <f>IF(OR(ISERROR($N220),$N220="",$N220="NA"),0,J220*$N220)*(1+INDEX('For Finance Control'!$B$27:$E$29,2,MATCH('Project information'!$A$4,'For Finance Control'!$B$27:$E$27,0)))</f>
        <v>0</v>
      </c>
      <c r="R220" s="45">
        <f>IF(OR(ISERROR($N220),$N220="",$N220="NA"),0,K220*$N220)*(1+INDEX('For Finance Control'!$B$27:$E$29,2,MATCH('Project information'!$A$4,'For Finance Control'!$B$27:$E$27,0)))</f>
        <v>0</v>
      </c>
      <c r="S220" s="45">
        <f>IF(OR(ISERROR($N220),$N220="",$N220="NA"),0,L220*$N220)*(1+INDEX('For Finance Control'!$B$27:$E$29,2,MATCH('Project information'!$A$4,'For Finance Control'!$B$27:$E$27,0)))</f>
        <v>0</v>
      </c>
      <c r="T220" s="45">
        <f t="shared" si="248"/>
        <v>0</v>
      </c>
      <c r="U220" s="33" cm="1">
        <f t="array" ref="U220">IF($N220="NA","NA",$N220*INDEX('Exchange rate'!$A$1:$G$7,MATCH('Project information'!$A$13,'Exchange rate'!$A$1:$A$7,0),MATCH(LOOKUP(2,1/({"China";"Korea";"India";"Japan";"EUR";"NAO"}=$E220),{"CNY";"KRW";"INR";"JPY";"EUR";"USD"}),'Exchange rate'!$A$1:$G$1,0)))</f>
        <v>58930</v>
      </c>
      <c r="V220" s="33">
        <f t="shared" si="249"/>
        <v>0</v>
      </c>
      <c r="W220" s="33">
        <f t="shared" si="250"/>
        <v>0</v>
      </c>
      <c r="X220" s="33">
        <f t="shared" si="251"/>
        <v>0</v>
      </c>
      <c r="Y220" s="33">
        <f t="shared" si="252"/>
        <v>0</v>
      </c>
      <c r="Z220" s="33">
        <f t="shared" si="253"/>
        <v>0</v>
      </c>
      <c r="AA220" s="33">
        <f t="shared" si="255"/>
        <v>0</v>
      </c>
      <c r="AB220" s="246"/>
      <c r="AC220" s="247"/>
      <c r="AZ220" s="148" t="str">
        <f t="shared" si="256"/>
        <v>5.98</v>
      </c>
      <c r="BA220" s="149" t="s">
        <v>350</v>
      </c>
    </row>
    <row r="221" spans="1:53" ht="25" outlineLevel="1">
      <c r="A221" s="148" t="str">
        <f t="shared" si="254"/>
        <v>5.99</v>
      </c>
      <c r="B221" s="148" t="str">
        <f>INDEX('Standard cost - Testing'!$A$1:$N$497,MATCH(RIGHT($C221,4),'Standard cost - Testing'!$A$1:$A$497,0),3)</f>
        <v>LVE</v>
      </c>
      <c r="C221" s="149" t="str">
        <f>'Standard cost - Testing'!B100&amp;" - "&amp;'Standard cost - Testing'!A100</f>
        <v>Fatigue test - F005</v>
      </c>
      <c r="D221" s="150" t="str">
        <f>IF(RIGHT(INDEX('Standard cost - Testing'!$A$1:$N$497,MATCH(RIGHT($C221,4),'Standard cost - Testing'!$A$1:$A$497,0),4),1)="]",INDEX('Standard cost - Testing'!$A$1:$N$497,MATCH(RIGHT($C221,4),'Standard cost - Testing'!$A$1:$A$497,0),4),IF(INDEX('Standard cost - Testing'!$A$1:$N$497,MATCH(RIGHT($C221,4),'Standard cost - Testing'!$A$1:$A$497,0),10)=1,INDEX('Standard cost - Testing'!$A$1:$N$497,MATCH(RIGHT($C221,4),'Standard cost - Testing'!$A$1:$A$497,0),4)&amp;" [1 part]",INDEX('Standard cost - Testing'!$A$1:$N$497,MATCH(RIGHT($C221,4),'Standard cost - Testing'!$A$1:$A$497,0),4)&amp;" ["&amp;INDEX('Standard cost - Testing'!$A$1:$N$497,MATCH(RIGHT($C221,4),'Standard cost - Testing'!$A$1:$A$497,0),10)&amp;" parts]"))</f>
        <v>Mono-axis fatigue test - DV [7 parts]</v>
      </c>
      <c r="E221" s="51" t="str">
        <f>IF('Project information'!$A$4="","",'Project information'!$A$4)</f>
        <v>China</v>
      </c>
      <c r="F221" s="149" t="str">
        <f>INDEX('Standard cost - Testing'!$A$1:$N$497,MATCH(RIGHT($C221,4),'Standard cost - Testing'!$A$1:$A$497,0),5)</f>
        <v>RSA</v>
      </c>
      <c r="G221" s="149" t="str">
        <f>IF($E221='Standard cost - Testing'!$F$1,INDEX('Standard cost - Testing'!$A$1:$N$497,MATCH(RIGHT($C221,4),'Standard cost - Testing'!$A$1:$A$497,0),6),INDEX('Standard cost - Testing'!$A$1:$N$497,MATCH(RIGHT($C221,4),'Standard cost - Testing'!$A$1:$A$497,0),7))</f>
        <v>CHD-I-DSE-2003</v>
      </c>
      <c r="H221" s="46"/>
      <c r="I221" s="46"/>
      <c r="J221" s="46"/>
      <c r="K221" s="46"/>
      <c r="L221" s="46"/>
      <c r="M221" s="33">
        <f t="shared" ref="M221" si="266">SUM(H221:L221)</f>
        <v>0</v>
      </c>
      <c r="N221" s="157">
        <f>IF(E221="","",IF(ISERROR(INDEX('Standard cost - Testing'!$A$1:$N$497,MATCH(RIGHT($C221,4),'Standard cost - Testing'!$A$1:$A$497,0),MATCH($E221,'Standard cost - Testing'!$K$1:$N$1,0)+10)),"NA",INDEX('Standard cost - Testing'!$A$1:$N$497,MATCH(RIGHT($C221,4),'Standard cost - Testing'!$A$1:$A$497,0),MATCH($E221,'Standard cost - Testing'!$K$1:$N$1,0)+10)))</f>
        <v>26485</v>
      </c>
      <c r="O221" s="45">
        <f>IF(OR(ISERROR($N221),$N221="",$N221="NA"),0,H221*$N221)*(1+INDEX('For Finance Control'!$B$27:$E$29,2,MATCH('Project information'!$A$4,'For Finance Control'!$B$27:$E$27,0)))</f>
        <v>0</v>
      </c>
      <c r="P221" s="45">
        <f>IF(OR(ISERROR($N221),$N221="",$N221="NA"),0,I221*$N221)*(1+INDEX('For Finance Control'!$B$27:$E$29,2,MATCH('Project information'!$A$4,'For Finance Control'!$B$27:$E$27,0)))</f>
        <v>0</v>
      </c>
      <c r="Q221" s="45">
        <f>IF(OR(ISERROR($N221),$N221="",$N221="NA"),0,J221*$N221)*(1+INDEX('For Finance Control'!$B$27:$E$29,2,MATCH('Project information'!$A$4,'For Finance Control'!$B$27:$E$27,0)))</f>
        <v>0</v>
      </c>
      <c r="R221" s="45">
        <f>IF(OR(ISERROR($N221),$N221="",$N221="NA"),0,K221*$N221)*(1+INDEX('For Finance Control'!$B$27:$E$29,2,MATCH('Project information'!$A$4,'For Finance Control'!$B$27:$E$27,0)))</f>
        <v>0</v>
      </c>
      <c r="S221" s="45">
        <f>IF(OR(ISERROR($N221),$N221="",$N221="NA"),0,L221*$N221)*(1+INDEX('For Finance Control'!$B$27:$E$29,2,MATCH('Project information'!$A$4,'For Finance Control'!$B$27:$E$27,0)))</f>
        <v>0</v>
      </c>
      <c r="T221" s="45">
        <f t="shared" si="248"/>
        <v>0</v>
      </c>
      <c r="U221" s="33" cm="1">
        <f t="array" ref="U221">IF($N221="NA","NA",$N221*INDEX('Exchange rate'!$A$1:$G$7,MATCH('Project information'!$A$13,'Exchange rate'!$A$1:$A$7,0),MATCH(LOOKUP(2,1/({"China";"Korea";"India";"Japan";"EUR";"NAO"}=$E221),{"CNY";"KRW";"INR";"JPY";"EUR";"USD"}),'Exchange rate'!$A$1:$G$1,0)))</f>
        <v>26485</v>
      </c>
      <c r="V221" s="33">
        <f t="shared" si="249"/>
        <v>0</v>
      </c>
      <c r="W221" s="33">
        <f t="shared" si="250"/>
        <v>0</v>
      </c>
      <c r="X221" s="33">
        <f t="shared" si="251"/>
        <v>0</v>
      </c>
      <c r="Y221" s="33">
        <f t="shared" si="252"/>
        <v>0</v>
      </c>
      <c r="Z221" s="33">
        <f t="shared" si="253"/>
        <v>0</v>
      </c>
      <c r="AA221" s="33">
        <f t="shared" si="255"/>
        <v>0</v>
      </c>
      <c r="AB221" s="246"/>
      <c r="AC221" s="247"/>
      <c r="AZ221" s="148" t="str">
        <f t="shared" si="256"/>
        <v>5.99</v>
      </c>
      <c r="BA221" s="149" t="s">
        <v>351</v>
      </c>
    </row>
    <row r="222" spans="1:53" ht="25" outlineLevel="1">
      <c r="A222" s="148" t="str">
        <f t="shared" si="254"/>
        <v>5.100</v>
      </c>
      <c r="B222" s="148" t="str">
        <f>INDEX('Standard cost - Testing'!$A$1:$N$497,MATCH(RIGHT($C222,4),'Standard cost - Testing'!$A$1:$A$497,0),3)</f>
        <v>LVE</v>
      </c>
      <c r="C222" s="149" t="str">
        <f>'Standard cost - Testing'!B101&amp;" - "&amp;'Standard cost - Testing'!A101</f>
        <v>Fatigue test - F006</v>
      </c>
      <c r="D222" s="150" t="str">
        <f>IF(RIGHT(INDEX('Standard cost - Testing'!$A$1:$N$497,MATCH(RIGHT($C222,4),'Standard cost - Testing'!$A$1:$A$497,0),4),1)="]",INDEX('Standard cost - Testing'!$A$1:$N$497,MATCH(RIGHT($C222,4),'Standard cost - Testing'!$A$1:$A$497,0),4),IF(INDEX('Standard cost - Testing'!$A$1:$N$497,MATCH(RIGHT($C222,4),'Standard cost - Testing'!$A$1:$A$497,0),10)=1,INDEX('Standard cost - Testing'!$A$1:$N$497,MATCH(RIGHT($C222,4),'Standard cost - Testing'!$A$1:$A$497,0),4)&amp;" [1 part]",INDEX('Standard cost - Testing'!$A$1:$N$497,MATCH(RIGHT($C222,4),'Standard cost - Testing'!$A$1:$A$497,0),4)&amp;" ["&amp;INDEX('Standard cost - Testing'!$A$1:$N$497,MATCH(RIGHT($C222,4),'Standard cost - Testing'!$A$1:$A$497,0),10)&amp;" parts]"))</f>
        <v>Mono-axis fatigue test - PV [10 parts]</v>
      </c>
      <c r="E222" s="51" t="str">
        <f>IF('Project information'!$A$4="","",'Project information'!$A$4)</f>
        <v>China</v>
      </c>
      <c r="F222" s="149" t="str">
        <f>INDEX('Standard cost - Testing'!$A$1:$N$497,MATCH(RIGHT($C222,4),'Standard cost - Testing'!$A$1:$A$497,0),5)</f>
        <v>RSA</v>
      </c>
      <c r="G222" s="149" t="str">
        <f>IF($E222='Standard cost - Testing'!$F$1,INDEX('Standard cost - Testing'!$A$1:$N$497,MATCH(RIGHT($C222,4),'Standard cost - Testing'!$A$1:$A$497,0),6),INDEX('Standard cost - Testing'!$A$1:$N$497,MATCH(RIGHT($C222,4),'Standard cost - Testing'!$A$1:$A$497,0),7))</f>
        <v>CHD-I-DSE-2003</v>
      </c>
      <c r="H222" s="46"/>
      <c r="I222" s="46"/>
      <c r="J222" s="46"/>
      <c r="K222" s="46"/>
      <c r="L222" s="46"/>
      <c r="M222" s="33">
        <f t="shared" ref="M222" si="267">SUM(H222:L222)</f>
        <v>0</v>
      </c>
      <c r="N222" s="157">
        <f>IF(E222="","",IF(ISERROR(INDEX('Standard cost - Testing'!$A$1:$N$497,MATCH(RIGHT($C222,4),'Standard cost - Testing'!$A$1:$A$497,0),MATCH($E222,'Standard cost - Testing'!$K$1:$N$1,0)+10)),"NA",INDEX('Standard cost - Testing'!$A$1:$N$497,MATCH(RIGHT($C222,4),'Standard cost - Testing'!$A$1:$A$497,0),MATCH($E222,'Standard cost - Testing'!$K$1:$N$1,0)+10)))</f>
        <v>55570</v>
      </c>
      <c r="O222" s="45">
        <f>IF(OR(ISERROR($N222),$N222="",$N222="NA"),0,H222*$N222)*(1+INDEX('For Finance Control'!$B$27:$E$29,2,MATCH('Project information'!$A$4,'For Finance Control'!$B$27:$E$27,0)))</f>
        <v>0</v>
      </c>
      <c r="P222" s="45">
        <f>IF(OR(ISERROR($N222),$N222="",$N222="NA"),0,I222*$N222)*(1+INDEX('For Finance Control'!$B$27:$E$29,2,MATCH('Project information'!$A$4,'For Finance Control'!$B$27:$E$27,0)))</f>
        <v>0</v>
      </c>
      <c r="Q222" s="45">
        <f>IF(OR(ISERROR($N222),$N222="",$N222="NA"),0,J222*$N222)*(1+INDEX('For Finance Control'!$B$27:$E$29,2,MATCH('Project information'!$A$4,'For Finance Control'!$B$27:$E$27,0)))</f>
        <v>0</v>
      </c>
      <c r="R222" s="45">
        <f>IF(OR(ISERROR($N222),$N222="",$N222="NA"),0,K222*$N222)*(1+INDEX('For Finance Control'!$B$27:$E$29,2,MATCH('Project information'!$A$4,'For Finance Control'!$B$27:$E$27,0)))</f>
        <v>0</v>
      </c>
      <c r="S222" s="45">
        <f>IF(OR(ISERROR($N222),$N222="",$N222="NA"),0,L222*$N222)*(1+INDEX('For Finance Control'!$B$27:$E$29,2,MATCH('Project information'!$A$4,'For Finance Control'!$B$27:$E$27,0)))</f>
        <v>0</v>
      </c>
      <c r="T222" s="45">
        <f t="shared" si="248"/>
        <v>0</v>
      </c>
      <c r="U222" s="33" cm="1">
        <f t="array" ref="U222">IF($N222="NA","NA",$N222*INDEX('Exchange rate'!$A$1:$G$7,MATCH('Project information'!$A$13,'Exchange rate'!$A$1:$A$7,0),MATCH(LOOKUP(2,1/({"China";"Korea";"India";"Japan";"EUR";"NAO"}=$E222),{"CNY";"KRW";"INR";"JPY";"EUR";"USD"}),'Exchange rate'!$A$1:$G$1,0)))</f>
        <v>55570</v>
      </c>
      <c r="V222" s="33">
        <f t="shared" si="249"/>
        <v>0</v>
      </c>
      <c r="W222" s="33">
        <f t="shared" si="250"/>
        <v>0</v>
      </c>
      <c r="X222" s="33">
        <f t="shared" si="251"/>
        <v>0</v>
      </c>
      <c r="Y222" s="33">
        <f t="shared" si="252"/>
        <v>0</v>
      </c>
      <c r="Z222" s="33">
        <f t="shared" si="253"/>
        <v>0</v>
      </c>
      <c r="AA222" s="33">
        <f t="shared" si="255"/>
        <v>0</v>
      </c>
      <c r="AB222" s="246"/>
      <c r="AC222" s="247"/>
      <c r="AZ222" s="148" t="str">
        <f t="shared" si="256"/>
        <v>5.100</v>
      </c>
      <c r="BA222" s="149" t="s">
        <v>351</v>
      </c>
    </row>
    <row r="223" spans="1:53" ht="25" outlineLevel="1">
      <c r="A223" s="148" t="str">
        <f t="shared" si="254"/>
        <v>5.101</v>
      </c>
      <c r="B223" s="148" t="str">
        <f>INDEX('Standard cost - Testing'!$A$1:$N$497,MATCH(RIGHT($C223,4),'Standard cost - Testing'!$A$1:$A$497,0),3)</f>
        <v>LVE</v>
      </c>
      <c r="C223" s="149" t="str">
        <f>'Standard cost - Testing'!B102&amp;" - "&amp;'Standard cost - Testing'!A102</f>
        <v>Fatigue test - F007</v>
      </c>
      <c r="D223" s="150" t="str">
        <f>IF(RIGHT(INDEX('Standard cost - Testing'!$A$1:$N$497,MATCH(RIGHT($C223,4),'Standard cost - Testing'!$A$1:$A$497,0),4),1)="]",INDEX('Standard cost - Testing'!$A$1:$N$497,MATCH(RIGHT($C223,4),'Standard cost - Testing'!$A$1:$A$497,0),4),IF(INDEX('Standard cost - Testing'!$A$1:$N$497,MATCH(RIGHT($C223,4),'Standard cost - Testing'!$A$1:$A$497,0),10)=1,INDEX('Standard cost - Testing'!$A$1:$N$497,MATCH(RIGHT($C223,4),'Standard cost - Testing'!$A$1:$A$497,0),4)&amp;" [1 part]",INDEX('Standard cost - Testing'!$A$1:$N$497,MATCH(RIGHT($C223,4),'Standard cost - Testing'!$A$1:$A$497,0),4)&amp;" ["&amp;INDEX('Standard cost - Testing'!$A$1:$N$497,MATCH(RIGHT($C223,4),'Standard cost - Testing'!$A$1:$A$497,0),10)&amp;" parts]"))</f>
        <v>Mono-axis fatigue test [4 parts]</v>
      </c>
      <c r="E223" s="51" t="str">
        <f>IF('Project information'!$A$4="","",'Project information'!$A$4)</f>
        <v>China</v>
      </c>
      <c r="F223" s="149" t="str">
        <f>INDEX('Standard cost - Testing'!$A$1:$N$497,MATCH(RIGHT($C223,4),'Standard cost - Testing'!$A$1:$A$497,0),5)</f>
        <v>Audi</v>
      </c>
      <c r="G223" s="149" t="str">
        <f>IF($E223='Standard cost - Testing'!$F$1,INDEX('Standard cost - Testing'!$A$1:$N$497,MATCH(RIGHT($C223,4),'Standard cost - Testing'!$A$1:$A$497,0),6),INDEX('Standard cost - Testing'!$A$1:$N$497,MATCH(RIGHT($C223,4),'Standard cost - Testing'!$A$1:$A$497,0),7))</f>
        <v>TL 82391 (simple version)</v>
      </c>
      <c r="H223" s="46"/>
      <c r="I223" s="46"/>
      <c r="J223" s="46"/>
      <c r="K223" s="46"/>
      <c r="L223" s="46"/>
      <c r="M223" s="33">
        <f t="shared" ref="M223" si="268">SUM(H223:L223)</f>
        <v>0</v>
      </c>
      <c r="N223" s="157">
        <f>IF(E223="","",IF(ISERROR(INDEX('Standard cost - Testing'!$A$1:$N$497,MATCH(RIGHT($C223,4),'Standard cost - Testing'!$A$1:$A$497,0),MATCH($E223,'Standard cost - Testing'!$K$1:$N$1,0)+10)),"NA",INDEX('Standard cost - Testing'!$A$1:$N$497,MATCH(RIGHT($C223,4),'Standard cost - Testing'!$A$1:$A$497,0),MATCH($E223,'Standard cost - Testing'!$K$1:$N$1,0)+10)))</f>
        <v>15685</v>
      </c>
      <c r="O223" s="45">
        <f>IF(OR(ISERROR($N223),$N223="",$N223="NA"),0,H223*$N223)*(1+INDEX('For Finance Control'!$B$27:$E$29,2,MATCH('Project information'!$A$4,'For Finance Control'!$B$27:$E$27,0)))</f>
        <v>0</v>
      </c>
      <c r="P223" s="45">
        <f>IF(OR(ISERROR($N223),$N223="",$N223="NA"),0,I223*$N223)*(1+INDEX('For Finance Control'!$B$27:$E$29,2,MATCH('Project information'!$A$4,'For Finance Control'!$B$27:$E$27,0)))</f>
        <v>0</v>
      </c>
      <c r="Q223" s="45">
        <f>IF(OR(ISERROR($N223),$N223="",$N223="NA"),0,J223*$N223)*(1+INDEX('For Finance Control'!$B$27:$E$29,2,MATCH('Project information'!$A$4,'For Finance Control'!$B$27:$E$27,0)))</f>
        <v>0</v>
      </c>
      <c r="R223" s="45">
        <f>IF(OR(ISERROR($N223),$N223="",$N223="NA"),0,K223*$N223)*(1+INDEX('For Finance Control'!$B$27:$E$29,2,MATCH('Project information'!$A$4,'For Finance Control'!$B$27:$E$27,0)))</f>
        <v>0</v>
      </c>
      <c r="S223" s="45">
        <f>IF(OR(ISERROR($N223),$N223="",$N223="NA"),0,L223*$N223)*(1+INDEX('For Finance Control'!$B$27:$E$29,2,MATCH('Project information'!$A$4,'For Finance Control'!$B$27:$E$27,0)))</f>
        <v>0</v>
      </c>
      <c r="T223" s="45">
        <f t="shared" si="248"/>
        <v>0</v>
      </c>
      <c r="U223" s="33" cm="1">
        <f t="array" ref="U223">IF($N223="NA","NA",$N223*INDEX('Exchange rate'!$A$1:$G$7,MATCH('Project information'!$A$13,'Exchange rate'!$A$1:$A$7,0),MATCH(LOOKUP(2,1/({"China";"Korea";"India";"Japan";"EUR";"NAO"}=$E223),{"CNY";"KRW";"INR";"JPY";"EUR";"USD"}),'Exchange rate'!$A$1:$G$1,0)))</f>
        <v>15685</v>
      </c>
      <c r="V223" s="33">
        <f t="shared" si="249"/>
        <v>0</v>
      </c>
      <c r="W223" s="33">
        <f t="shared" si="250"/>
        <v>0</v>
      </c>
      <c r="X223" s="33">
        <f t="shared" si="251"/>
        <v>0</v>
      </c>
      <c r="Y223" s="33">
        <f t="shared" si="252"/>
        <v>0</v>
      </c>
      <c r="Z223" s="33">
        <f t="shared" si="253"/>
        <v>0</v>
      </c>
      <c r="AA223" s="33">
        <f t="shared" si="255"/>
        <v>0</v>
      </c>
      <c r="AB223" s="246"/>
      <c r="AC223" s="247"/>
      <c r="AZ223" s="148" t="str">
        <f t="shared" si="256"/>
        <v>5.101</v>
      </c>
      <c r="BA223" s="149" t="s">
        <v>352</v>
      </c>
    </row>
    <row r="224" spans="1:53" ht="25" outlineLevel="1">
      <c r="A224" s="148" t="str">
        <f t="shared" si="254"/>
        <v>5.102</v>
      </c>
      <c r="B224" s="148" t="str">
        <f>INDEX('Standard cost - Testing'!$A$1:$N$497,MATCH(RIGHT($C224,4),'Standard cost - Testing'!$A$1:$A$497,0),3)</f>
        <v>LVE</v>
      </c>
      <c r="C224" s="149" t="str">
        <f>'Standard cost - Testing'!B103&amp;" - "&amp;'Standard cost - Testing'!A103</f>
        <v>Fatigue test - F008</v>
      </c>
      <c r="D224" s="150" t="str">
        <f>IF(RIGHT(INDEX('Standard cost - Testing'!$A$1:$N$497,MATCH(RIGHT($C224,4),'Standard cost - Testing'!$A$1:$A$497,0),4),1)="]",INDEX('Standard cost - Testing'!$A$1:$N$497,MATCH(RIGHT($C224,4),'Standard cost - Testing'!$A$1:$A$497,0),4),IF(INDEX('Standard cost - Testing'!$A$1:$N$497,MATCH(RIGHT($C224,4),'Standard cost - Testing'!$A$1:$A$497,0),10)=1,INDEX('Standard cost - Testing'!$A$1:$N$497,MATCH(RIGHT($C224,4),'Standard cost - Testing'!$A$1:$A$497,0),4)&amp;" [1 part]",INDEX('Standard cost - Testing'!$A$1:$N$497,MATCH(RIGHT($C224,4),'Standard cost - Testing'!$A$1:$A$497,0),4)&amp;" ["&amp;INDEX('Standard cost - Testing'!$A$1:$N$497,MATCH(RIGHT($C224,4),'Standard cost - Testing'!$A$1:$A$497,0),10)&amp;" parts]"))</f>
        <v>Mono-axis fatigue test [4 parts]</v>
      </c>
      <c r="E224" s="51" t="str">
        <f>IF('Project information'!$A$4="","",'Project information'!$A$4)</f>
        <v>China</v>
      </c>
      <c r="F224" s="149" t="str">
        <f>INDEX('Standard cost - Testing'!$A$1:$N$497,MATCH(RIGHT($C224,4),'Standard cost - Testing'!$A$1:$A$497,0),5)</f>
        <v>VW</v>
      </c>
      <c r="G224" s="149" t="str">
        <f>IF($E224='Standard cost - Testing'!$F$1,INDEX('Standard cost - Testing'!$A$1:$N$497,MATCH(RIGHT($C224,4),'Standard cost - Testing'!$A$1:$A$497,0),6),INDEX('Standard cost - Testing'!$A$1:$N$497,MATCH(RIGHT($C224,4),'Standard cost - Testing'!$A$1:$A$497,0),7))</f>
        <v>TL 82391 (simple version)</v>
      </c>
      <c r="H224" s="46"/>
      <c r="I224" s="46"/>
      <c r="J224" s="46"/>
      <c r="K224" s="46"/>
      <c r="L224" s="46"/>
      <c r="M224" s="33">
        <f t="shared" ref="M224" si="269">SUM(H224:L224)</f>
        <v>0</v>
      </c>
      <c r="N224" s="157">
        <f>IF(E224="","",IF(ISERROR(INDEX('Standard cost - Testing'!$A$1:$N$497,MATCH(RIGHT($C224,4),'Standard cost - Testing'!$A$1:$A$497,0),MATCH($E224,'Standard cost - Testing'!$K$1:$N$1,0)+10)),"NA",INDEX('Standard cost - Testing'!$A$1:$N$497,MATCH(RIGHT($C224,4),'Standard cost - Testing'!$A$1:$A$497,0),MATCH($E224,'Standard cost - Testing'!$K$1:$N$1,0)+10)))</f>
        <v>15685</v>
      </c>
      <c r="O224" s="45">
        <f>IF(OR(ISERROR($N224),$N224="",$N224="NA"),0,H224*$N224)*(1+INDEX('For Finance Control'!$B$27:$E$29,2,MATCH('Project information'!$A$4,'For Finance Control'!$B$27:$E$27,0)))</f>
        <v>0</v>
      </c>
      <c r="P224" s="45">
        <f>IF(OR(ISERROR($N224),$N224="",$N224="NA"),0,I224*$N224)*(1+INDEX('For Finance Control'!$B$27:$E$29,2,MATCH('Project information'!$A$4,'For Finance Control'!$B$27:$E$27,0)))</f>
        <v>0</v>
      </c>
      <c r="Q224" s="45">
        <f>IF(OR(ISERROR($N224),$N224="",$N224="NA"),0,J224*$N224)*(1+INDEX('For Finance Control'!$B$27:$E$29,2,MATCH('Project information'!$A$4,'For Finance Control'!$B$27:$E$27,0)))</f>
        <v>0</v>
      </c>
      <c r="R224" s="45">
        <f>IF(OR(ISERROR($N224),$N224="",$N224="NA"),0,K224*$N224)*(1+INDEX('For Finance Control'!$B$27:$E$29,2,MATCH('Project information'!$A$4,'For Finance Control'!$B$27:$E$27,0)))</f>
        <v>0</v>
      </c>
      <c r="S224" s="45">
        <f>IF(OR(ISERROR($N224),$N224="",$N224="NA"),0,L224*$N224)*(1+INDEX('For Finance Control'!$B$27:$E$29,2,MATCH('Project information'!$A$4,'For Finance Control'!$B$27:$E$27,0)))</f>
        <v>0</v>
      </c>
      <c r="T224" s="45">
        <f t="shared" si="248"/>
        <v>0</v>
      </c>
      <c r="U224" s="33" cm="1">
        <f t="array" ref="U224">IF($N224="NA","NA",$N224*INDEX('Exchange rate'!$A$1:$G$7,MATCH('Project information'!$A$13,'Exchange rate'!$A$1:$A$7,0),MATCH(LOOKUP(2,1/({"China";"Korea";"India";"Japan";"EUR";"NAO"}=$E224),{"CNY";"KRW";"INR";"JPY";"EUR";"USD"}),'Exchange rate'!$A$1:$G$1,0)))</f>
        <v>15685</v>
      </c>
      <c r="V224" s="33">
        <f t="shared" si="249"/>
        <v>0</v>
      </c>
      <c r="W224" s="33">
        <f t="shared" si="250"/>
        <v>0</v>
      </c>
      <c r="X224" s="33">
        <f t="shared" si="251"/>
        <v>0</v>
      </c>
      <c r="Y224" s="33">
        <f t="shared" si="252"/>
        <v>0</v>
      </c>
      <c r="Z224" s="33">
        <f t="shared" si="253"/>
        <v>0</v>
      </c>
      <c r="AA224" s="33">
        <f t="shared" si="255"/>
        <v>0</v>
      </c>
      <c r="AB224" s="246"/>
      <c r="AC224" s="247"/>
      <c r="AZ224" s="148" t="str">
        <f t="shared" si="256"/>
        <v>5.102</v>
      </c>
      <c r="BA224" s="149" t="s">
        <v>352</v>
      </c>
    </row>
    <row r="225" spans="1:53" ht="25" outlineLevel="1">
      <c r="A225" s="148" t="str">
        <f t="shared" si="254"/>
        <v>5.103</v>
      </c>
      <c r="B225" s="148" t="str">
        <f>INDEX('Standard cost - Testing'!$A$1:$N$497,MATCH(RIGHT($C225,4),'Standard cost - Testing'!$A$1:$A$497,0),3)</f>
        <v>LVE</v>
      </c>
      <c r="C225" s="149" t="str">
        <f>'Standard cost - Testing'!B104&amp;" - "&amp;'Standard cost - Testing'!A104</f>
        <v>Fatigue test - F009</v>
      </c>
      <c r="D225" s="150" t="str">
        <f>IF(RIGHT(INDEX('Standard cost - Testing'!$A$1:$N$497,MATCH(RIGHT($C225,4),'Standard cost - Testing'!$A$1:$A$497,0),4),1)="]",INDEX('Standard cost - Testing'!$A$1:$N$497,MATCH(RIGHT($C225,4),'Standard cost - Testing'!$A$1:$A$497,0),4),IF(INDEX('Standard cost - Testing'!$A$1:$N$497,MATCH(RIGHT($C225,4),'Standard cost - Testing'!$A$1:$A$497,0),10)=1,INDEX('Standard cost - Testing'!$A$1:$N$497,MATCH(RIGHT($C225,4),'Standard cost - Testing'!$A$1:$A$497,0),4)&amp;" [1 part]",INDEX('Standard cost - Testing'!$A$1:$N$497,MATCH(RIGHT($C225,4),'Standard cost - Testing'!$A$1:$A$497,0),4)&amp;" ["&amp;INDEX('Standard cost - Testing'!$A$1:$N$497,MATCH(RIGHT($C225,4),'Standard cost - Testing'!$A$1:$A$497,0),10)&amp;" parts]"))</f>
        <v>Bi-axes fatigue test - hanger [9 parts]</v>
      </c>
      <c r="E225" s="51" t="str">
        <f>IF('Project information'!$A$4="","",'Project information'!$A$4)</f>
        <v>China</v>
      </c>
      <c r="F225" s="149" t="str">
        <f>INDEX('Standard cost - Testing'!$A$1:$N$497,MATCH(RIGHT($C225,4),'Standard cost - Testing'!$A$1:$A$497,0),5)</f>
        <v>Audi</v>
      </c>
      <c r="G225" s="149" t="str">
        <f>IF($E225='Standard cost - Testing'!$F$1,INDEX('Standard cost - Testing'!$A$1:$N$497,MATCH(RIGHT($C225,4),'Standard cost - Testing'!$A$1:$A$497,0),6),INDEX('Standard cost - Testing'!$A$1:$N$497,MATCH(RIGHT($C225,4),'Standard cost - Testing'!$A$1:$A$497,0),7))</f>
        <v>TL 82391 Forderung 3</v>
      </c>
      <c r="H225" s="46"/>
      <c r="I225" s="46"/>
      <c r="J225" s="46"/>
      <c r="K225" s="46"/>
      <c r="L225" s="46"/>
      <c r="M225" s="33">
        <f t="shared" ref="M225" si="270">SUM(H225:L225)</f>
        <v>0</v>
      </c>
      <c r="N225" s="157">
        <f>IF(E225="","",IF(ISERROR(INDEX('Standard cost - Testing'!$A$1:$N$497,MATCH(RIGHT($C225,4),'Standard cost - Testing'!$A$1:$A$497,0),MATCH($E225,'Standard cost - Testing'!$K$1:$N$1,0)+10)),"NA",INDEX('Standard cost - Testing'!$A$1:$N$497,MATCH(RIGHT($C225,4),'Standard cost - Testing'!$A$1:$A$497,0),MATCH($E225,'Standard cost - Testing'!$K$1:$N$1,0)+10)))</f>
        <v>108460</v>
      </c>
      <c r="O225" s="45">
        <f>IF(OR(ISERROR($N225),$N225="",$N225="NA"),0,H225*$N225)*(1+INDEX('For Finance Control'!$B$27:$E$29,2,MATCH('Project information'!$A$4,'For Finance Control'!$B$27:$E$27,0)))</f>
        <v>0</v>
      </c>
      <c r="P225" s="45">
        <f>IF(OR(ISERROR($N225),$N225="",$N225="NA"),0,I225*$N225)*(1+INDEX('For Finance Control'!$B$27:$E$29,2,MATCH('Project information'!$A$4,'For Finance Control'!$B$27:$E$27,0)))</f>
        <v>0</v>
      </c>
      <c r="Q225" s="45">
        <f>IF(OR(ISERROR($N225),$N225="",$N225="NA"),0,J225*$N225)*(1+INDEX('For Finance Control'!$B$27:$E$29,2,MATCH('Project information'!$A$4,'For Finance Control'!$B$27:$E$27,0)))</f>
        <v>0</v>
      </c>
      <c r="R225" s="45">
        <f>IF(OR(ISERROR($N225),$N225="",$N225="NA"),0,K225*$N225)*(1+INDEX('For Finance Control'!$B$27:$E$29,2,MATCH('Project information'!$A$4,'For Finance Control'!$B$27:$E$27,0)))</f>
        <v>0</v>
      </c>
      <c r="S225" s="45">
        <f>IF(OR(ISERROR($N225),$N225="",$N225="NA"),0,L225*$N225)*(1+INDEX('For Finance Control'!$B$27:$E$29,2,MATCH('Project information'!$A$4,'For Finance Control'!$B$27:$E$27,0)))</f>
        <v>0</v>
      </c>
      <c r="T225" s="45">
        <f t="shared" si="248"/>
        <v>0</v>
      </c>
      <c r="U225" s="33" cm="1">
        <f t="array" ref="U225">IF($N225="NA","NA",$N225*INDEX('Exchange rate'!$A$1:$G$7,MATCH('Project information'!$A$13,'Exchange rate'!$A$1:$A$7,0),MATCH(LOOKUP(2,1/({"China";"Korea";"India";"Japan";"EUR";"NAO"}=$E225),{"CNY";"KRW";"INR";"JPY";"EUR";"USD"}),'Exchange rate'!$A$1:$G$1,0)))</f>
        <v>108460</v>
      </c>
      <c r="V225" s="33">
        <f t="shared" si="249"/>
        <v>0</v>
      </c>
      <c r="W225" s="33">
        <f t="shared" si="250"/>
        <v>0</v>
      </c>
      <c r="X225" s="33">
        <f t="shared" si="251"/>
        <v>0</v>
      </c>
      <c r="Y225" s="33">
        <f t="shared" si="252"/>
        <v>0</v>
      </c>
      <c r="Z225" s="33">
        <f t="shared" si="253"/>
        <v>0</v>
      </c>
      <c r="AA225" s="33">
        <f t="shared" si="255"/>
        <v>0</v>
      </c>
      <c r="AB225" s="246"/>
      <c r="AC225" s="247"/>
      <c r="AZ225" s="148" t="str">
        <f t="shared" si="256"/>
        <v>5.103</v>
      </c>
      <c r="BA225" s="149" t="s">
        <v>353</v>
      </c>
    </row>
    <row r="226" spans="1:53" ht="25" outlineLevel="1">
      <c r="A226" s="148" t="str">
        <f t="shared" si="254"/>
        <v>5.104</v>
      </c>
      <c r="B226" s="148" t="str">
        <f>INDEX('Standard cost - Testing'!$A$1:$N$497,MATCH(RIGHT($C226,4),'Standard cost - Testing'!$A$1:$A$497,0),3)</f>
        <v>LVE</v>
      </c>
      <c r="C226" s="149" t="str">
        <f>'Standard cost - Testing'!B105&amp;" - "&amp;'Standard cost - Testing'!A105</f>
        <v>Fatigue test - F010</v>
      </c>
      <c r="D226" s="150" t="str">
        <f>IF(RIGHT(INDEX('Standard cost - Testing'!$A$1:$N$497,MATCH(RIGHT($C226,4),'Standard cost - Testing'!$A$1:$A$497,0),4),1)="]",INDEX('Standard cost - Testing'!$A$1:$N$497,MATCH(RIGHT($C226,4),'Standard cost - Testing'!$A$1:$A$497,0),4),IF(INDEX('Standard cost - Testing'!$A$1:$N$497,MATCH(RIGHT($C226,4),'Standard cost - Testing'!$A$1:$A$497,0),10)=1,INDEX('Standard cost - Testing'!$A$1:$N$497,MATCH(RIGHT($C226,4),'Standard cost - Testing'!$A$1:$A$497,0),4)&amp;" [1 part]",INDEX('Standard cost - Testing'!$A$1:$N$497,MATCH(RIGHT($C226,4),'Standard cost - Testing'!$A$1:$A$497,0),4)&amp;" ["&amp;INDEX('Standard cost - Testing'!$A$1:$N$497,MATCH(RIGHT($C226,4),'Standard cost - Testing'!$A$1:$A$497,0),10)&amp;" parts]"))</f>
        <v>Bi-axes fatigue test - hanger [9 parts]</v>
      </c>
      <c r="E226" s="51" t="str">
        <f>IF('Project information'!$A$4="","",'Project information'!$A$4)</f>
        <v>China</v>
      </c>
      <c r="F226" s="149" t="str">
        <f>INDEX('Standard cost - Testing'!$A$1:$N$497,MATCH(RIGHT($C226,4),'Standard cost - Testing'!$A$1:$A$497,0),5)</f>
        <v>VW</v>
      </c>
      <c r="G226" s="149" t="str">
        <f>IF($E226='Standard cost - Testing'!$F$1,INDEX('Standard cost - Testing'!$A$1:$N$497,MATCH(RIGHT($C226,4),'Standard cost - Testing'!$A$1:$A$497,0),6),INDEX('Standard cost - Testing'!$A$1:$N$497,MATCH(RIGHT($C226,4),'Standard cost - Testing'!$A$1:$A$497,0),7))</f>
        <v>TL 82391 Forderung 3</v>
      </c>
      <c r="H226" s="46"/>
      <c r="I226" s="46"/>
      <c r="J226" s="46"/>
      <c r="K226" s="46"/>
      <c r="L226" s="46"/>
      <c r="M226" s="33">
        <f t="shared" ref="M226" si="271">SUM(H226:L226)</f>
        <v>0</v>
      </c>
      <c r="N226" s="157">
        <f>IF(E226="","",IF(ISERROR(INDEX('Standard cost - Testing'!$A$1:$N$497,MATCH(RIGHT($C226,4),'Standard cost - Testing'!$A$1:$A$497,0),MATCH($E226,'Standard cost - Testing'!$K$1:$N$1,0)+10)),"NA",INDEX('Standard cost - Testing'!$A$1:$N$497,MATCH(RIGHT($C226,4),'Standard cost - Testing'!$A$1:$A$497,0),MATCH($E226,'Standard cost - Testing'!$K$1:$N$1,0)+10)))</f>
        <v>108460</v>
      </c>
      <c r="O226" s="45">
        <f>IF(OR(ISERROR($N226),$N226="",$N226="NA"),0,H226*$N226)*(1+INDEX('For Finance Control'!$B$27:$E$29,2,MATCH('Project information'!$A$4,'For Finance Control'!$B$27:$E$27,0)))</f>
        <v>0</v>
      </c>
      <c r="P226" s="45">
        <f>IF(OR(ISERROR($N226),$N226="",$N226="NA"),0,I226*$N226)*(1+INDEX('For Finance Control'!$B$27:$E$29,2,MATCH('Project information'!$A$4,'For Finance Control'!$B$27:$E$27,0)))</f>
        <v>0</v>
      </c>
      <c r="Q226" s="45">
        <f>IF(OR(ISERROR($N226),$N226="",$N226="NA"),0,J226*$N226)*(1+INDEX('For Finance Control'!$B$27:$E$29,2,MATCH('Project information'!$A$4,'For Finance Control'!$B$27:$E$27,0)))</f>
        <v>0</v>
      </c>
      <c r="R226" s="45">
        <f>IF(OR(ISERROR($N226),$N226="",$N226="NA"),0,K226*$N226)*(1+INDEX('For Finance Control'!$B$27:$E$29,2,MATCH('Project information'!$A$4,'For Finance Control'!$B$27:$E$27,0)))</f>
        <v>0</v>
      </c>
      <c r="S226" s="45">
        <f>IF(OR(ISERROR($N226),$N226="",$N226="NA"),0,L226*$N226)*(1+INDEX('For Finance Control'!$B$27:$E$29,2,MATCH('Project information'!$A$4,'For Finance Control'!$B$27:$E$27,0)))</f>
        <v>0</v>
      </c>
      <c r="T226" s="45">
        <f t="shared" si="248"/>
        <v>0</v>
      </c>
      <c r="U226" s="33" cm="1">
        <f t="array" ref="U226">IF($N226="NA","NA",$N226*INDEX('Exchange rate'!$A$1:$G$7,MATCH('Project information'!$A$13,'Exchange rate'!$A$1:$A$7,0),MATCH(LOOKUP(2,1/({"China";"Korea";"India";"Japan";"EUR";"NAO"}=$E226),{"CNY";"KRW";"INR";"JPY";"EUR";"USD"}),'Exchange rate'!$A$1:$G$1,0)))</f>
        <v>108460</v>
      </c>
      <c r="V226" s="33">
        <f t="shared" si="249"/>
        <v>0</v>
      </c>
      <c r="W226" s="33">
        <f t="shared" si="250"/>
        <v>0</v>
      </c>
      <c r="X226" s="33">
        <f t="shared" si="251"/>
        <v>0</v>
      </c>
      <c r="Y226" s="33">
        <f t="shared" si="252"/>
        <v>0</v>
      </c>
      <c r="Z226" s="33">
        <f t="shared" si="253"/>
        <v>0</v>
      </c>
      <c r="AA226" s="33">
        <f t="shared" si="255"/>
        <v>0</v>
      </c>
      <c r="AB226" s="246"/>
      <c r="AC226" s="247"/>
      <c r="AZ226" s="148" t="str">
        <f t="shared" si="256"/>
        <v>5.104</v>
      </c>
      <c r="BA226" s="149" t="s">
        <v>353</v>
      </c>
    </row>
    <row r="227" spans="1:53" ht="25" outlineLevel="1">
      <c r="A227" s="148" t="str">
        <f t="shared" si="254"/>
        <v>5.105</v>
      </c>
      <c r="B227" s="148" t="str">
        <f>INDEX('Standard cost - Testing'!$A$1:$N$497,MATCH(RIGHT($C227,4),'Standard cost - Testing'!$A$1:$A$497,0),3)</f>
        <v>LVE</v>
      </c>
      <c r="C227" s="149" t="str">
        <f>'Standard cost - Testing'!B106&amp;" - "&amp;'Standard cost - Testing'!A106</f>
        <v>Fatigue test - F011</v>
      </c>
      <c r="D227" s="150" t="str">
        <f>IF(RIGHT(INDEX('Standard cost - Testing'!$A$1:$N$497,MATCH(RIGHT($C227,4),'Standard cost - Testing'!$A$1:$A$497,0),4),1)="]",INDEX('Standard cost - Testing'!$A$1:$N$497,MATCH(RIGHT($C227,4),'Standard cost - Testing'!$A$1:$A$497,0),4),IF(INDEX('Standard cost - Testing'!$A$1:$N$497,MATCH(RIGHT($C227,4),'Standard cost - Testing'!$A$1:$A$497,0),10)=1,INDEX('Standard cost - Testing'!$A$1:$N$497,MATCH(RIGHT($C227,4),'Standard cost - Testing'!$A$1:$A$497,0),4)&amp;" [1 part]",INDEX('Standard cost - Testing'!$A$1:$N$497,MATCH(RIGHT($C227,4),'Standard cost - Testing'!$A$1:$A$497,0),4)&amp;" ["&amp;INDEX('Standard cost - Testing'!$A$1:$N$497,MATCH(RIGHT($C227,4),'Standard cost - Testing'!$A$1:$A$497,0),10)&amp;" parts]"))</f>
        <v>Mono-axis fatigue test [12 parts]</v>
      </c>
      <c r="E227" s="51" t="str">
        <f>IF('Project information'!$A$4="","",'Project information'!$A$4)</f>
        <v>China</v>
      </c>
      <c r="F227" s="149" t="str">
        <f>INDEX('Standard cost - Testing'!$A$1:$N$497,MATCH(RIGHT($C227,4),'Standard cost - Testing'!$A$1:$A$497,0),5)</f>
        <v>Audi</v>
      </c>
      <c r="G227" s="149" t="str">
        <f>IF($E227='Standard cost - Testing'!$F$1,INDEX('Standard cost - Testing'!$A$1:$N$497,MATCH(RIGHT($C227,4),'Standard cost - Testing'!$A$1:$A$497,0),6),INDEX('Standard cost - Testing'!$A$1:$N$497,MATCH(RIGHT($C227,4),'Standard cost - Testing'!$A$1:$A$497,0),7))</f>
        <v>TL 82391 Forderung 3</v>
      </c>
      <c r="H227" s="46"/>
      <c r="I227" s="46"/>
      <c r="J227" s="46"/>
      <c r="K227" s="46"/>
      <c r="L227" s="46"/>
      <c r="M227" s="33">
        <f t="shared" ref="M227" si="272">SUM(H227:L227)</f>
        <v>0</v>
      </c>
      <c r="N227" s="157">
        <f>IF(E227="","",IF(ISERROR(INDEX('Standard cost - Testing'!$A$1:$N$497,MATCH(RIGHT($C227,4),'Standard cost - Testing'!$A$1:$A$497,0),MATCH($E227,'Standard cost - Testing'!$K$1:$N$1,0)+10)),"NA",INDEX('Standard cost - Testing'!$A$1:$N$497,MATCH(RIGHT($C227,4),'Standard cost - Testing'!$A$1:$A$497,0),MATCH($E227,'Standard cost - Testing'!$K$1:$N$1,0)+10)))</f>
        <v>73660</v>
      </c>
      <c r="O227" s="45">
        <f>IF(OR(ISERROR($N227),$N227="",$N227="NA"),0,H227*$N227)*(1+INDEX('For Finance Control'!$B$27:$E$29,2,MATCH('Project information'!$A$4,'For Finance Control'!$B$27:$E$27,0)))</f>
        <v>0</v>
      </c>
      <c r="P227" s="45">
        <f>IF(OR(ISERROR($N227),$N227="",$N227="NA"),0,I227*$N227)*(1+INDEX('For Finance Control'!$B$27:$E$29,2,MATCH('Project information'!$A$4,'For Finance Control'!$B$27:$E$27,0)))</f>
        <v>0</v>
      </c>
      <c r="Q227" s="45">
        <f>IF(OR(ISERROR($N227),$N227="",$N227="NA"),0,J227*$N227)*(1+INDEX('For Finance Control'!$B$27:$E$29,2,MATCH('Project information'!$A$4,'For Finance Control'!$B$27:$E$27,0)))</f>
        <v>0</v>
      </c>
      <c r="R227" s="45">
        <f>IF(OR(ISERROR($N227),$N227="",$N227="NA"),0,K227*$N227)*(1+INDEX('For Finance Control'!$B$27:$E$29,2,MATCH('Project information'!$A$4,'For Finance Control'!$B$27:$E$27,0)))</f>
        <v>0</v>
      </c>
      <c r="S227" s="45">
        <f>IF(OR(ISERROR($N227),$N227="",$N227="NA"),0,L227*$N227)*(1+INDEX('For Finance Control'!$B$27:$E$29,2,MATCH('Project information'!$A$4,'For Finance Control'!$B$27:$E$27,0)))</f>
        <v>0</v>
      </c>
      <c r="T227" s="45">
        <f t="shared" si="248"/>
        <v>0</v>
      </c>
      <c r="U227" s="33" cm="1">
        <f t="array" ref="U227">IF($N227="NA","NA",$N227*INDEX('Exchange rate'!$A$1:$G$7,MATCH('Project information'!$A$13,'Exchange rate'!$A$1:$A$7,0),MATCH(LOOKUP(2,1/({"China";"Korea";"India";"Japan";"EUR";"NAO"}=$E227),{"CNY";"KRW";"INR";"JPY";"EUR";"USD"}),'Exchange rate'!$A$1:$G$1,0)))</f>
        <v>73660</v>
      </c>
      <c r="V227" s="33">
        <f t="shared" si="249"/>
        <v>0</v>
      </c>
      <c r="W227" s="33">
        <f t="shared" si="250"/>
        <v>0</v>
      </c>
      <c r="X227" s="33">
        <f t="shared" si="251"/>
        <v>0</v>
      </c>
      <c r="Y227" s="33">
        <f t="shared" si="252"/>
        <v>0</v>
      </c>
      <c r="Z227" s="33">
        <f t="shared" si="253"/>
        <v>0</v>
      </c>
      <c r="AA227" s="33">
        <f t="shared" si="255"/>
        <v>0</v>
      </c>
      <c r="AB227" s="246"/>
      <c r="AC227" s="247"/>
      <c r="AZ227" s="148" t="str">
        <f t="shared" si="256"/>
        <v>5.105</v>
      </c>
      <c r="BA227" s="149" t="s">
        <v>353</v>
      </c>
    </row>
    <row r="228" spans="1:53" ht="25" outlineLevel="1">
      <c r="A228" s="148" t="str">
        <f t="shared" si="254"/>
        <v>5.106</v>
      </c>
      <c r="B228" s="148" t="str">
        <f>INDEX('Standard cost - Testing'!$A$1:$N$497,MATCH(RIGHT($C228,4),'Standard cost - Testing'!$A$1:$A$497,0),3)</f>
        <v>LVE</v>
      </c>
      <c r="C228" s="149" t="str">
        <f>'Standard cost - Testing'!B107&amp;" - "&amp;'Standard cost - Testing'!A107</f>
        <v>Fatigue test - F012</v>
      </c>
      <c r="D228" s="150" t="str">
        <f>IF(RIGHT(INDEX('Standard cost - Testing'!$A$1:$N$497,MATCH(RIGHT($C228,4),'Standard cost - Testing'!$A$1:$A$497,0),4),1)="]",INDEX('Standard cost - Testing'!$A$1:$N$497,MATCH(RIGHT($C228,4),'Standard cost - Testing'!$A$1:$A$497,0),4),IF(INDEX('Standard cost - Testing'!$A$1:$N$497,MATCH(RIGHT($C228,4),'Standard cost - Testing'!$A$1:$A$497,0),10)=1,INDEX('Standard cost - Testing'!$A$1:$N$497,MATCH(RIGHT($C228,4),'Standard cost - Testing'!$A$1:$A$497,0),4)&amp;" [1 part]",INDEX('Standard cost - Testing'!$A$1:$N$497,MATCH(RIGHT($C228,4),'Standard cost - Testing'!$A$1:$A$497,0),4)&amp;" ["&amp;INDEX('Standard cost - Testing'!$A$1:$N$497,MATCH(RIGHT($C228,4),'Standard cost - Testing'!$A$1:$A$497,0),10)&amp;" parts]"))</f>
        <v>Mono-axis fatigue test [12 parts]</v>
      </c>
      <c r="E228" s="51" t="str">
        <f>IF('Project information'!$A$4="","",'Project information'!$A$4)</f>
        <v>China</v>
      </c>
      <c r="F228" s="149" t="str">
        <f>INDEX('Standard cost - Testing'!$A$1:$N$497,MATCH(RIGHT($C228,4),'Standard cost - Testing'!$A$1:$A$497,0),5)</f>
        <v>VW</v>
      </c>
      <c r="G228" s="149" t="str">
        <f>IF($E228='Standard cost - Testing'!$F$1,INDEX('Standard cost - Testing'!$A$1:$N$497,MATCH(RIGHT($C228,4),'Standard cost - Testing'!$A$1:$A$497,0),6),INDEX('Standard cost - Testing'!$A$1:$N$497,MATCH(RIGHT($C228,4),'Standard cost - Testing'!$A$1:$A$497,0),7))</f>
        <v>TL 82391 Forderung 3</v>
      </c>
      <c r="H228" s="46"/>
      <c r="I228" s="46"/>
      <c r="J228" s="46"/>
      <c r="K228" s="46"/>
      <c r="L228" s="46"/>
      <c r="M228" s="33">
        <f t="shared" ref="M228" si="273">SUM(H228:L228)</f>
        <v>0</v>
      </c>
      <c r="N228" s="157">
        <f>IF(E228="","",IF(ISERROR(INDEX('Standard cost - Testing'!$A$1:$N$497,MATCH(RIGHT($C228,4),'Standard cost - Testing'!$A$1:$A$497,0),MATCH($E228,'Standard cost - Testing'!$K$1:$N$1,0)+10)),"NA",INDEX('Standard cost - Testing'!$A$1:$N$497,MATCH(RIGHT($C228,4),'Standard cost - Testing'!$A$1:$A$497,0),MATCH($E228,'Standard cost - Testing'!$K$1:$N$1,0)+10)))</f>
        <v>73660</v>
      </c>
      <c r="O228" s="45">
        <f>IF(OR(ISERROR($N228),$N228="",$N228="NA"),0,H228*$N228)*(1+INDEX('For Finance Control'!$B$27:$E$29,2,MATCH('Project information'!$A$4,'For Finance Control'!$B$27:$E$27,0)))</f>
        <v>0</v>
      </c>
      <c r="P228" s="45">
        <f>IF(OR(ISERROR($N228),$N228="",$N228="NA"),0,I228*$N228)*(1+INDEX('For Finance Control'!$B$27:$E$29,2,MATCH('Project information'!$A$4,'For Finance Control'!$B$27:$E$27,0)))</f>
        <v>0</v>
      </c>
      <c r="Q228" s="45">
        <f>IF(OR(ISERROR($N228),$N228="",$N228="NA"),0,J228*$N228)*(1+INDEX('For Finance Control'!$B$27:$E$29,2,MATCH('Project information'!$A$4,'For Finance Control'!$B$27:$E$27,0)))</f>
        <v>0</v>
      </c>
      <c r="R228" s="45">
        <f>IF(OR(ISERROR($N228),$N228="",$N228="NA"),0,K228*$N228)*(1+INDEX('For Finance Control'!$B$27:$E$29,2,MATCH('Project information'!$A$4,'For Finance Control'!$B$27:$E$27,0)))</f>
        <v>0</v>
      </c>
      <c r="S228" s="45">
        <f>IF(OR(ISERROR($N228),$N228="",$N228="NA"),0,L228*$N228)*(1+INDEX('For Finance Control'!$B$27:$E$29,2,MATCH('Project information'!$A$4,'For Finance Control'!$B$27:$E$27,0)))</f>
        <v>0</v>
      </c>
      <c r="T228" s="45">
        <f t="shared" si="248"/>
        <v>0</v>
      </c>
      <c r="U228" s="33" cm="1">
        <f t="array" ref="U228">IF($N228="NA","NA",$N228*INDEX('Exchange rate'!$A$1:$G$7,MATCH('Project information'!$A$13,'Exchange rate'!$A$1:$A$7,0),MATCH(LOOKUP(2,1/({"China";"Korea";"India";"Japan";"EUR";"NAO"}=$E228),{"CNY";"KRW";"INR";"JPY";"EUR";"USD"}),'Exchange rate'!$A$1:$G$1,0)))</f>
        <v>73660</v>
      </c>
      <c r="V228" s="33">
        <f t="shared" si="249"/>
        <v>0</v>
      </c>
      <c r="W228" s="33">
        <f t="shared" si="250"/>
        <v>0</v>
      </c>
      <c r="X228" s="33">
        <f t="shared" si="251"/>
        <v>0</v>
      </c>
      <c r="Y228" s="33">
        <f t="shared" si="252"/>
        <v>0</v>
      </c>
      <c r="Z228" s="33">
        <f t="shared" si="253"/>
        <v>0</v>
      </c>
      <c r="AA228" s="33">
        <f t="shared" si="255"/>
        <v>0</v>
      </c>
      <c r="AB228" s="246"/>
      <c r="AC228" s="247"/>
      <c r="AZ228" s="148" t="str">
        <f t="shared" si="256"/>
        <v>5.106</v>
      </c>
      <c r="BA228" s="149" t="s">
        <v>353</v>
      </c>
    </row>
    <row r="229" spans="1:53" ht="25" outlineLevel="1">
      <c r="A229" s="148" t="str">
        <f t="shared" si="254"/>
        <v>5.107</v>
      </c>
      <c r="B229" s="148" t="str">
        <f>INDEX('Standard cost - Testing'!$A$1:$N$497,MATCH(RIGHT($C229,4),'Standard cost - Testing'!$A$1:$A$497,0),3)</f>
        <v>LVE</v>
      </c>
      <c r="C229" s="149" t="str">
        <f>'Standard cost - Testing'!B108&amp;" - "&amp;'Standard cost - Testing'!A108</f>
        <v>Fatigue test - F013</v>
      </c>
      <c r="D229" s="150" t="str">
        <f>IF(RIGHT(INDEX('Standard cost - Testing'!$A$1:$N$497,MATCH(RIGHT($C229,4),'Standard cost - Testing'!$A$1:$A$497,0),4),1)="]",INDEX('Standard cost - Testing'!$A$1:$N$497,MATCH(RIGHT($C229,4),'Standard cost - Testing'!$A$1:$A$497,0),4),IF(INDEX('Standard cost - Testing'!$A$1:$N$497,MATCH(RIGHT($C229,4),'Standard cost - Testing'!$A$1:$A$497,0),10)=1,INDEX('Standard cost - Testing'!$A$1:$N$497,MATCH(RIGHT($C229,4),'Standard cost - Testing'!$A$1:$A$497,0),4)&amp;" [1 part]",INDEX('Standard cost - Testing'!$A$1:$N$497,MATCH(RIGHT($C229,4),'Standard cost - Testing'!$A$1:$A$497,0),4)&amp;" ["&amp;INDEX('Standard cost - Testing'!$A$1:$N$497,MATCH(RIGHT($C229,4),'Standard cost - Testing'!$A$1:$A$497,0),10)&amp;" parts]"))</f>
        <v>Bi-axes fatigue test [12 parts]</v>
      </c>
      <c r="E229" s="51" t="str">
        <f>IF('Project information'!$A$4="","",'Project information'!$A$4)</f>
        <v>China</v>
      </c>
      <c r="F229" s="149" t="str">
        <f>INDEX('Standard cost - Testing'!$A$1:$N$497,MATCH(RIGHT($C229,4),'Standard cost - Testing'!$A$1:$A$497,0),5)</f>
        <v>Audi</v>
      </c>
      <c r="G229" s="149" t="str">
        <f>IF($E229='Standard cost - Testing'!$F$1,INDEX('Standard cost - Testing'!$A$1:$N$497,MATCH(RIGHT($C229,4),'Standard cost - Testing'!$A$1:$A$497,0),6),INDEX('Standard cost - Testing'!$A$1:$N$497,MATCH(RIGHT($C229,4),'Standard cost - Testing'!$A$1:$A$497,0),7))</f>
        <v>TL 82391 Forderung 3</v>
      </c>
      <c r="H229" s="46"/>
      <c r="I229" s="46"/>
      <c r="J229" s="46"/>
      <c r="K229" s="46"/>
      <c r="L229" s="46"/>
      <c r="M229" s="33">
        <f t="shared" ref="M229" si="274">SUM(H229:L229)</f>
        <v>0</v>
      </c>
      <c r="N229" s="157">
        <f>IF(E229="","",IF(ISERROR(INDEX('Standard cost - Testing'!$A$1:$N$497,MATCH(RIGHT($C229,4),'Standard cost - Testing'!$A$1:$A$497,0),MATCH($E229,'Standard cost - Testing'!$K$1:$N$1,0)+10)),"NA",INDEX('Standard cost - Testing'!$A$1:$N$497,MATCH(RIGHT($C229,4),'Standard cost - Testing'!$A$1:$A$497,0),MATCH($E229,'Standard cost - Testing'!$K$1:$N$1,0)+10)))</f>
        <v>142300</v>
      </c>
      <c r="O229" s="45">
        <f>IF(OR(ISERROR($N229),$N229="",$N229="NA"),0,H229*$N229)*(1+INDEX('For Finance Control'!$B$27:$E$29,2,MATCH('Project information'!$A$4,'For Finance Control'!$B$27:$E$27,0)))</f>
        <v>0</v>
      </c>
      <c r="P229" s="45">
        <f>IF(OR(ISERROR($N229),$N229="",$N229="NA"),0,I229*$N229)*(1+INDEX('For Finance Control'!$B$27:$E$29,2,MATCH('Project information'!$A$4,'For Finance Control'!$B$27:$E$27,0)))</f>
        <v>0</v>
      </c>
      <c r="Q229" s="45">
        <f>IF(OR(ISERROR($N229),$N229="",$N229="NA"),0,J229*$N229)*(1+INDEX('For Finance Control'!$B$27:$E$29,2,MATCH('Project information'!$A$4,'For Finance Control'!$B$27:$E$27,0)))</f>
        <v>0</v>
      </c>
      <c r="R229" s="45">
        <f>IF(OR(ISERROR($N229),$N229="",$N229="NA"),0,K229*$N229)*(1+INDEX('For Finance Control'!$B$27:$E$29,2,MATCH('Project information'!$A$4,'For Finance Control'!$B$27:$E$27,0)))</f>
        <v>0</v>
      </c>
      <c r="S229" s="45">
        <f>IF(OR(ISERROR($N229),$N229="",$N229="NA"),0,L229*$N229)*(1+INDEX('For Finance Control'!$B$27:$E$29,2,MATCH('Project information'!$A$4,'For Finance Control'!$B$27:$E$27,0)))</f>
        <v>0</v>
      </c>
      <c r="T229" s="45">
        <f t="shared" si="248"/>
        <v>0</v>
      </c>
      <c r="U229" s="33" cm="1">
        <f t="array" ref="U229">IF($N229="NA","NA",$N229*INDEX('Exchange rate'!$A$1:$G$7,MATCH('Project information'!$A$13,'Exchange rate'!$A$1:$A$7,0),MATCH(LOOKUP(2,1/({"China";"Korea";"India";"Japan";"EUR";"NAO"}=$E229),{"CNY";"KRW";"INR";"JPY";"EUR";"USD"}),'Exchange rate'!$A$1:$G$1,0)))</f>
        <v>142300</v>
      </c>
      <c r="V229" s="33">
        <f t="shared" si="249"/>
        <v>0</v>
      </c>
      <c r="W229" s="33">
        <f t="shared" si="250"/>
        <v>0</v>
      </c>
      <c r="X229" s="33">
        <f t="shared" si="251"/>
        <v>0</v>
      </c>
      <c r="Y229" s="33">
        <f t="shared" si="252"/>
        <v>0</v>
      </c>
      <c r="Z229" s="33">
        <f t="shared" si="253"/>
        <v>0</v>
      </c>
      <c r="AA229" s="33">
        <f t="shared" si="255"/>
        <v>0</v>
      </c>
      <c r="AB229" s="246"/>
      <c r="AC229" s="247"/>
      <c r="AZ229" s="148" t="str">
        <f t="shared" si="256"/>
        <v>5.107</v>
      </c>
      <c r="BA229" s="149" t="s">
        <v>353</v>
      </c>
    </row>
    <row r="230" spans="1:53" ht="25" outlineLevel="1">
      <c r="A230" s="148" t="str">
        <f t="shared" si="254"/>
        <v>5.108</v>
      </c>
      <c r="B230" s="148" t="str">
        <f>INDEX('Standard cost - Testing'!$A$1:$N$497,MATCH(RIGHT($C230,4),'Standard cost - Testing'!$A$1:$A$497,0),3)</f>
        <v>LVE</v>
      </c>
      <c r="C230" s="149" t="str">
        <f>'Standard cost - Testing'!B109&amp;" - "&amp;'Standard cost - Testing'!A109</f>
        <v>Fatigue test - F014</v>
      </c>
      <c r="D230" s="150" t="str">
        <f>IF(RIGHT(INDEX('Standard cost - Testing'!$A$1:$N$497,MATCH(RIGHT($C230,4),'Standard cost - Testing'!$A$1:$A$497,0),4),1)="]",INDEX('Standard cost - Testing'!$A$1:$N$497,MATCH(RIGHT($C230,4),'Standard cost - Testing'!$A$1:$A$497,0),4),IF(INDEX('Standard cost - Testing'!$A$1:$N$497,MATCH(RIGHT($C230,4),'Standard cost - Testing'!$A$1:$A$497,0),10)=1,INDEX('Standard cost - Testing'!$A$1:$N$497,MATCH(RIGHT($C230,4),'Standard cost - Testing'!$A$1:$A$497,0),4)&amp;" [1 part]",INDEX('Standard cost - Testing'!$A$1:$N$497,MATCH(RIGHT($C230,4),'Standard cost - Testing'!$A$1:$A$497,0),4)&amp;" ["&amp;INDEX('Standard cost - Testing'!$A$1:$N$497,MATCH(RIGHT($C230,4),'Standard cost - Testing'!$A$1:$A$497,0),10)&amp;" parts]"))</f>
        <v>Bi-axes fatigue test [12 parts]</v>
      </c>
      <c r="E230" s="51" t="str">
        <f>IF('Project information'!$A$4="","",'Project information'!$A$4)</f>
        <v>China</v>
      </c>
      <c r="F230" s="149" t="str">
        <f>INDEX('Standard cost - Testing'!$A$1:$N$497,MATCH(RIGHT($C230,4),'Standard cost - Testing'!$A$1:$A$497,0),5)</f>
        <v>VW</v>
      </c>
      <c r="G230" s="149" t="str">
        <f>IF($E230='Standard cost - Testing'!$F$1,INDEX('Standard cost - Testing'!$A$1:$N$497,MATCH(RIGHT($C230,4),'Standard cost - Testing'!$A$1:$A$497,0),6),INDEX('Standard cost - Testing'!$A$1:$N$497,MATCH(RIGHT($C230,4),'Standard cost - Testing'!$A$1:$A$497,0),7))</f>
        <v>TL 82391 Forderung 3</v>
      </c>
      <c r="H230" s="46"/>
      <c r="I230" s="46"/>
      <c r="J230" s="46"/>
      <c r="K230" s="46"/>
      <c r="L230" s="46"/>
      <c r="M230" s="33">
        <f t="shared" si="247"/>
        <v>0</v>
      </c>
      <c r="N230" s="157">
        <f>IF(E230="","",IF(ISERROR(INDEX('Standard cost - Testing'!$A$1:$N$497,MATCH(RIGHT($C230,4),'Standard cost - Testing'!$A$1:$A$497,0),MATCH($E230,'Standard cost - Testing'!$K$1:$N$1,0)+10)),"NA",INDEX('Standard cost - Testing'!$A$1:$N$497,MATCH(RIGHT($C230,4),'Standard cost - Testing'!$A$1:$A$497,0),MATCH($E230,'Standard cost - Testing'!$K$1:$N$1,0)+10)))</f>
        <v>142300</v>
      </c>
      <c r="O230" s="45">
        <f>IF(OR(ISERROR($N230),$N230="",$N230="NA"),0,H230*$N230)*(1+INDEX('For Finance Control'!$B$27:$E$29,2,MATCH('Project information'!$A$4,'For Finance Control'!$B$27:$E$27,0)))</f>
        <v>0</v>
      </c>
      <c r="P230" s="45">
        <f>IF(OR(ISERROR($N230),$N230="",$N230="NA"),0,I230*$N230)*(1+INDEX('For Finance Control'!$B$27:$E$29,2,MATCH('Project information'!$A$4,'For Finance Control'!$B$27:$E$27,0)))</f>
        <v>0</v>
      </c>
      <c r="Q230" s="45">
        <f>IF(OR(ISERROR($N230),$N230="",$N230="NA"),0,J230*$N230)*(1+INDEX('For Finance Control'!$B$27:$E$29,2,MATCH('Project information'!$A$4,'For Finance Control'!$B$27:$E$27,0)))</f>
        <v>0</v>
      </c>
      <c r="R230" s="45">
        <f>IF(OR(ISERROR($N230),$N230="",$N230="NA"),0,K230*$N230)*(1+INDEX('For Finance Control'!$B$27:$E$29,2,MATCH('Project information'!$A$4,'For Finance Control'!$B$27:$E$27,0)))</f>
        <v>0</v>
      </c>
      <c r="S230" s="45">
        <f>IF(OR(ISERROR($N230),$N230="",$N230="NA"),0,L230*$N230)*(1+INDEX('For Finance Control'!$B$27:$E$29,2,MATCH('Project information'!$A$4,'For Finance Control'!$B$27:$E$27,0)))</f>
        <v>0</v>
      </c>
      <c r="T230" s="45">
        <f t="shared" si="248"/>
        <v>0</v>
      </c>
      <c r="U230" s="33" cm="1">
        <f t="array" ref="U230">IF($N230="NA","NA",$N230*INDEX('Exchange rate'!$A$1:$G$7,MATCH('Project information'!$A$13,'Exchange rate'!$A$1:$A$7,0),MATCH(LOOKUP(2,1/({"China";"Korea";"India";"Japan";"EUR";"NAO"}=$E230),{"CNY";"KRW";"INR";"JPY";"EUR";"USD"}),'Exchange rate'!$A$1:$G$1,0)))</f>
        <v>142300</v>
      </c>
      <c r="V230" s="33">
        <f t="shared" si="249"/>
        <v>0</v>
      </c>
      <c r="W230" s="33">
        <f t="shared" si="250"/>
        <v>0</v>
      </c>
      <c r="X230" s="33">
        <f t="shared" si="251"/>
        <v>0</v>
      </c>
      <c r="Y230" s="33">
        <f t="shared" si="252"/>
        <v>0</v>
      </c>
      <c r="Z230" s="33">
        <f t="shared" si="253"/>
        <v>0</v>
      </c>
      <c r="AA230" s="33">
        <f t="shared" si="255"/>
        <v>0</v>
      </c>
      <c r="AB230" s="246"/>
      <c r="AC230" s="247"/>
      <c r="AZ230" s="148" t="str">
        <f t="shared" si="256"/>
        <v>5.108</v>
      </c>
      <c r="BA230" s="149" t="s">
        <v>353</v>
      </c>
    </row>
    <row r="231" spans="1:53" ht="25" outlineLevel="1">
      <c r="A231" s="148" t="str">
        <f t="shared" si="254"/>
        <v>5.109</v>
      </c>
      <c r="B231" s="148" t="str">
        <f>INDEX('Standard cost - Testing'!$A$1:$N$497,MATCH(RIGHT($C231,4),'Standard cost - Testing'!$A$1:$A$497,0),3)</f>
        <v>LVE</v>
      </c>
      <c r="C231" s="149" t="str">
        <f>'Standard cost - Testing'!B110&amp;" - "&amp;'Standard cost - Testing'!A110</f>
        <v>Fatigue test - F015</v>
      </c>
      <c r="D231" s="150" t="str">
        <f>IF(RIGHT(INDEX('Standard cost - Testing'!$A$1:$N$497,MATCH(RIGHT($C231,4),'Standard cost - Testing'!$A$1:$A$497,0),4),1)="]",INDEX('Standard cost - Testing'!$A$1:$N$497,MATCH(RIGHT($C231,4),'Standard cost - Testing'!$A$1:$A$497,0),4),IF(INDEX('Standard cost - Testing'!$A$1:$N$497,MATCH(RIGHT($C231,4),'Standard cost - Testing'!$A$1:$A$497,0),10)=1,INDEX('Standard cost - Testing'!$A$1:$N$497,MATCH(RIGHT($C231,4),'Standard cost - Testing'!$A$1:$A$497,0),4)&amp;" [1 part]",INDEX('Standard cost - Testing'!$A$1:$N$497,MATCH(RIGHT($C231,4),'Standard cost - Testing'!$A$1:$A$497,0),4)&amp;" ["&amp;INDEX('Standard cost - Testing'!$A$1:$N$497,MATCH(RIGHT($C231,4),'Standard cost - Testing'!$A$1:$A$497,0),10)&amp;" parts]"))</f>
        <v>Mono-axis fatigue test [3 parts]</v>
      </c>
      <c r="E231" s="51" t="str">
        <f>IF('Project information'!$A$4="","",'Project information'!$A$4)</f>
        <v>China</v>
      </c>
      <c r="F231" s="149" t="str">
        <f>INDEX('Standard cost - Testing'!$A$1:$N$497,MATCH(RIGHT($C231,4),'Standard cost - Testing'!$A$1:$A$497,0),5)</f>
        <v>MAZDA</v>
      </c>
      <c r="G231" s="149" t="str">
        <f>IF($E231='Standard cost - Testing'!$F$1,INDEX('Standard cost - Testing'!$A$1:$N$497,MATCH(RIGHT($C231,4),'Standard cost - Testing'!$A$1:$A$497,0),6),INDEX('Standard cost - Testing'!$A$1:$N$497,MATCH(RIGHT($C231,4),'Standard cost - Testing'!$A$1:$A$497,0),7))</f>
        <v>PA40100C</v>
      </c>
      <c r="H231" s="46"/>
      <c r="I231" s="46"/>
      <c r="J231" s="46"/>
      <c r="K231" s="46"/>
      <c r="L231" s="46"/>
      <c r="M231" s="33">
        <f t="shared" si="247"/>
        <v>0</v>
      </c>
      <c r="N231" s="157">
        <f>IF(E231="","",IF(ISERROR(INDEX('Standard cost - Testing'!$A$1:$N$497,MATCH(RIGHT($C231,4),'Standard cost - Testing'!$A$1:$A$497,0),MATCH($E231,'Standard cost - Testing'!$K$1:$N$1,0)+10)),"NA",INDEX('Standard cost - Testing'!$A$1:$N$497,MATCH(RIGHT($C231,4),'Standard cost - Testing'!$A$1:$A$497,0),MATCH($E231,'Standard cost - Testing'!$K$1:$N$1,0)+10)))</f>
        <v>20165</v>
      </c>
      <c r="O231" s="45">
        <f>IF(OR(ISERROR($N231),$N231="",$N231="NA"),0,H231*$N231)*(1+INDEX('For Finance Control'!$B$27:$E$29,2,MATCH('Project information'!$A$4,'For Finance Control'!$B$27:$E$27,0)))</f>
        <v>0</v>
      </c>
      <c r="P231" s="45">
        <f>IF(OR(ISERROR($N231),$N231="",$N231="NA"),0,I231*$N231)*(1+INDEX('For Finance Control'!$B$27:$E$29,2,MATCH('Project information'!$A$4,'For Finance Control'!$B$27:$E$27,0)))</f>
        <v>0</v>
      </c>
      <c r="Q231" s="45">
        <f>IF(OR(ISERROR($N231),$N231="",$N231="NA"),0,J231*$N231)*(1+INDEX('For Finance Control'!$B$27:$E$29,2,MATCH('Project information'!$A$4,'For Finance Control'!$B$27:$E$27,0)))</f>
        <v>0</v>
      </c>
      <c r="R231" s="45">
        <f>IF(OR(ISERROR($N231),$N231="",$N231="NA"),0,K231*$N231)*(1+INDEX('For Finance Control'!$B$27:$E$29,2,MATCH('Project information'!$A$4,'For Finance Control'!$B$27:$E$27,0)))</f>
        <v>0</v>
      </c>
      <c r="S231" s="45">
        <f>IF(OR(ISERROR($N231),$N231="",$N231="NA"),0,L231*$N231)*(1+INDEX('For Finance Control'!$B$27:$E$29,2,MATCH('Project information'!$A$4,'For Finance Control'!$B$27:$E$27,0)))</f>
        <v>0</v>
      </c>
      <c r="T231" s="45">
        <f t="shared" si="248"/>
        <v>0</v>
      </c>
      <c r="U231" s="33" cm="1">
        <f t="array" ref="U231">IF($N231="NA","NA",$N231*INDEX('Exchange rate'!$A$1:$G$7,MATCH('Project information'!$A$13,'Exchange rate'!$A$1:$A$7,0),MATCH(LOOKUP(2,1/({"China";"Korea";"India";"Japan";"EUR";"NAO"}=$E231),{"CNY";"KRW";"INR";"JPY";"EUR";"USD"}),'Exchange rate'!$A$1:$G$1,0)))</f>
        <v>20165</v>
      </c>
      <c r="V231" s="33">
        <f t="shared" si="249"/>
        <v>0</v>
      </c>
      <c r="W231" s="33">
        <f t="shared" si="250"/>
        <v>0</v>
      </c>
      <c r="X231" s="33">
        <f t="shared" si="251"/>
        <v>0</v>
      </c>
      <c r="Y231" s="33">
        <f t="shared" si="252"/>
        <v>0</v>
      </c>
      <c r="Z231" s="33">
        <f t="shared" si="253"/>
        <v>0</v>
      </c>
      <c r="AA231" s="33">
        <f t="shared" si="255"/>
        <v>0</v>
      </c>
      <c r="AB231" s="246"/>
      <c r="AC231" s="247"/>
      <c r="AZ231" s="148" t="str">
        <f t="shared" si="256"/>
        <v>5.109</v>
      </c>
      <c r="BA231" s="149" t="s">
        <v>354</v>
      </c>
    </row>
    <row r="232" spans="1:53" ht="25" outlineLevel="1">
      <c r="A232" s="148" t="str">
        <f t="shared" si="254"/>
        <v>5.110</v>
      </c>
      <c r="B232" s="148" t="str">
        <f>INDEX('Standard cost - Testing'!$A$1:$N$497,MATCH(RIGHT($C232,4),'Standard cost - Testing'!$A$1:$A$497,0),3)</f>
        <v>LVE</v>
      </c>
      <c r="C232" s="149" t="str">
        <f>'Standard cost - Testing'!B111&amp;" - "&amp;'Standard cost - Testing'!A111</f>
        <v>Fatigue test - F016</v>
      </c>
      <c r="D232" s="150" t="str">
        <f>IF(RIGHT(INDEX('Standard cost - Testing'!$A$1:$N$497,MATCH(RIGHT($C232,4),'Standard cost - Testing'!$A$1:$A$497,0),4),1)="]",INDEX('Standard cost - Testing'!$A$1:$N$497,MATCH(RIGHT($C232,4),'Standard cost - Testing'!$A$1:$A$497,0),4),IF(INDEX('Standard cost - Testing'!$A$1:$N$497,MATCH(RIGHT($C232,4),'Standard cost - Testing'!$A$1:$A$497,0),10)=1,INDEX('Standard cost - Testing'!$A$1:$N$497,MATCH(RIGHT($C232,4),'Standard cost - Testing'!$A$1:$A$497,0),4)&amp;" [1 part]",INDEX('Standard cost - Testing'!$A$1:$N$497,MATCH(RIGHT($C232,4),'Standard cost - Testing'!$A$1:$A$497,0),4)&amp;" ["&amp;INDEX('Standard cost - Testing'!$A$1:$N$497,MATCH(RIGHT($C232,4),'Standard cost - Testing'!$A$1:$A$497,0),10)&amp;" parts]"))</f>
        <v>Mono-axis fatigue test [5 parts]</v>
      </c>
      <c r="E232" s="51" t="str">
        <f>IF('Project information'!$A$4="","",'Project information'!$A$4)</f>
        <v>China</v>
      </c>
      <c r="F232" s="149" t="str">
        <f>INDEX('Standard cost - Testing'!$A$1:$N$497,MATCH(RIGHT($C232,4),'Standard cost - Testing'!$A$1:$A$497,0),5)</f>
        <v>Audi</v>
      </c>
      <c r="G232" s="149" t="str">
        <f>IF($E232='Standard cost - Testing'!$F$1,INDEX('Standard cost - Testing'!$A$1:$N$497,MATCH(RIGHT($C232,4),'Standard cost - Testing'!$A$1:$A$497,0),6),INDEX('Standard cost - Testing'!$A$1:$N$497,MATCH(RIGHT($C232,4),'Standard cost - Testing'!$A$1:$A$497,0),7))</f>
        <v>CHD-I-DSE-2004</v>
      </c>
      <c r="H232" s="46"/>
      <c r="I232" s="46"/>
      <c r="J232" s="46"/>
      <c r="K232" s="46"/>
      <c r="L232" s="46"/>
      <c r="M232" s="33">
        <f t="shared" si="247"/>
        <v>0</v>
      </c>
      <c r="N232" s="157">
        <f>IF(E232="","",IF(ISERROR(INDEX('Standard cost - Testing'!$A$1:$N$497,MATCH(RIGHT($C232,4),'Standard cost - Testing'!$A$1:$A$497,0),MATCH($E232,'Standard cost - Testing'!$K$1:$N$1,0)+10)),"NA",INDEX('Standard cost - Testing'!$A$1:$N$497,MATCH(RIGHT($C232,4),'Standard cost - Testing'!$A$1:$A$497,0),MATCH($E232,'Standard cost - Testing'!$K$1:$N$1,0)+10)))</f>
        <v>20725</v>
      </c>
      <c r="O232" s="45">
        <f>IF(OR(ISERROR($N232),$N232="",$N232="NA"),0,H232*$N232)*(1+INDEX('For Finance Control'!$B$27:$E$29,2,MATCH('Project information'!$A$4,'For Finance Control'!$B$27:$E$27,0)))</f>
        <v>0</v>
      </c>
      <c r="P232" s="45">
        <f>IF(OR(ISERROR($N232),$N232="",$N232="NA"),0,I232*$N232)*(1+INDEX('For Finance Control'!$B$27:$E$29,2,MATCH('Project information'!$A$4,'For Finance Control'!$B$27:$E$27,0)))</f>
        <v>0</v>
      </c>
      <c r="Q232" s="45">
        <f>IF(OR(ISERROR($N232),$N232="",$N232="NA"),0,J232*$N232)*(1+INDEX('For Finance Control'!$B$27:$E$29,2,MATCH('Project information'!$A$4,'For Finance Control'!$B$27:$E$27,0)))</f>
        <v>0</v>
      </c>
      <c r="R232" s="45">
        <f>IF(OR(ISERROR($N232),$N232="",$N232="NA"),0,K232*$N232)*(1+INDEX('For Finance Control'!$B$27:$E$29,2,MATCH('Project information'!$A$4,'For Finance Control'!$B$27:$E$27,0)))</f>
        <v>0</v>
      </c>
      <c r="S232" s="45">
        <f>IF(OR(ISERROR($N232),$N232="",$N232="NA"),0,L232*$N232)*(1+INDEX('For Finance Control'!$B$27:$E$29,2,MATCH('Project information'!$A$4,'For Finance Control'!$B$27:$E$27,0)))</f>
        <v>0</v>
      </c>
      <c r="T232" s="45">
        <f t="shared" si="248"/>
        <v>0</v>
      </c>
      <c r="U232" s="33" cm="1">
        <f t="array" ref="U232">IF($N232="NA","NA",$N232*INDEX('Exchange rate'!$A$1:$G$7,MATCH('Project information'!$A$13,'Exchange rate'!$A$1:$A$7,0),MATCH(LOOKUP(2,1/({"China";"Korea";"India";"Japan";"EUR";"NAO"}=$E232),{"CNY";"KRW";"INR";"JPY";"EUR";"USD"}),'Exchange rate'!$A$1:$G$1,0)))</f>
        <v>20725</v>
      </c>
      <c r="V232" s="33">
        <f t="shared" si="249"/>
        <v>0</v>
      </c>
      <c r="W232" s="33">
        <f t="shared" si="250"/>
        <v>0</v>
      </c>
      <c r="X232" s="33">
        <f t="shared" si="251"/>
        <v>0</v>
      </c>
      <c r="Y232" s="33">
        <f t="shared" si="252"/>
        <v>0</v>
      </c>
      <c r="Z232" s="33">
        <f t="shared" si="253"/>
        <v>0</v>
      </c>
      <c r="AA232" s="33">
        <f t="shared" si="255"/>
        <v>0</v>
      </c>
      <c r="AB232" s="246"/>
      <c r="AC232" s="247"/>
      <c r="AZ232" s="148" t="str">
        <f t="shared" si="256"/>
        <v>5.110</v>
      </c>
      <c r="BA232" s="149" t="s">
        <v>355</v>
      </c>
    </row>
    <row r="233" spans="1:53" ht="25" outlineLevel="1">
      <c r="A233" s="148" t="str">
        <f t="shared" si="254"/>
        <v>5.111</v>
      </c>
      <c r="B233" s="148" t="str">
        <f>INDEX('Standard cost - Testing'!$A$1:$N$497,MATCH(RIGHT($C233,4),'Standard cost - Testing'!$A$1:$A$497,0),3)</f>
        <v>LVE</v>
      </c>
      <c r="C233" s="149" t="str">
        <f>'Standard cost - Testing'!B112&amp;" - "&amp;'Standard cost - Testing'!A112</f>
        <v>Fatigue test - F017</v>
      </c>
      <c r="D233" s="150" t="str">
        <f>IF(RIGHT(INDEX('Standard cost - Testing'!$A$1:$N$497,MATCH(RIGHT($C233,4),'Standard cost - Testing'!$A$1:$A$497,0),4),1)="]",INDEX('Standard cost - Testing'!$A$1:$N$497,MATCH(RIGHT($C233,4),'Standard cost - Testing'!$A$1:$A$497,0),4),IF(INDEX('Standard cost - Testing'!$A$1:$N$497,MATCH(RIGHT($C233,4),'Standard cost - Testing'!$A$1:$A$497,0),10)=1,INDEX('Standard cost - Testing'!$A$1:$N$497,MATCH(RIGHT($C233,4),'Standard cost - Testing'!$A$1:$A$497,0),4)&amp;" [1 part]",INDEX('Standard cost - Testing'!$A$1:$N$497,MATCH(RIGHT($C233,4),'Standard cost - Testing'!$A$1:$A$497,0),4)&amp;" ["&amp;INDEX('Standard cost - Testing'!$A$1:$N$497,MATCH(RIGHT($C233,4),'Standard cost - Testing'!$A$1:$A$497,0),10)&amp;" parts]"))</f>
        <v>Mono-axis fatigue test [5 parts]</v>
      </c>
      <c r="E233" s="51" t="str">
        <f>IF('Project information'!$A$4="","",'Project information'!$A$4)</f>
        <v>China</v>
      </c>
      <c r="F233" s="149" t="str">
        <f>INDEX('Standard cost - Testing'!$A$1:$N$497,MATCH(RIGHT($C233,4),'Standard cost - Testing'!$A$1:$A$497,0),5)</f>
        <v>VW</v>
      </c>
      <c r="G233" s="149" t="str">
        <f>IF($E233='Standard cost - Testing'!$F$1,INDEX('Standard cost - Testing'!$A$1:$N$497,MATCH(RIGHT($C233,4),'Standard cost - Testing'!$A$1:$A$497,0),6),INDEX('Standard cost - Testing'!$A$1:$N$497,MATCH(RIGHT($C233,4),'Standard cost - Testing'!$A$1:$A$497,0),7))</f>
        <v>CHD-I-DSE-2004</v>
      </c>
      <c r="H233" s="46"/>
      <c r="I233" s="46"/>
      <c r="J233" s="46"/>
      <c r="K233" s="46"/>
      <c r="L233" s="46"/>
      <c r="M233" s="33">
        <f t="shared" si="247"/>
        <v>0</v>
      </c>
      <c r="N233" s="157">
        <f>IF(E233="","",IF(ISERROR(INDEX('Standard cost - Testing'!$A$1:$N$497,MATCH(RIGHT($C233,4),'Standard cost - Testing'!$A$1:$A$497,0),MATCH($E233,'Standard cost - Testing'!$K$1:$N$1,0)+10)),"NA",INDEX('Standard cost - Testing'!$A$1:$N$497,MATCH(RIGHT($C233,4),'Standard cost - Testing'!$A$1:$A$497,0),MATCH($E233,'Standard cost - Testing'!$K$1:$N$1,0)+10)))</f>
        <v>20485</v>
      </c>
      <c r="O233" s="45">
        <f>IF(OR(ISERROR($N233),$N233="",$N233="NA"),0,H233*$N233)*(1+INDEX('For Finance Control'!$B$27:$E$29,2,MATCH('Project information'!$A$4,'For Finance Control'!$B$27:$E$27,0)))</f>
        <v>0</v>
      </c>
      <c r="P233" s="45">
        <f>IF(OR(ISERROR($N233),$N233="",$N233="NA"),0,I233*$N233)*(1+INDEX('For Finance Control'!$B$27:$E$29,2,MATCH('Project information'!$A$4,'For Finance Control'!$B$27:$E$27,0)))</f>
        <v>0</v>
      </c>
      <c r="Q233" s="45">
        <f>IF(OR(ISERROR($N233),$N233="",$N233="NA"),0,J233*$N233)*(1+INDEX('For Finance Control'!$B$27:$E$29,2,MATCH('Project information'!$A$4,'For Finance Control'!$B$27:$E$27,0)))</f>
        <v>0</v>
      </c>
      <c r="R233" s="45">
        <f>IF(OR(ISERROR($N233),$N233="",$N233="NA"),0,K233*$N233)*(1+INDEX('For Finance Control'!$B$27:$E$29,2,MATCH('Project information'!$A$4,'For Finance Control'!$B$27:$E$27,0)))</f>
        <v>0</v>
      </c>
      <c r="S233" s="45">
        <f>IF(OR(ISERROR($N233),$N233="",$N233="NA"),0,L233*$N233)*(1+INDEX('For Finance Control'!$B$27:$E$29,2,MATCH('Project information'!$A$4,'For Finance Control'!$B$27:$E$27,0)))</f>
        <v>0</v>
      </c>
      <c r="T233" s="45">
        <f t="shared" si="248"/>
        <v>0</v>
      </c>
      <c r="U233" s="33" cm="1">
        <f t="array" ref="U233">IF($N233="NA","NA",$N233*INDEX('Exchange rate'!$A$1:$G$7,MATCH('Project information'!$A$13,'Exchange rate'!$A$1:$A$7,0),MATCH(LOOKUP(2,1/({"China";"Korea";"India";"Japan";"EUR";"NAO"}=$E233),{"CNY";"KRW";"INR";"JPY";"EUR";"USD"}),'Exchange rate'!$A$1:$G$1,0)))</f>
        <v>20485</v>
      </c>
      <c r="V233" s="33">
        <f t="shared" si="249"/>
        <v>0</v>
      </c>
      <c r="W233" s="33">
        <f t="shared" si="250"/>
        <v>0</v>
      </c>
      <c r="X233" s="33">
        <f t="shared" si="251"/>
        <v>0</v>
      </c>
      <c r="Y233" s="33">
        <f t="shared" si="252"/>
        <v>0</v>
      </c>
      <c r="Z233" s="33">
        <f t="shared" si="253"/>
        <v>0</v>
      </c>
      <c r="AA233" s="33">
        <f t="shared" si="255"/>
        <v>0</v>
      </c>
      <c r="AB233" s="246"/>
      <c r="AC233" s="247"/>
      <c r="AZ233" s="148" t="str">
        <f t="shared" si="256"/>
        <v>5.111</v>
      </c>
      <c r="BA233" s="149" t="s">
        <v>355</v>
      </c>
    </row>
    <row r="234" spans="1:53" ht="25" outlineLevel="1">
      <c r="A234" s="148" t="str">
        <f t="shared" si="254"/>
        <v>5.112</v>
      </c>
      <c r="B234" s="148" t="str">
        <f>INDEX('Standard cost - Testing'!$A$1:$N$497,MATCH(RIGHT($C234,4),'Standard cost - Testing'!$A$1:$A$497,0),3)</f>
        <v>LVE</v>
      </c>
      <c r="C234" s="149" t="str">
        <f>'Standard cost - Testing'!B113&amp;" - "&amp;'Standard cost - Testing'!A113</f>
        <v>Fatigue test - F018</v>
      </c>
      <c r="D234" s="150" t="str">
        <f>IF(RIGHT(INDEX('Standard cost - Testing'!$A$1:$N$497,MATCH(RIGHT($C234,4),'Standard cost - Testing'!$A$1:$A$497,0),4),1)="]",INDEX('Standard cost - Testing'!$A$1:$N$497,MATCH(RIGHT($C234,4),'Standard cost - Testing'!$A$1:$A$497,0),4),IF(INDEX('Standard cost - Testing'!$A$1:$N$497,MATCH(RIGHT($C234,4),'Standard cost - Testing'!$A$1:$A$497,0),10)=1,INDEX('Standard cost - Testing'!$A$1:$N$497,MATCH(RIGHT($C234,4),'Standard cost - Testing'!$A$1:$A$497,0),4)&amp;" [1 part]",INDEX('Standard cost - Testing'!$A$1:$N$497,MATCH(RIGHT($C234,4),'Standard cost - Testing'!$A$1:$A$497,0),4)&amp;" ["&amp;INDEX('Standard cost - Testing'!$A$1:$N$497,MATCH(RIGHT($C234,4),'Standard cost - Testing'!$A$1:$A$497,0),10)&amp;" parts]"))</f>
        <v>Mono-axis fatigue test - Pipe [5 parts]</v>
      </c>
      <c r="E234" s="51" t="str">
        <f>IF('Project information'!$A$4="","",'Project information'!$A$4)</f>
        <v>China</v>
      </c>
      <c r="F234" s="149" t="str">
        <f>INDEX('Standard cost - Testing'!$A$1:$N$497,MATCH(RIGHT($C234,4),'Standard cost - Testing'!$A$1:$A$497,0),5)</f>
        <v>GM</v>
      </c>
      <c r="G234" s="149" t="str">
        <f>IF($E234='Standard cost - Testing'!$F$1,INDEX('Standard cost - Testing'!$A$1:$N$497,MATCH(RIGHT($C234,4),'Standard cost - Testing'!$A$1:$A$497,0),6),INDEX('Standard cost - Testing'!$A$1:$N$497,MATCH(RIGHT($C234,4),'Standard cost - Testing'!$A$1:$A$497,0),7))</f>
        <v>GMW14390</v>
      </c>
      <c r="H234" s="46"/>
      <c r="I234" s="46"/>
      <c r="J234" s="46"/>
      <c r="K234" s="46"/>
      <c r="L234" s="46"/>
      <c r="M234" s="33">
        <f t="shared" si="247"/>
        <v>0</v>
      </c>
      <c r="N234" s="157">
        <f>IF(E234="","",IF(ISERROR(INDEX('Standard cost - Testing'!$A$1:$N$497,MATCH(RIGHT($C234,4),'Standard cost - Testing'!$A$1:$A$497,0),MATCH($E234,'Standard cost - Testing'!$K$1:$N$1,0)+10)),"NA",INDEX('Standard cost - Testing'!$A$1:$N$497,MATCH(RIGHT($C234,4),'Standard cost - Testing'!$A$1:$A$497,0),MATCH($E234,'Standard cost - Testing'!$K$1:$N$1,0)+10)))</f>
        <v>26725</v>
      </c>
      <c r="O234" s="45">
        <f>IF(OR(ISERROR($N234),$N234="",$N234="NA"),0,H234*$N234)*(1+INDEX('For Finance Control'!$B$27:$E$29,2,MATCH('Project information'!$A$4,'For Finance Control'!$B$27:$E$27,0)))</f>
        <v>0</v>
      </c>
      <c r="P234" s="45">
        <f>IF(OR(ISERROR($N234),$N234="",$N234="NA"),0,I234*$N234)*(1+INDEX('For Finance Control'!$B$27:$E$29,2,MATCH('Project information'!$A$4,'For Finance Control'!$B$27:$E$27,0)))</f>
        <v>0</v>
      </c>
      <c r="Q234" s="45">
        <f>IF(OR(ISERROR($N234),$N234="",$N234="NA"),0,J234*$N234)*(1+INDEX('For Finance Control'!$B$27:$E$29,2,MATCH('Project information'!$A$4,'For Finance Control'!$B$27:$E$27,0)))</f>
        <v>0</v>
      </c>
      <c r="R234" s="45">
        <f>IF(OR(ISERROR($N234),$N234="",$N234="NA"),0,K234*$N234)*(1+INDEX('For Finance Control'!$B$27:$E$29,2,MATCH('Project information'!$A$4,'For Finance Control'!$B$27:$E$27,0)))</f>
        <v>0</v>
      </c>
      <c r="S234" s="45">
        <f>IF(OR(ISERROR($N234),$N234="",$N234="NA"),0,L234*$N234)*(1+INDEX('For Finance Control'!$B$27:$E$29,2,MATCH('Project information'!$A$4,'For Finance Control'!$B$27:$E$27,0)))</f>
        <v>0</v>
      </c>
      <c r="T234" s="45">
        <f t="shared" si="248"/>
        <v>0</v>
      </c>
      <c r="U234" s="33" cm="1">
        <f t="array" ref="U234">IF($N234="NA","NA",$N234*INDEX('Exchange rate'!$A$1:$G$7,MATCH('Project information'!$A$13,'Exchange rate'!$A$1:$A$7,0),MATCH(LOOKUP(2,1/({"China";"Korea";"India";"Japan";"EUR";"NAO"}=$E234),{"CNY";"KRW";"INR";"JPY";"EUR";"USD"}),'Exchange rate'!$A$1:$G$1,0)))</f>
        <v>26725</v>
      </c>
      <c r="V234" s="33">
        <f t="shared" si="249"/>
        <v>0</v>
      </c>
      <c r="W234" s="33">
        <f t="shared" si="250"/>
        <v>0</v>
      </c>
      <c r="X234" s="33">
        <f t="shared" si="251"/>
        <v>0</v>
      </c>
      <c r="Y234" s="33">
        <f t="shared" si="252"/>
        <v>0</v>
      </c>
      <c r="Z234" s="33">
        <f t="shared" si="253"/>
        <v>0</v>
      </c>
      <c r="AA234" s="33">
        <f t="shared" si="255"/>
        <v>0</v>
      </c>
      <c r="AB234" s="246"/>
      <c r="AC234" s="247"/>
      <c r="AZ234" s="148" t="str">
        <f t="shared" si="256"/>
        <v>5.112</v>
      </c>
      <c r="BA234" s="149" t="s">
        <v>356</v>
      </c>
    </row>
    <row r="235" spans="1:53" ht="25" outlineLevel="1">
      <c r="A235" s="148" t="str">
        <f t="shared" si="254"/>
        <v>5.113</v>
      </c>
      <c r="B235" s="148" t="str">
        <f>INDEX('Standard cost - Testing'!$A$1:$N$497,MATCH(RIGHT($C235,4),'Standard cost - Testing'!$A$1:$A$497,0),3)</f>
        <v>LVE</v>
      </c>
      <c r="C235" s="149" t="str">
        <f>'Standard cost - Testing'!B114&amp;" - "&amp;'Standard cost - Testing'!A114</f>
        <v>Fatigue test - F019</v>
      </c>
      <c r="D235" s="150" t="str">
        <f>IF(RIGHT(INDEX('Standard cost - Testing'!$A$1:$N$497,MATCH(RIGHT($C235,4),'Standard cost - Testing'!$A$1:$A$497,0),4),1)="]",INDEX('Standard cost - Testing'!$A$1:$N$497,MATCH(RIGHT($C235,4),'Standard cost - Testing'!$A$1:$A$497,0),4),IF(INDEX('Standard cost - Testing'!$A$1:$N$497,MATCH(RIGHT($C235,4),'Standard cost - Testing'!$A$1:$A$497,0),10)=1,INDEX('Standard cost - Testing'!$A$1:$N$497,MATCH(RIGHT($C235,4),'Standard cost - Testing'!$A$1:$A$497,0),4)&amp;" [1 part]",INDEX('Standard cost - Testing'!$A$1:$N$497,MATCH(RIGHT($C235,4),'Standard cost - Testing'!$A$1:$A$497,0),4)&amp;" ["&amp;INDEX('Standard cost - Testing'!$A$1:$N$497,MATCH(RIGHT($C235,4),'Standard cost - Testing'!$A$1:$A$497,0),10)&amp;" parts]"))</f>
        <v>Mono-axis fatigue test - Hanger [5 parts]</v>
      </c>
      <c r="E235" s="51" t="str">
        <f>IF('Project information'!$A$4="","",'Project information'!$A$4)</f>
        <v>China</v>
      </c>
      <c r="F235" s="149" t="str">
        <f>INDEX('Standard cost - Testing'!$A$1:$N$497,MATCH(RIGHT($C235,4),'Standard cost - Testing'!$A$1:$A$497,0),5)</f>
        <v>GM</v>
      </c>
      <c r="G235" s="149" t="str">
        <f>IF($E235='Standard cost - Testing'!$F$1,INDEX('Standard cost - Testing'!$A$1:$N$497,MATCH(RIGHT($C235,4),'Standard cost - Testing'!$A$1:$A$497,0),6),INDEX('Standard cost - Testing'!$A$1:$N$497,MATCH(RIGHT($C235,4),'Standard cost - Testing'!$A$1:$A$497,0),7))</f>
        <v>GMW14381</v>
      </c>
      <c r="H235" s="46"/>
      <c r="I235" s="46"/>
      <c r="J235" s="46"/>
      <c r="K235" s="46"/>
      <c r="L235" s="46"/>
      <c r="M235" s="33">
        <f t="shared" si="247"/>
        <v>0</v>
      </c>
      <c r="N235" s="157">
        <f>IF(E235="","",IF(ISERROR(INDEX('Standard cost - Testing'!$A$1:$N$497,MATCH(RIGHT($C235,4),'Standard cost - Testing'!$A$1:$A$497,0),MATCH($E235,'Standard cost - Testing'!$K$1:$N$1,0)+10)),"NA",INDEX('Standard cost - Testing'!$A$1:$N$497,MATCH(RIGHT($C235,4),'Standard cost - Testing'!$A$1:$A$497,0),MATCH($E235,'Standard cost - Testing'!$K$1:$N$1,0)+10)))</f>
        <v>26725</v>
      </c>
      <c r="O235" s="45">
        <f>IF(OR(ISERROR($N235),$N235="",$N235="NA"),0,H235*$N235)*(1+INDEX('For Finance Control'!$B$27:$E$29,2,MATCH('Project information'!$A$4,'For Finance Control'!$B$27:$E$27,0)))</f>
        <v>0</v>
      </c>
      <c r="P235" s="45">
        <f>IF(OR(ISERROR($N235),$N235="",$N235="NA"),0,I235*$N235)*(1+INDEX('For Finance Control'!$B$27:$E$29,2,MATCH('Project information'!$A$4,'For Finance Control'!$B$27:$E$27,0)))</f>
        <v>0</v>
      </c>
      <c r="Q235" s="45">
        <f>IF(OR(ISERROR($N235),$N235="",$N235="NA"),0,J235*$N235)*(1+INDEX('For Finance Control'!$B$27:$E$29,2,MATCH('Project information'!$A$4,'For Finance Control'!$B$27:$E$27,0)))</f>
        <v>0</v>
      </c>
      <c r="R235" s="45">
        <f>IF(OR(ISERROR($N235),$N235="",$N235="NA"),0,K235*$N235)*(1+INDEX('For Finance Control'!$B$27:$E$29,2,MATCH('Project information'!$A$4,'For Finance Control'!$B$27:$E$27,0)))</f>
        <v>0</v>
      </c>
      <c r="S235" s="45">
        <f>IF(OR(ISERROR($N235),$N235="",$N235="NA"),0,L235*$N235)*(1+INDEX('For Finance Control'!$B$27:$E$29,2,MATCH('Project information'!$A$4,'For Finance Control'!$B$27:$E$27,0)))</f>
        <v>0</v>
      </c>
      <c r="T235" s="45">
        <f t="shared" si="248"/>
        <v>0</v>
      </c>
      <c r="U235" s="33" cm="1">
        <f t="array" ref="U235">IF($N235="NA","NA",$N235*INDEX('Exchange rate'!$A$1:$G$7,MATCH('Project information'!$A$13,'Exchange rate'!$A$1:$A$7,0),MATCH(LOOKUP(2,1/({"China";"Korea";"India";"Japan";"EUR";"NAO"}=$E235),{"CNY";"KRW";"INR";"JPY";"EUR";"USD"}),'Exchange rate'!$A$1:$G$1,0)))</f>
        <v>26725</v>
      </c>
      <c r="V235" s="33">
        <f t="shared" si="249"/>
        <v>0</v>
      </c>
      <c r="W235" s="33">
        <f t="shared" si="250"/>
        <v>0</v>
      </c>
      <c r="X235" s="33">
        <f t="shared" si="251"/>
        <v>0</v>
      </c>
      <c r="Y235" s="33">
        <f t="shared" si="252"/>
        <v>0</v>
      </c>
      <c r="Z235" s="33">
        <f t="shared" si="253"/>
        <v>0</v>
      </c>
      <c r="AA235" s="33">
        <f t="shared" si="255"/>
        <v>0</v>
      </c>
      <c r="AB235" s="246"/>
      <c r="AC235" s="247"/>
      <c r="AZ235" s="148" t="str">
        <f t="shared" si="256"/>
        <v>5.113</v>
      </c>
      <c r="BA235" s="149" t="s">
        <v>357</v>
      </c>
    </row>
    <row r="236" spans="1:53" ht="25" outlineLevel="1">
      <c r="A236" s="148" t="str">
        <f t="shared" si="254"/>
        <v>5.114</v>
      </c>
      <c r="B236" s="148" t="str">
        <f>INDEX('Standard cost - Testing'!$A$1:$N$497,MATCH(RIGHT($C236,4),'Standard cost - Testing'!$A$1:$A$497,0),3)</f>
        <v>LVE</v>
      </c>
      <c r="C236" s="149" t="str">
        <f>'Standard cost - Testing'!B115&amp;" - "&amp;'Standard cost - Testing'!A115</f>
        <v>Fatigue test - F020</v>
      </c>
      <c r="D236" s="150" t="str">
        <f>IF(RIGHT(INDEX('Standard cost - Testing'!$A$1:$N$497,MATCH(RIGHT($C236,4),'Standard cost - Testing'!$A$1:$A$497,0),4),1)="]",INDEX('Standard cost - Testing'!$A$1:$N$497,MATCH(RIGHT($C236,4),'Standard cost - Testing'!$A$1:$A$497,0),4),IF(INDEX('Standard cost - Testing'!$A$1:$N$497,MATCH(RIGHT($C236,4),'Standard cost - Testing'!$A$1:$A$497,0),10)=1,INDEX('Standard cost - Testing'!$A$1:$N$497,MATCH(RIGHT($C236,4),'Standard cost - Testing'!$A$1:$A$497,0),4)&amp;" [1 part]",INDEX('Standard cost - Testing'!$A$1:$N$497,MATCH(RIGHT($C236,4),'Standard cost - Testing'!$A$1:$A$497,0),4)&amp;" ["&amp;INDEX('Standard cost - Testing'!$A$1:$N$497,MATCH(RIGHT($C236,4),'Standard cost - Testing'!$A$1:$A$497,0),10)&amp;" parts]"))</f>
        <v>Hot vibration manifold joint durability [6 parts]</v>
      </c>
      <c r="E236" s="51" t="str">
        <f>IF('Project information'!$A$4="","",'Project information'!$A$4)</f>
        <v>China</v>
      </c>
      <c r="F236" s="149" t="str">
        <f>INDEX('Standard cost - Testing'!$A$1:$N$497,MATCH(RIGHT($C236,4),'Standard cost - Testing'!$A$1:$A$497,0),5)</f>
        <v>Ford</v>
      </c>
      <c r="G236" s="149" t="str">
        <f>IF($E236='Standard cost - Testing'!$F$1,INDEX('Standard cost - Testing'!$A$1:$N$497,MATCH(RIGHT($C236,4),'Standard cost - Testing'!$A$1:$A$497,0),6),INDEX('Standard cost - Testing'!$A$1:$N$497,MATCH(RIGHT($C236,4),'Standard cost - Testing'!$A$1:$A$497,0),7))</f>
        <v>CETP_09.03-E-300</v>
      </c>
      <c r="H236" s="46"/>
      <c r="I236" s="46"/>
      <c r="J236" s="46"/>
      <c r="K236" s="46"/>
      <c r="L236" s="46"/>
      <c r="M236" s="33">
        <f t="shared" si="247"/>
        <v>0</v>
      </c>
      <c r="N236" s="157">
        <f>IF(E236="","",IF(ISERROR(INDEX('Standard cost - Testing'!$A$1:$N$497,MATCH(RIGHT($C236,4),'Standard cost - Testing'!$A$1:$A$497,0),MATCH($E236,'Standard cost - Testing'!$K$1:$N$1,0)+10)),"NA",INDEX('Standard cost - Testing'!$A$1:$N$497,MATCH(RIGHT($C236,4),'Standard cost - Testing'!$A$1:$A$497,0),MATCH($E236,'Standard cost - Testing'!$K$1:$N$1,0)+10)))</f>
        <v>100220</v>
      </c>
      <c r="O236" s="45">
        <f>IF(OR(ISERROR($N236),$N236="",$N236="NA"),0,H236*$N236)*(1+INDEX('For Finance Control'!$B$27:$E$29,2,MATCH('Project information'!$A$4,'For Finance Control'!$B$27:$E$27,0)))</f>
        <v>0</v>
      </c>
      <c r="P236" s="45">
        <f>IF(OR(ISERROR($N236),$N236="",$N236="NA"),0,I236*$N236)*(1+INDEX('For Finance Control'!$B$27:$E$29,2,MATCH('Project information'!$A$4,'For Finance Control'!$B$27:$E$27,0)))</f>
        <v>0</v>
      </c>
      <c r="Q236" s="45">
        <f>IF(OR(ISERROR($N236),$N236="",$N236="NA"),0,J236*$N236)*(1+INDEX('For Finance Control'!$B$27:$E$29,2,MATCH('Project information'!$A$4,'For Finance Control'!$B$27:$E$27,0)))</f>
        <v>0</v>
      </c>
      <c r="R236" s="45">
        <f>IF(OR(ISERROR($N236),$N236="",$N236="NA"),0,K236*$N236)*(1+INDEX('For Finance Control'!$B$27:$E$29,2,MATCH('Project information'!$A$4,'For Finance Control'!$B$27:$E$27,0)))</f>
        <v>0</v>
      </c>
      <c r="S236" s="45">
        <f>IF(OR(ISERROR($N236),$N236="",$N236="NA"),0,L236*$N236)*(1+INDEX('For Finance Control'!$B$27:$E$29,2,MATCH('Project information'!$A$4,'For Finance Control'!$B$27:$E$27,0)))</f>
        <v>0</v>
      </c>
      <c r="T236" s="45">
        <f t="shared" si="248"/>
        <v>0</v>
      </c>
      <c r="U236" s="33" cm="1">
        <f t="array" ref="U236">IF($N236="NA","NA",$N236*INDEX('Exchange rate'!$A$1:$G$7,MATCH('Project information'!$A$13,'Exchange rate'!$A$1:$A$7,0),MATCH(LOOKUP(2,1/({"China";"Korea";"India";"Japan";"EUR";"NAO"}=$E236),{"CNY";"KRW";"INR";"JPY";"EUR";"USD"}),'Exchange rate'!$A$1:$G$1,0)))</f>
        <v>100220</v>
      </c>
      <c r="V236" s="33">
        <f t="shared" si="249"/>
        <v>0</v>
      </c>
      <c r="W236" s="33">
        <f t="shared" si="250"/>
        <v>0</v>
      </c>
      <c r="X236" s="33">
        <f t="shared" si="251"/>
        <v>0</v>
      </c>
      <c r="Y236" s="33">
        <f t="shared" si="252"/>
        <v>0</v>
      </c>
      <c r="Z236" s="33">
        <f t="shared" si="253"/>
        <v>0</v>
      </c>
      <c r="AA236" s="33">
        <f t="shared" si="255"/>
        <v>0</v>
      </c>
      <c r="AB236" s="246"/>
      <c r="AC236" s="247"/>
      <c r="AZ236" s="148" t="str">
        <f t="shared" si="256"/>
        <v>5.114</v>
      </c>
      <c r="BA236" s="149" t="s">
        <v>358</v>
      </c>
    </row>
    <row r="237" spans="1:53" ht="25" outlineLevel="1">
      <c r="A237" s="148" t="str">
        <f t="shared" si="254"/>
        <v>5.115</v>
      </c>
      <c r="B237" s="148" t="str">
        <f>INDEX('Standard cost - Testing'!$A$1:$N$497,MATCH(RIGHT($C237,4),'Standard cost - Testing'!$A$1:$A$497,0),3)</f>
        <v>LVE</v>
      </c>
      <c r="C237" s="149" t="str">
        <f>'Standard cost - Testing'!B116&amp;" - "&amp;'Standard cost - Testing'!A116</f>
        <v>Fatigue test - F021</v>
      </c>
      <c r="D237" s="150" t="str">
        <f>IF(RIGHT(INDEX('Standard cost - Testing'!$A$1:$N$497,MATCH(RIGHT($C237,4),'Standard cost - Testing'!$A$1:$A$497,0),4),1)="]",INDEX('Standard cost - Testing'!$A$1:$N$497,MATCH(RIGHT($C237,4),'Standard cost - Testing'!$A$1:$A$497,0),4),IF(INDEX('Standard cost - Testing'!$A$1:$N$497,MATCH(RIGHT($C237,4),'Standard cost - Testing'!$A$1:$A$497,0),10)=1,INDEX('Standard cost - Testing'!$A$1:$N$497,MATCH(RIGHT($C237,4),'Standard cost - Testing'!$A$1:$A$497,0),4)&amp;" [1 part]",INDEX('Standard cost - Testing'!$A$1:$N$497,MATCH(RIGHT($C237,4),'Standard cost - Testing'!$A$1:$A$497,0),4)&amp;" ["&amp;INDEX('Standard cost - Testing'!$A$1:$N$497,MATCH(RIGHT($C237,4),'Standard cost - Testing'!$A$1:$A$497,0),10)&amp;" parts]"))</f>
        <v>Fatigue test (simulation)_hanger [1 part]</v>
      </c>
      <c r="E237" s="51" t="str">
        <f>IF('Project information'!$A$4="","",'Project information'!$A$4)</f>
        <v>China</v>
      </c>
      <c r="F237" s="149" t="str">
        <f>INDEX('Standard cost - Testing'!$A$1:$N$497,MATCH(RIGHT($C237,4),'Standard cost - Testing'!$A$1:$A$497,0),5)</f>
        <v>HMC</v>
      </c>
      <c r="G237" s="149" t="str">
        <f>IF($E237='Standard cost - Testing'!$F$1,INDEX('Standard cost - Testing'!$A$1:$N$497,MATCH(RIGHT($C237,4),'Standard cost - Testing'!$A$1:$A$497,0),6),INDEX('Standard cost - Testing'!$A$1:$N$497,MATCH(RIGHT($C237,4),'Standard cost - Testing'!$A$1:$A$497,0),7))</f>
        <v>ES28600-22</v>
      </c>
      <c r="H237" s="46"/>
      <c r="I237" s="46"/>
      <c r="J237" s="46"/>
      <c r="K237" s="46"/>
      <c r="L237" s="46"/>
      <c r="M237" s="33">
        <f t="shared" si="247"/>
        <v>0</v>
      </c>
      <c r="N237" s="157" t="str">
        <f>IF(E237="","",IF(ISERROR(INDEX('Standard cost - Testing'!$A$1:$N$497,MATCH(RIGHT($C237,4),'Standard cost - Testing'!$A$1:$A$497,0),MATCH($E237,'Standard cost - Testing'!$K$1:$N$1,0)+10)),"NA",INDEX('Standard cost - Testing'!$A$1:$N$497,MATCH(RIGHT($C237,4),'Standard cost - Testing'!$A$1:$A$497,0),MATCH($E237,'Standard cost - Testing'!$K$1:$N$1,0)+10)))</f>
        <v>NA</v>
      </c>
      <c r="O237" s="45">
        <f>IF(OR(ISERROR($N237),$N237="",$N237="NA"),0,H237*$N237)*(1+INDEX('For Finance Control'!$B$27:$E$29,2,MATCH('Project information'!$A$4,'For Finance Control'!$B$27:$E$27,0)))</f>
        <v>0</v>
      </c>
      <c r="P237" s="45">
        <f>IF(OR(ISERROR($N237),$N237="",$N237="NA"),0,I237*$N237)*(1+INDEX('For Finance Control'!$B$27:$E$29,2,MATCH('Project information'!$A$4,'For Finance Control'!$B$27:$E$27,0)))</f>
        <v>0</v>
      </c>
      <c r="Q237" s="45">
        <f>IF(OR(ISERROR($N237),$N237="",$N237="NA"),0,J237*$N237)*(1+INDEX('For Finance Control'!$B$27:$E$29,2,MATCH('Project information'!$A$4,'For Finance Control'!$B$27:$E$27,0)))</f>
        <v>0</v>
      </c>
      <c r="R237" s="45">
        <f>IF(OR(ISERROR($N237),$N237="",$N237="NA"),0,K237*$N237)*(1+INDEX('For Finance Control'!$B$27:$E$29,2,MATCH('Project information'!$A$4,'For Finance Control'!$B$27:$E$27,0)))</f>
        <v>0</v>
      </c>
      <c r="S237" s="45">
        <f>IF(OR(ISERROR($N237),$N237="",$N237="NA"),0,L237*$N237)*(1+INDEX('For Finance Control'!$B$27:$E$29,2,MATCH('Project information'!$A$4,'For Finance Control'!$B$27:$E$27,0)))</f>
        <v>0</v>
      </c>
      <c r="T237" s="45">
        <f t="shared" si="248"/>
        <v>0</v>
      </c>
      <c r="U237" s="33" t="str" cm="1">
        <f t="array" ref="U237">IF($N237="NA","NA",$N237*INDEX('Exchange rate'!$A$1:$G$7,MATCH('Project information'!$A$13,'Exchange rate'!$A$1:$A$7,0),MATCH(LOOKUP(2,1/({"China";"Korea";"India";"Japan";"EUR";"NAO"}=$E237),{"CNY";"KRW";"INR";"JPY";"EUR";"USD"}),'Exchange rate'!$A$1:$G$1,0)))</f>
        <v>NA</v>
      </c>
      <c r="V237" s="33">
        <f t="shared" si="249"/>
        <v>0</v>
      </c>
      <c r="W237" s="33">
        <f t="shared" si="250"/>
        <v>0</v>
      </c>
      <c r="X237" s="33">
        <f t="shared" si="251"/>
        <v>0</v>
      </c>
      <c r="Y237" s="33">
        <f t="shared" si="252"/>
        <v>0</v>
      </c>
      <c r="Z237" s="33">
        <f t="shared" si="253"/>
        <v>0</v>
      </c>
      <c r="AA237" s="33">
        <f t="shared" si="255"/>
        <v>0</v>
      </c>
      <c r="AB237" s="246"/>
      <c r="AC237" s="247"/>
      <c r="AZ237" s="148" t="str">
        <f t="shared" si="256"/>
        <v>5.115</v>
      </c>
      <c r="BA237" s="149" t="s">
        <v>359</v>
      </c>
    </row>
    <row r="238" spans="1:53" ht="25" outlineLevel="1">
      <c r="A238" s="148" t="str">
        <f t="shared" si="254"/>
        <v>5.116</v>
      </c>
      <c r="B238" s="148" t="str">
        <f>INDEX('Standard cost - Testing'!$A$1:$N$497,MATCH(RIGHT($C238,4),'Standard cost - Testing'!$A$1:$A$497,0),3)</f>
        <v>LVE</v>
      </c>
      <c r="C238" s="149" t="str">
        <f>'Standard cost - Testing'!B117&amp;" - "&amp;'Standard cost - Testing'!A117</f>
        <v>Fatigue test - F022</v>
      </c>
      <c r="D238" s="150" t="str">
        <f>IF(RIGHT(INDEX('Standard cost - Testing'!$A$1:$N$497,MATCH(RIGHT($C238,4),'Standard cost - Testing'!$A$1:$A$497,0),4),1)="]",INDEX('Standard cost - Testing'!$A$1:$N$497,MATCH(RIGHT($C238,4),'Standard cost - Testing'!$A$1:$A$497,0),4),IF(INDEX('Standard cost - Testing'!$A$1:$N$497,MATCH(RIGHT($C238,4),'Standard cost - Testing'!$A$1:$A$497,0),10)=1,INDEX('Standard cost - Testing'!$A$1:$N$497,MATCH(RIGHT($C238,4),'Standard cost - Testing'!$A$1:$A$497,0),4)&amp;" [1 part]",INDEX('Standard cost - Testing'!$A$1:$N$497,MATCH(RIGHT($C238,4),'Standard cost - Testing'!$A$1:$A$497,0),4)&amp;" ["&amp;INDEX('Standard cost - Testing'!$A$1:$N$497,MATCH(RIGHT($C238,4),'Standard cost - Testing'!$A$1:$A$497,0),10)&amp;" parts]"))</f>
        <v>Fatigue test (simulation)_pipe [1 part]</v>
      </c>
      <c r="E238" s="51" t="str">
        <f>IF('Project information'!$A$4="","",'Project information'!$A$4)</f>
        <v>China</v>
      </c>
      <c r="F238" s="149" t="str">
        <f>INDEX('Standard cost - Testing'!$A$1:$N$497,MATCH(RIGHT($C238,4),'Standard cost - Testing'!$A$1:$A$497,0),5)</f>
        <v>HMC</v>
      </c>
      <c r="G238" s="149" t="str">
        <f>IF($E238='Standard cost - Testing'!$F$1,INDEX('Standard cost - Testing'!$A$1:$N$497,MATCH(RIGHT($C238,4),'Standard cost - Testing'!$A$1:$A$497,0),6),INDEX('Standard cost - Testing'!$A$1:$N$497,MATCH(RIGHT($C238,4),'Standard cost - Testing'!$A$1:$A$497,0),7))</f>
        <v>ES28600-22</v>
      </c>
      <c r="H238" s="46"/>
      <c r="I238" s="46"/>
      <c r="J238" s="46"/>
      <c r="K238" s="46"/>
      <c r="L238" s="46"/>
      <c r="M238" s="33">
        <f t="shared" si="247"/>
        <v>0</v>
      </c>
      <c r="N238" s="157" t="str">
        <f>IF(E238="","",IF(ISERROR(INDEX('Standard cost - Testing'!$A$1:$N$497,MATCH(RIGHT($C238,4),'Standard cost - Testing'!$A$1:$A$497,0),MATCH($E238,'Standard cost - Testing'!$K$1:$N$1,0)+10)),"NA",INDEX('Standard cost - Testing'!$A$1:$N$497,MATCH(RIGHT($C238,4),'Standard cost - Testing'!$A$1:$A$497,0),MATCH($E238,'Standard cost - Testing'!$K$1:$N$1,0)+10)))</f>
        <v>NA</v>
      </c>
      <c r="O238" s="45">
        <f>IF(OR(ISERROR($N238),$N238="",$N238="NA"),0,H238*$N238)*(1+INDEX('For Finance Control'!$B$27:$E$29,2,MATCH('Project information'!$A$4,'For Finance Control'!$B$27:$E$27,0)))</f>
        <v>0</v>
      </c>
      <c r="P238" s="45">
        <f>IF(OR(ISERROR($N238),$N238="",$N238="NA"),0,I238*$N238)*(1+INDEX('For Finance Control'!$B$27:$E$29,2,MATCH('Project information'!$A$4,'For Finance Control'!$B$27:$E$27,0)))</f>
        <v>0</v>
      </c>
      <c r="Q238" s="45">
        <f>IF(OR(ISERROR($N238),$N238="",$N238="NA"),0,J238*$N238)*(1+INDEX('For Finance Control'!$B$27:$E$29,2,MATCH('Project information'!$A$4,'For Finance Control'!$B$27:$E$27,0)))</f>
        <v>0</v>
      </c>
      <c r="R238" s="45">
        <f>IF(OR(ISERROR($N238),$N238="",$N238="NA"),0,K238*$N238)*(1+INDEX('For Finance Control'!$B$27:$E$29,2,MATCH('Project information'!$A$4,'For Finance Control'!$B$27:$E$27,0)))</f>
        <v>0</v>
      </c>
      <c r="S238" s="45">
        <f>IF(OR(ISERROR($N238),$N238="",$N238="NA"),0,L238*$N238)*(1+INDEX('For Finance Control'!$B$27:$E$29,2,MATCH('Project information'!$A$4,'For Finance Control'!$B$27:$E$27,0)))</f>
        <v>0</v>
      </c>
      <c r="T238" s="45">
        <f t="shared" si="248"/>
        <v>0</v>
      </c>
      <c r="U238" s="33" t="str" cm="1">
        <f t="array" ref="U238">IF($N238="NA","NA",$N238*INDEX('Exchange rate'!$A$1:$G$7,MATCH('Project information'!$A$13,'Exchange rate'!$A$1:$A$7,0),MATCH(LOOKUP(2,1/({"China";"Korea";"India";"Japan";"EUR";"NAO"}=$E238),{"CNY";"KRW";"INR";"JPY";"EUR";"USD"}),'Exchange rate'!$A$1:$G$1,0)))</f>
        <v>NA</v>
      </c>
      <c r="V238" s="33">
        <f t="shared" si="249"/>
        <v>0</v>
      </c>
      <c r="W238" s="33">
        <f t="shared" si="250"/>
        <v>0</v>
      </c>
      <c r="X238" s="33">
        <f t="shared" si="251"/>
        <v>0</v>
      </c>
      <c r="Y238" s="33">
        <f t="shared" si="252"/>
        <v>0</v>
      </c>
      <c r="Z238" s="33">
        <f t="shared" si="253"/>
        <v>0</v>
      </c>
      <c r="AA238" s="33">
        <f t="shared" si="255"/>
        <v>0</v>
      </c>
      <c r="AB238" s="246"/>
      <c r="AC238" s="247"/>
      <c r="AZ238" s="148" t="str">
        <f t="shared" si="256"/>
        <v>5.116</v>
      </c>
      <c r="BA238" s="149" t="s">
        <v>359</v>
      </c>
    </row>
    <row r="239" spans="1:53" ht="25" outlineLevel="1">
      <c r="A239" s="148" t="str">
        <f t="shared" si="254"/>
        <v>5.117</v>
      </c>
      <c r="B239" s="148" t="str">
        <f>INDEX('Standard cost - Testing'!$A$1:$N$497,MATCH(RIGHT($C239,4),'Standard cost - Testing'!$A$1:$A$497,0),3)</f>
        <v>LVE</v>
      </c>
      <c r="C239" s="149" t="str">
        <f>'Standard cost - Testing'!B118&amp;" - "&amp;'Standard cost - Testing'!A118</f>
        <v>Fatigue test - F023</v>
      </c>
      <c r="D239" s="150" t="str">
        <f>IF(RIGHT(INDEX('Standard cost - Testing'!$A$1:$N$497,MATCH(RIGHT($C239,4),'Standard cost - Testing'!$A$1:$A$497,0),4),1)="]",INDEX('Standard cost - Testing'!$A$1:$N$497,MATCH(RIGHT($C239,4),'Standard cost - Testing'!$A$1:$A$497,0),4),IF(INDEX('Standard cost - Testing'!$A$1:$N$497,MATCH(RIGHT($C239,4),'Standard cost - Testing'!$A$1:$A$497,0),10)=1,INDEX('Standard cost - Testing'!$A$1:$N$497,MATCH(RIGHT($C239,4),'Standard cost - Testing'!$A$1:$A$497,0),4)&amp;" [1 part]",INDEX('Standard cost - Testing'!$A$1:$N$497,MATCH(RIGHT($C239,4),'Standard cost - Testing'!$A$1:$A$497,0),4)&amp;" ["&amp;INDEX('Standard cost - Testing'!$A$1:$N$497,MATCH(RIGHT($C239,4),'Standard cost - Testing'!$A$1:$A$497,0),10)&amp;" parts]"))</f>
        <v>Fatigue test (S-N curve)_hanger [9 parts]</v>
      </c>
      <c r="E239" s="51" t="str">
        <f>IF('Project information'!$A$4="","",'Project information'!$A$4)</f>
        <v>China</v>
      </c>
      <c r="F239" s="149" t="str">
        <f>INDEX('Standard cost - Testing'!$A$1:$N$497,MATCH(RIGHT($C239,4),'Standard cost - Testing'!$A$1:$A$497,0),5)</f>
        <v>HMC</v>
      </c>
      <c r="G239" s="149" t="str">
        <f>IF($E239='Standard cost - Testing'!$F$1,INDEX('Standard cost - Testing'!$A$1:$N$497,MATCH(RIGHT($C239,4),'Standard cost - Testing'!$A$1:$A$497,0),6),INDEX('Standard cost - Testing'!$A$1:$N$497,MATCH(RIGHT($C239,4),'Standard cost - Testing'!$A$1:$A$497,0),7))</f>
        <v>ES28600-22</v>
      </c>
      <c r="H239" s="46"/>
      <c r="I239" s="46"/>
      <c r="J239" s="46"/>
      <c r="K239" s="46"/>
      <c r="L239" s="46"/>
      <c r="M239" s="33">
        <f t="shared" si="247"/>
        <v>0</v>
      </c>
      <c r="N239" s="157">
        <f>IF(E239="","",IF(ISERROR(INDEX('Standard cost - Testing'!$A$1:$N$497,MATCH(RIGHT($C239,4),'Standard cost - Testing'!$A$1:$A$497,0),MATCH($E239,'Standard cost - Testing'!$K$1:$N$1,0)+10)),"NA",INDEX('Standard cost - Testing'!$A$1:$N$497,MATCH(RIGHT($C239,4),'Standard cost - Testing'!$A$1:$A$497,0),MATCH($E239,'Standard cost - Testing'!$K$1:$N$1,0)+10)))</f>
        <v>57783.5</v>
      </c>
      <c r="O239" s="45">
        <f>IF(OR(ISERROR($N239),$N239="",$N239="NA"),0,H239*$N239)*(1+INDEX('For Finance Control'!$B$27:$E$29,2,MATCH('Project information'!$A$4,'For Finance Control'!$B$27:$E$27,0)))</f>
        <v>0</v>
      </c>
      <c r="P239" s="45">
        <f>IF(OR(ISERROR($N239),$N239="",$N239="NA"),0,I239*$N239)*(1+INDEX('For Finance Control'!$B$27:$E$29,2,MATCH('Project information'!$A$4,'For Finance Control'!$B$27:$E$27,0)))</f>
        <v>0</v>
      </c>
      <c r="Q239" s="45">
        <f>IF(OR(ISERROR($N239),$N239="",$N239="NA"),0,J239*$N239)*(1+INDEX('For Finance Control'!$B$27:$E$29,2,MATCH('Project information'!$A$4,'For Finance Control'!$B$27:$E$27,0)))</f>
        <v>0</v>
      </c>
      <c r="R239" s="45">
        <f>IF(OR(ISERROR($N239),$N239="",$N239="NA"),0,K239*$N239)*(1+INDEX('For Finance Control'!$B$27:$E$29,2,MATCH('Project information'!$A$4,'For Finance Control'!$B$27:$E$27,0)))</f>
        <v>0</v>
      </c>
      <c r="S239" s="45">
        <f>IF(OR(ISERROR($N239),$N239="",$N239="NA"),0,L239*$N239)*(1+INDEX('For Finance Control'!$B$27:$E$29,2,MATCH('Project information'!$A$4,'For Finance Control'!$B$27:$E$27,0)))</f>
        <v>0</v>
      </c>
      <c r="T239" s="45">
        <f t="shared" si="248"/>
        <v>0</v>
      </c>
      <c r="U239" s="33" cm="1">
        <f t="array" ref="U239">IF($N239="NA","NA",$N239*INDEX('Exchange rate'!$A$1:$G$7,MATCH('Project information'!$A$13,'Exchange rate'!$A$1:$A$7,0),MATCH(LOOKUP(2,1/({"China";"Korea";"India";"Japan";"EUR";"NAO"}=$E239),{"CNY";"KRW";"INR";"JPY";"EUR";"USD"}),'Exchange rate'!$A$1:$G$1,0)))</f>
        <v>57783.5</v>
      </c>
      <c r="V239" s="33">
        <f t="shared" si="249"/>
        <v>0</v>
      </c>
      <c r="W239" s="33">
        <f t="shared" si="250"/>
        <v>0</v>
      </c>
      <c r="X239" s="33">
        <f t="shared" si="251"/>
        <v>0</v>
      </c>
      <c r="Y239" s="33">
        <f t="shared" si="252"/>
        <v>0</v>
      </c>
      <c r="Z239" s="33">
        <f t="shared" si="253"/>
        <v>0</v>
      </c>
      <c r="AA239" s="33">
        <f t="shared" si="255"/>
        <v>0</v>
      </c>
      <c r="AB239" s="246"/>
      <c r="AC239" s="247"/>
      <c r="AZ239" s="148" t="str">
        <f t="shared" si="256"/>
        <v>5.117</v>
      </c>
      <c r="BA239" s="149" t="s">
        <v>359</v>
      </c>
    </row>
    <row r="240" spans="1:53" ht="25" outlineLevel="1">
      <c r="A240" s="148" t="str">
        <f t="shared" si="254"/>
        <v>5.118</v>
      </c>
      <c r="B240" s="148" t="str">
        <f>INDEX('Standard cost - Testing'!$A$1:$N$497,MATCH(RIGHT($C240,4),'Standard cost - Testing'!$A$1:$A$497,0),3)</f>
        <v>LVE</v>
      </c>
      <c r="C240" s="149" t="str">
        <f>'Standard cost - Testing'!B119&amp;" - "&amp;'Standard cost - Testing'!A119</f>
        <v>Fatigue test - F024</v>
      </c>
      <c r="D240" s="150" t="str">
        <f>IF(RIGHT(INDEX('Standard cost - Testing'!$A$1:$N$497,MATCH(RIGHT($C240,4),'Standard cost - Testing'!$A$1:$A$497,0),4),1)="]",INDEX('Standard cost - Testing'!$A$1:$N$497,MATCH(RIGHT($C240,4),'Standard cost - Testing'!$A$1:$A$497,0),4),IF(INDEX('Standard cost - Testing'!$A$1:$N$497,MATCH(RIGHT($C240,4),'Standard cost - Testing'!$A$1:$A$497,0),10)=1,INDEX('Standard cost - Testing'!$A$1:$N$497,MATCH(RIGHT($C240,4),'Standard cost - Testing'!$A$1:$A$497,0),4)&amp;" [1 part]",INDEX('Standard cost - Testing'!$A$1:$N$497,MATCH(RIGHT($C240,4),'Standard cost - Testing'!$A$1:$A$497,0),4)&amp;" ["&amp;INDEX('Standard cost - Testing'!$A$1:$N$497,MATCH(RIGHT($C240,4),'Standard cost - Testing'!$A$1:$A$497,0),10)&amp;" parts]"))</f>
        <v>Fatigue test (S-N curve)_pipe [9 parts]</v>
      </c>
      <c r="E240" s="51" t="str">
        <f>IF('Project information'!$A$4="","",'Project information'!$A$4)</f>
        <v>China</v>
      </c>
      <c r="F240" s="149" t="str">
        <f>INDEX('Standard cost - Testing'!$A$1:$N$497,MATCH(RIGHT($C240,4),'Standard cost - Testing'!$A$1:$A$497,0),5)</f>
        <v>HMC</v>
      </c>
      <c r="G240" s="149" t="str">
        <f>IF($E240='Standard cost - Testing'!$F$1,INDEX('Standard cost - Testing'!$A$1:$N$497,MATCH(RIGHT($C240,4),'Standard cost - Testing'!$A$1:$A$497,0),6),INDEX('Standard cost - Testing'!$A$1:$N$497,MATCH(RIGHT($C240,4),'Standard cost - Testing'!$A$1:$A$497,0),7))</f>
        <v>ES28600-22</v>
      </c>
      <c r="H240" s="46"/>
      <c r="I240" s="46"/>
      <c r="J240" s="46"/>
      <c r="K240" s="46"/>
      <c r="L240" s="46"/>
      <c r="M240" s="33">
        <f t="shared" si="247"/>
        <v>0</v>
      </c>
      <c r="N240" s="157">
        <f>IF(E240="","",IF(ISERROR(INDEX('Standard cost - Testing'!$A$1:$N$497,MATCH(RIGHT($C240,4),'Standard cost - Testing'!$A$1:$A$497,0),MATCH($E240,'Standard cost - Testing'!$K$1:$N$1,0)+10)),"NA",INDEX('Standard cost - Testing'!$A$1:$N$497,MATCH(RIGHT($C240,4),'Standard cost - Testing'!$A$1:$A$497,0),MATCH($E240,'Standard cost - Testing'!$K$1:$N$1,0)+10)))</f>
        <v>109719.5</v>
      </c>
      <c r="O240" s="45">
        <f>IF(OR(ISERROR($N240),$N240="",$N240="NA"),0,H240*$N240)*(1+INDEX('For Finance Control'!$B$27:$E$29,2,MATCH('Project information'!$A$4,'For Finance Control'!$B$27:$E$27,0)))</f>
        <v>0</v>
      </c>
      <c r="P240" s="45">
        <f>IF(OR(ISERROR($N240),$N240="",$N240="NA"),0,I240*$N240)*(1+INDEX('For Finance Control'!$B$27:$E$29,2,MATCH('Project information'!$A$4,'For Finance Control'!$B$27:$E$27,0)))</f>
        <v>0</v>
      </c>
      <c r="Q240" s="45">
        <f>IF(OR(ISERROR($N240),$N240="",$N240="NA"),0,J240*$N240)*(1+INDEX('For Finance Control'!$B$27:$E$29,2,MATCH('Project information'!$A$4,'For Finance Control'!$B$27:$E$27,0)))</f>
        <v>0</v>
      </c>
      <c r="R240" s="45">
        <f>IF(OR(ISERROR($N240),$N240="",$N240="NA"),0,K240*$N240)*(1+INDEX('For Finance Control'!$B$27:$E$29,2,MATCH('Project information'!$A$4,'For Finance Control'!$B$27:$E$27,0)))</f>
        <v>0</v>
      </c>
      <c r="S240" s="45">
        <f>IF(OR(ISERROR($N240),$N240="",$N240="NA"),0,L240*$N240)*(1+INDEX('For Finance Control'!$B$27:$E$29,2,MATCH('Project information'!$A$4,'For Finance Control'!$B$27:$E$27,0)))</f>
        <v>0</v>
      </c>
      <c r="T240" s="45">
        <f t="shared" si="248"/>
        <v>0</v>
      </c>
      <c r="U240" s="33" cm="1">
        <f t="array" ref="U240">IF($N240="NA","NA",$N240*INDEX('Exchange rate'!$A$1:$G$7,MATCH('Project information'!$A$13,'Exchange rate'!$A$1:$A$7,0),MATCH(LOOKUP(2,1/({"China";"Korea";"India";"Japan";"EUR";"NAO"}=$E240),{"CNY";"KRW";"INR";"JPY";"EUR";"USD"}),'Exchange rate'!$A$1:$G$1,0)))</f>
        <v>109719.5</v>
      </c>
      <c r="V240" s="33">
        <f t="shared" si="249"/>
        <v>0</v>
      </c>
      <c r="W240" s="33">
        <f t="shared" si="250"/>
        <v>0</v>
      </c>
      <c r="X240" s="33">
        <f t="shared" si="251"/>
        <v>0</v>
      </c>
      <c r="Y240" s="33">
        <f t="shared" si="252"/>
        <v>0</v>
      </c>
      <c r="Z240" s="33">
        <f t="shared" si="253"/>
        <v>0</v>
      </c>
      <c r="AA240" s="33">
        <f t="shared" si="255"/>
        <v>0</v>
      </c>
      <c r="AB240" s="246"/>
      <c r="AC240" s="247"/>
      <c r="AZ240" s="148" t="str">
        <f t="shared" si="256"/>
        <v>5.118</v>
      </c>
      <c r="BA240" s="149" t="s">
        <v>359</v>
      </c>
    </row>
    <row r="241" spans="1:53" ht="25" outlineLevel="1">
      <c r="A241" s="148" t="str">
        <f t="shared" si="254"/>
        <v>5.119</v>
      </c>
      <c r="B241" s="148" t="str">
        <f>INDEX('Standard cost - Testing'!$A$1:$N$497,MATCH(RIGHT($C241,4),'Standard cost - Testing'!$A$1:$A$497,0),3)</f>
        <v>LVE</v>
      </c>
      <c r="C241" s="149" t="str">
        <f>'Standard cost - Testing'!B120&amp;" - "&amp;'Standard cost - Testing'!A120</f>
        <v>Fatigue test - F025</v>
      </c>
      <c r="D241" s="150" t="str">
        <f>IF(RIGHT(INDEX('Standard cost - Testing'!$A$1:$N$497,MATCH(RIGHT($C241,4),'Standard cost - Testing'!$A$1:$A$497,0),4),1)="]",INDEX('Standard cost - Testing'!$A$1:$N$497,MATCH(RIGHT($C241,4),'Standard cost - Testing'!$A$1:$A$497,0),4),IF(INDEX('Standard cost - Testing'!$A$1:$N$497,MATCH(RIGHT($C241,4),'Standard cost - Testing'!$A$1:$A$497,0),10)=1,INDEX('Standard cost - Testing'!$A$1:$N$497,MATCH(RIGHT($C241,4),'Standard cost - Testing'!$A$1:$A$497,0),4)&amp;" [1 part]",INDEX('Standard cost - Testing'!$A$1:$N$497,MATCH(RIGHT($C241,4),'Standard cost - Testing'!$A$1:$A$497,0),4)&amp;" ["&amp;INDEX('Standard cost - Testing'!$A$1:$N$497,MATCH(RIGHT($C241,4),'Standard cost - Testing'!$A$1:$A$497,0),10)&amp;" parts]"))</f>
        <v>Valve hot durability test [5 parts]</v>
      </c>
      <c r="E241" s="51" t="str">
        <f>IF('Project information'!$A$4="","",'Project information'!$A$4)</f>
        <v>China</v>
      </c>
      <c r="F241" s="149" t="str">
        <f>INDEX('Standard cost - Testing'!$A$1:$N$497,MATCH(RIGHT($C241,4),'Standard cost - Testing'!$A$1:$A$497,0),5)</f>
        <v>HMC</v>
      </c>
      <c r="G241" s="149" t="str">
        <f>IF($E241='Standard cost - Testing'!$F$1,INDEX('Standard cost - Testing'!$A$1:$N$497,MATCH(RIGHT($C241,4),'Standard cost - Testing'!$A$1:$A$497,0),6),INDEX('Standard cost - Testing'!$A$1:$N$497,MATCH(RIGHT($C241,4),'Standard cost - Testing'!$A$1:$A$497,0),7))</f>
        <v>ES28600-25 6.2.1</v>
      </c>
      <c r="H241" s="46"/>
      <c r="I241" s="46"/>
      <c r="J241" s="46"/>
      <c r="K241" s="46"/>
      <c r="L241" s="46"/>
      <c r="M241" s="33">
        <f t="shared" si="247"/>
        <v>0</v>
      </c>
      <c r="N241" s="157">
        <f>IF(E241="","",IF(ISERROR(INDEX('Standard cost - Testing'!$A$1:$N$497,MATCH(RIGHT($C241,4),'Standard cost - Testing'!$A$1:$A$497,0),MATCH($E241,'Standard cost - Testing'!$K$1:$N$1,0)+10)),"NA",INDEX('Standard cost - Testing'!$A$1:$N$497,MATCH(RIGHT($C241,4),'Standard cost - Testing'!$A$1:$A$497,0),MATCH($E241,'Standard cost - Testing'!$K$1:$N$1,0)+10)))</f>
        <v>34940</v>
      </c>
      <c r="O241" s="45">
        <f>IF(OR(ISERROR($N241),$N241="",$N241="NA"),0,H241*$N241)*(1+INDEX('For Finance Control'!$B$27:$E$29,2,MATCH('Project information'!$A$4,'For Finance Control'!$B$27:$E$27,0)))</f>
        <v>0</v>
      </c>
      <c r="P241" s="45">
        <f>IF(OR(ISERROR($N241),$N241="",$N241="NA"),0,I241*$N241)*(1+INDEX('For Finance Control'!$B$27:$E$29,2,MATCH('Project information'!$A$4,'For Finance Control'!$B$27:$E$27,0)))</f>
        <v>0</v>
      </c>
      <c r="Q241" s="45">
        <f>IF(OR(ISERROR($N241),$N241="",$N241="NA"),0,J241*$N241)*(1+INDEX('For Finance Control'!$B$27:$E$29,2,MATCH('Project information'!$A$4,'For Finance Control'!$B$27:$E$27,0)))</f>
        <v>0</v>
      </c>
      <c r="R241" s="45">
        <f>IF(OR(ISERROR($N241),$N241="",$N241="NA"),0,K241*$N241)*(1+INDEX('For Finance Control'!$B$27:$E$29,2,MATCH('Project information'!$A$4,'For Finance Control'!$B$27:$E$27,0)))</f>
        <v>0</v>
      </c>
      <c r="S241" s="45">
        <f>IF(OR(ISERROR($N241),$N241="",$N241="NA"),0,L241*$N241)*(1+INDEX('For Finance Control'!$B$27:$E$29,2,MATCH('Project information'!$A$4,'For Finance Control'!$B$27:$E$27,0)))</f>
        <v>0</v>
      </c>
      <c r="T241" s="45">
        <f t="shared" si="248"/>
        <v>0</v>
      </c>
      <c r="U241" s="33" cm="1">
        <f t="array" ref="U241">IF($N241="NA","NA",$N241*INDEX('Exchange rate'!$A$1:$G$7,MATCH('Project information'!$A$13,'Exchange rate'!$A$1:$A$7,0),MATCH(LOOKUP(2,1/({"China";"Korea";"India";"Japan";"EUR";"NAO"}=$E241),{"CNY";"KRW";"INR";"JPY";"EUR";"USD"}),'Exchange rate'!$A$1:$G$1,0)))</f>
        <v>34940</v>
      </c>
      <c r="V241" s="33">
        <f t="shared" si="249"/>
        <v>0</v>
      </c>
      <c r="W241" s="33">
        <f t="shared" si="250"/>
        <v>0</v>
      </c>
      <c r="X241" s="33">
        <f t="shared" si="251"/>
        <v>0</v>
      </c>
      <c r="Y241" s="33">
        <f t="shared" si="252"/>
        <v>0</v>
      </c>
      <c r="Z241" s="33">
        <f t="shared" si="253"/>
        <v>0</v>
      </c>
      <c r="AA241" s="33">
        <f t="shared" si="255"/>
        <v>0</v>
      </c>
      <c r="AB241" s="246"/>
      <c r="AC241" s="247"/>
      <c r="AZ241" s="148" t="str">
        <f t="shared" si="256"/>
        <v>5.119</v>
      </c>
      <c r="BA241" s="149" t="s">
        <v>360</v>
      </c>
    </row>
    <row r="242" spans="1:53" ht="25" outlineLevel="1">
      <c r="A242" s="148" t="str">
        <f t="shared" si="254"/>
        <v>5.120</v>
      </c>
      <c r="B242" s="148" t="str">
        <f>INDEX('Standard cost - Testing'!$A$1:$N$497,MATCH(RIGHT($C242,4),'Standard cost - Testing'!$A$1:$A$497,0),3)</f>
        <v>LVE</v>
      </c>
      <c r="C242" s="149" t="str">
        <f>'Standard cost - Testing'!B121&amp;" - "&amp;'Standard cost - Testing'!A121</f>
        <v>Fatigue test - F026</v>
      </c>
      <c r="D242" s="150" t="str">
        <f>IF(RIGHT(INDEX('Standard cost - Testing'!$A$1:$N$497,MATCH(RIGHT($C242,4),'Standard cost - Testing'!$A$1:$A$497,0),4),1)="]",INDEX('Standard cost - Testing'!$A$1:$N$497,MATCH(RIGHT($C242,4),'Standard cost - Testing'!$A$1:$A$497,0),4),IF(INDEX('Standard cost - Testing'!$A$1:$N$497,MATCH(RIGHT($C242,4),'Standard cost - Testing'!$A$1:$A$497,0),10)=1,INDEX('Standard cost - Testing'!$A$1:$N$497,MATCH(RIGHT($C242,4),'Standard cost - Testing'!$A$1:$A$497,0),4)&amp;" [1 part]",INDEX('Standard cost - Testing'!$A$1:$N$497,MATCH(RIGHT($C242,4),'Standard cost - Testing'!$A$1:$A$497,0),4)&amp;" ["&amp;INDEX('Standard cost - Testing'!$A$1:$N$497,MATCH(RIGHT($C242,4),'Standard cost - Testing'!$A$1:$A$497,0),10)&amp;" parts]"))</f>
        <v>Mono-axis stress life fatigue curves (S/N) - (2 load * 6) 10hz [12 parts]</v>
      </c>
      <c r="E242" s="51" t="str">
        <f>IF('Project information'!$A$4="","",'Project information'!$A$4)</f>
        <v>China</v>
      </c>
      <c r="F242" s="149" t="str">
        <f>INDEX('Standard cost - Testing'!$A$1:$N$497,MATCH(RIGHT($C242,4),'Standard cost - Testing'!$A$1:$A$497,0),5)</f>
        <v>Ford</v>
      </c>
      <c r="G242" s="149" t="str">
        <f>IF($E242='Standard cost - Testing'!$F$1,INDEX('Standard cost - Testing'!$A$1:$N$497,MATCH(RIGHT($C242,4),'Standard cost - Testing'!$A$1:$A$497,0),6),INDEX('Standard cost - Testing'!$A$1:$N$497,MATCH(RIGHT($C242,4),'Standard cost - Testing'!$A$1:$A$497,0),7))</f>
        <v>CETP_09.00-E-309</v>
      </c>
      <c r="H242" s="46"/>
      <c r="I242" s="46"/>
      <c r="J242" s="46"/>
      <c r="K242" s="46"/>
      <c r="L242" s="46"/>
      <c r="M242" s="33">
        <f t="shared" si="247"/>
        <v>0</v>
      </c>
      <c r="N242" s="157">
        <f>IF(E242="","",IF(ISERROR(INDEX('Standard cost - Testing'!$A$1:$N$497,MATCH(RIGHT($C242,4),'Standard cost - Testing'!$A$1:$A$497,0),MATCH($E242,'Standard cost - Testing'!$K$1:$N$1,0)+10)),"NA",INDEX('Standard cost - Testing'!$A$1:$N$497,MATCH(RIGHT($C242,4),'Standard cost - Testing'!$A$1:$A$497,0),MATCH($E242,'Standard cost - Testing'!$K$1:$N$1,0)+10)))</f>
        <v>54700</v>
      </c>
      <c r="O242" s="45">
        <f>IF(OR(ISERROR($N242),$N242="",$N242="NA"),0,H242*$N242)*(1+INDEX('For Finance Control'!$B$27:$E$29,2,MATCH('Project information'!$A$4,'For Finance Control'!$B$27:$E$27,0)))</f>
        <v>0</v>
      </c>
      <c r="P242" s="45">
        <f>IF(OR(ISERROR($N242),$N242="",$N242="NA"),0,I242*$N242)*(1+INDEX('For Finance Control'!$B$27:$E$29,2,MATCH('Project information'!$A$4,'For Finance Control'!$B$27:$E$27,0)))</f>
        <v>0</v>
      </c>
      <c r="Q242" s="45">
        <f>IF(OR(ISERROR($N242),$N242="",$N242="NA"),0,J242*$N242)*(1+INDEX('For Finance Control'!$B$27:$E$29,2,MATCH('Project information'!$A$4,'For Finance Control'!$B$27:$E$27,0)))</f>
        <v>0</v>
      </c>
      <c r="R242" s="45">
        <f>IF(OR(ISERROR($N242),$N242="",$N242="NA"),0,K242*$N242)*(1+INDEX('For Finance Control'!$B$27:$E$29,2,MATCH('Project information'!$A$4,'For Finance Control'!$B$27:$E$27,0)))</f>
        <v>0</v>
      </c>
      <c r="S242" s="45">
        <f>IF(OR(ISERROR($N242),$N242="",$N242="NA"),0,L242*$N242)*(1+INDEX('For Finance Control'!$B$27:$E$29,2,MATCH('Project information'!$A$4,'For Finance Control'!$B$27:$E$27,0)))</f>
        <v>0</v>
      </c>
      <c r="T242" s="45">
        <f t="shared" si="248"/>
        <v>0</v>
      </c>
      <c r="U242" s="33" cm="1">
        <f t="array" ref="U242">IF($N242="NA","NA",$N242*INDEX('Exchange rate'!$A$1:$G$7,MATCH('Project information'!$A$13,'Exchange rate'!$A$1:$A$7,0),MATCH(LOOKUP(2,1/({"China";"Korea";"India";"Japan";"EUR";"NAO"}=$E242),{"CNY";"KRW";"INR";"JPY";"EUR";"USD"}),'Exchange rate'!$A$1:$G$1,0)))</f>
        <v>54700</v>
      </c>
      <c r="V242" s="33">
        <f t="shared" si="249"/>
        <v>0</v>
      </c>
      <c r="W242" s="33">
        <f t="shared" si="250"/>
        <v>0</v>
      </c>
      <c r="X242" s="33">
        <f t="shared" si="251"/>
        <v>0</v>
      </c>
      <c r="Y242" s="33">
        <f t="shared" si="252"/>
        <v>0</v>
      </c>
      <c r="Z242" s="33">
        <f t="shared" si="253"/>
        <v>0</v>
      </c>
      <c r="AA242" s="33">
        <f t="shared" si="255"/>
        <v>0</v>
      </c>
      <c r="AB242" s="246"/>
      <c r="AC242" s="247"/>
      <c r="AZ242" s="148" t="str">
        <f t="shared" si="256"/>
        <v>5.120</v>
      </c>
      <c r="BA242" s="149" t="s">
        <v>361</v>
      </c>
    </row>
    <row r="243" spans="1:53" ht="25" outlineLevel="1">
      <c r="A243" s="148" t="str">
        <f t="shared" si="254"/>
        <v>5.121</v>
      </c>
      <c r="B243" s="148" t="str">
        <f>INDEX('Standard cost - Testing'!$A$1:$N$497,MATCH(RIGHT($C243,4),'Standard cost - Testing'!$A$1:$A$497,0),3)</f>
        <v>LVE</v>
      </c>
      <c r="C243" s="149" t="str">
        <f>'Standard cost - Testing'!B122&amp;" - "&amp;'Standard cost - Testing'!A122</f>
        <v>Fatigue test - F027</v>
      </c>
      <c r="D243" s="150" t="str">
        <f>IF(RIGHT(INDEX('Standard cost - Testing'!$A$1:$N$497,MATCH(RIGHT($C243,4),'Standard cost - Testing'!$A$1:$A$497,0),4),1)="]",INDEX('Standard cost - Testing'!$A$1:$N$497,MATCH(RIGHT($C243,4),'Standard cost - Testing'!$A$1:$A$497,0),4),IF(INDEX('Standard cost - Testing'!$A$1:$N$497,MATCH(RIGHT($C243,4),'Standard cost - Testing'!$A$1:$A$497,0),10)=1,INDEX('Standard cost - Testing'!$A$1:$N$497,MATCH(RIGHT($C243,4),'Standard cost - Testing'!$A$1:$A$497,0),4)&amp;" [1 part]",INDEX('Standard cost - Testing'!$A$1:$N$497,MATCH(RIGHT($C243,4),'Standard cost - Testing'!$A$1:$A$497,0),4)&amp;" ["&amp;INDEX('Standard cost - Testing'!$A$1:$N$497,MATCH(RIGHT($C243,4),'Standard cost - Testing'!$A$1:$A$497,0),10)&amp;" parts]"))</f>
        <v>Bi-axes stress life fatigue curves (S/N) - (2 load * 6) 10hz [12 parts]</v>
      </c>
      <c r="E243" s="51" t="str">
        <f>IF('Project information'!$A$4="","",'Project information'!$A$4)</f>
        <v>China</v>
      </c>
      <c r="F243" s="149" t="str">
        <f>INDEX('Standard cost - Testing'!$A$1:$N$497,MATCH(RIGHT($C243,4),'Standard cost - Testing'!$A$1:$A$497,0),5)</f>
        <v>Ford</v>
      </c>
      <c r="G243" s="149" t="str">
        <f>IF($E243='Standard cost - Testing'!$F$1,INDEX('Standard cost - Testing'!$A$1:$N$497,MATCH(RIGHT($C243,4),'Standard cost - Testing'!$A$1:$A$497,0),6),INDEX('Standard cost - Testing'!$A$1:$N$497,MATCH(RIGHT($C243,4),'Standard cost - Testing'!$A$1:$A$497,0),7))</f>
        <v>CETP_09.00-E-309</v>
      </c>
      <c r="H243" s="46"/>
      <c r="I243" s="46"/>
      <c r="J243" s="46"/>
      <c r="K243" s="46"/>
      <c r="L243" s="46"/>
      <c r="M243" s="33">
        <f t="shared" si="247"/>
        <v>0</v>
      </c>
      <c r="N243" s="157">
        <f>IF(E243="","",IF(ISERROR(INDEX('Standard cost - Testing'!$A$1:$N$497,MATCH(RIGHT($C243,4),'Standard cost - Testing'!$A$1:$A$497,0),MATCH($E243,'Standard cost - Testing'!$K$1:$N$1,0)+10)),"NA",INDEX('Standard cost - Testing'!$A$1:$N$497,MATCH(RIGHT($C243,4),'Standard cost - Testing'!$A$1:$A$497,0),MATCH($E243,'Standard cost - Testing'!$K$1:$N$1,0)+10)))</f>
        <v>105340</v>
      </c>
      <c r="O243" s="45">
        <f>IF(OR(ISERROR($N243),$N243="",$N243="NA"),0,H243*$N243)*(1+INDEX('For Finance Control'!$B$27:$E$29,2,MATCH('Project information'!$A$4,'For Finance Control'!$B$27:$E$27,0)))</f>
        <v>0</v>
      </c>
      <c r="P243" s="45">
        <f>IF(OR(ISERROR($N243),$N243="",$N243="NA"),0,I243*$N243)*(1+INDEX('For Finance Control'!$B$27:$E$29,2,MATCH('Project information'!$A$4,'For Finance Control'!$B$27:$E$27,0)))</f>
        <v>0</v>
      </c>
      <c r="Q243" s="45">
        <f>IF(OR(ISERROR($N243),$N243="",$N243="NA"),0,J243*$N243)*(1+INDEX('For Finance Control'!$B$27:$E$29,2,MATCH('Project information'!$A$4,'For Finance Control'!$B$27:$E$27,0)))</f>
        <v>0</v>
      </c>
      <c r="R243" s="45">
        <f>IF(OR(ISERROR($N243),$N243="",$N243="NA"),0,K243*$N243)*(1+INDEX('For Finance Control'!$B$27:$E$29,2,MATCH('Project information'!$A$4,'For Finance Control'!$B$27:$E$27,0)))</f>
        <v>0</v>
      </c>
      <c r="S243" s="45">
        <f>IF(OR(ISERROR($N243),$N243="",$N243="NA"),0,L243*$N243)*(1+INDEX('For Finance Control'!$B$27:$E$29,2,MATCH('Project information'!$A$4,'For Finance Control'!$B$27:$E$27,0)))</f>
        <v>0</v>
      </c>
      <c r="T243" s="45">
        <f t="shared" si="248"/>
        <v>0</v>
      </c>
      <c r="U243" s="33" cm="1">
        <f t="array" ref="U243">IF($N243="NA","NA",$N243*INDEX('Exchange rate'!$A$1:$G$7,MATCH('Project information'!$A$13,'Exchange rate'!$A$1:$A$7,0),MATCH(LOOKUP(2,1/({"China";"Korea";"India";"Japan";"EUR";"NAO"}=$E243),{"CNY";"KRW";"INR";"JPY";"EUR";"USD"}),'Exchange rate'!$A$1:$G$1,0)))</f>
        <v>105340</v>
      </c>
      <c r="V243" s="33">
        <f t="shared" si="249"/>
        <v>0</v>
      </c>
      <c r="W243" s="33">
        <f t="shared" si="250"/>
        <v>0</v>
      </c>
      <c r="X243" s="33">
        <f t="shared" si="251"/>
        <v>0</v>
      </c>
      <c r="Y243" s="33">
        <f t="shared" si="252"/>
        <v>0</v>
      </c>
      <c r="Z243" s="33">
        <f t="shared" si="253"/>
        <v>0</v>
      </c>
      <c r="AA243" s="33">
        <f t="shared" si="255"/>
        <v>0</v>
      </c>
      <c r="AB243" s="246"/>
      <c r="AC243" s="247"/>
      <c r="AZ243" s="148" t="str">
        <f t="shared" si="256"/>
        <v>5.121</v>
      </c>
      <c r="BA243" s="149" t="s">
        <v>361</v>
      </c>
    </row>
    <row r="244" spans="1:53" ht="25" outlineLevel="1">
      <c r="A244" s="148" t="str">
        <f t="shared" si="254"/>
        <v>5.122</v>
      </c>
      <c r="B244" s="148" t="str">
        <f>INDEX('Standard cost - Testing'!$A$1:$N$497,MATCH(RIGHT($C244,4),'Standard cost - Testing'!$A$1:$A$497,0),3)</f>
        <v>LVE</v>
      </c>
      <c r="C244" s="149" t="str">
        <f>'Standard cost - Testing'!B123&amp;" - "&amp;'Standard cost - Testing'!A123</f>
        <v>Fatigue test - F028</v>
      </c>
      <c r="D244" s="150" t="str">
        <f>IF(RIGHT(INDEX('Standard cost - Testing'!$A$1:$N$497,MATCH(RIGHT($C244,4),'Standard cost - Testing'!$A$1:$A$497,0),4),1)="]",INDEX('Standard cost - Testing'!$A$1:$N$497,MATCH(RIGHT($C244,4),'Standard cost - Testing'!$A$1:$A$497,0),4),IF(INDEX('Standard cost - Testing'!$A$1:$N$497,MATCH(RIGHT($C244,4),'Standard cost - Testing'!$A$1:$A$497,0),10)=1,INDEX('Standard cost - Testing'!$A$1:$N$497,MATCH(RIGHT($C244,4),'Standard cost - Testing'!$A$1:$A$497,0),4)&amp;" [1 part]",INDEX('Standard cost - Testing'!$A$1:$N$497,MATCH(RIGHT($C244,4),'Standard cost - Testing'!$A$1:$A$497,0),4)&amp;" ["&amp;INDEX('Standard cost - Testing'!$A$1:$N$497,MATCH(RIGHT($C244,4),'Standard cost - Testing'!$A$1:$A$497,0),10)&amp;" parts]"))</f>
        <v>Mono-axis stress life fatigue curves (S/N) - (1 load * 6) 10hz [6 parts]</v>
      </c>
      <c r="E244" s="51" t="str">
        <f>IF('Project information'!$A$4="","",'Project information'!$A$4)</f>
        <v>China</v>
      </c>
      <c r="F244" s="149" t="str">
        <f>INDEX('Standard cost - Testing'!$A$1:$N$497,MATCH(RIGHT($C244,4),'Standard cost - Testing'!$A$1:$A$497,0),5)</f>
        <v>Ford</v>
      </c>
      <c r="G244" s="149" t="str">
        <f>IF($E244='Standard cost - Testing'!$F$1,INDEX('Standard cost - Testing'!$A$1:$N$497,MATCH(RIGHT($C244,4),'Standard cost - Testing'!$A$1:$A$497,0),6),INDEX('Standard cost - Testing'!$A$1:$N$497,MATCH(RIGHT($C244,4),'Standard cost - Testing'!$A$1:$A$497,0),7))</f>
        <v>CETP_09.00-E-309</v>
      </c>
      <c r="H244" s="46"/>
      <c r="I244" s="46"/>
      <c r="J244" s="46"/>
      <c r="K244" s="46"/>
      <c r="L244" s="46"/>
      <c r="M244" s="33">
        <f t="shared" si="247"/>
        <v>0</v>
      </c>
      <c r="N244" s="157">
        <f>IF(E244="","",IF(ISERROR(INDEX('Standard cost - Testing'!$A$1:$N$497,MATCH(RIGHT($C244,4),'Standard cost - Testing'!$A$1:$A$497,0),MATCH($E244,'Standard cost - Testing'!$K$1:$N$1,0)+10)),"NA",INDEX('Standard cost - Testing'!$A$1:$N$497,MATCH(RIGHT($C244,4),'Standard cost - Testing'!$A$1:$A$497,0),MATCH($E244,'Standard cost - Testing'!$K$1:$N$1,0)+10)))</f>
        <v>23605</v>
      </c>
      <c r="O244" s="45">
        <f>IF(OR(ISERROR($N244),$N244="",$N244="NA"),0,H244*$N244)*(1+INDEX('For Finance Control'!$B$27:$E$29,2,MATCH('Project information'!$A$4,'For Finance Control'!$B$27:$E$27,0)))</f>
        <v>0</v>
      </c>
      <c r="P244" s="45">
        <f>IF(OR(ISERROR($N244),$N244="",$N244="NA"),0,I244*$N244)*(1+INDEX('For Finance Control'!$B$27:$E$29,2,MATCH('Project information'!$A$4,'For Finance Control'!$B$27:$E$27,0)))</f>
        <v>0</v>
      </c>
      <c r="Q244" s="45">
        <f>IF(OR(ISERROR($N244),$N244="",$N244="NA"),0,J244*$N244)*(1+INDEX('For Finance Control'!$B$27:$E$29,2,MATCH('Project information'!$A$4,'For Finance Control'!$B$27:$E$27,0)))</f>
        <v>0</v>
      </c>
      <c r="R244" s="45">
        <f>IF(OR(ISERROR($N244),$N244="",$N244="NA"),0,K244*$N244)*(1+INDEX('For Finance Control'!$B$27:$E$29,2,MATCH('Project information'!$A$4,'For Finance Control'!$B$27:$E$27,0)))</f>
        <v>0</v>
      </c>
      <c r="S244" s="45">
        <f>IF(OR(ISERROR($N244),$N244="",$N244="NA"),0,L244*$N244)*(1+INDEX('For Finance Control'!$B$27:$E$29,2,MATCH('Project information'!$A$4,'For Finance Control'!$B$27:$E$27,0)))</f>
        <v>0</v>
      </c>
      <c r="T244" s="45">
        <f t="shared" si="248"/>
        <v>0</v>
      </c>
      <c r="U244" s="33" cm="1">
        <f t="array" ref="U244">IF($N244="NA","NA",$N244*INDEX('Exchange rate'!$A$1:$G$7,MATCH('Project information'!$A$13,'Exchange rate'!$A$1:$A$7,0),MATCH(LOOKUP(2,1/({"China";"Korea";"India";"Japan";"EUR";"NAO"}=$E244),{"CNY";"KRW";"INR";"JPY";"EUR";"USD"}),'Exchange rate'!$A$1:$G$1,0)))</f>
        <v>23605</v>
      </c>
      <c r="V244" s="33">
        <f t="shared" si="249"/>
        <v>0</v>
      </c>
      <c r="W244" s="33">
        <f t="shared" si="250"/>
        <v>0</v>
      </c>
      <c r="X244" s="33">
        <f t="shared" si="251"/>
        <v>0</v>
      </c>
      <c r="Y244" s="33">
        <f t="shared" si="252"/>
        <v>0</v>
      </c>
      <c r="Z244" s="33">
        <f t="shared" si="253"/>
        <v>0</v>
      </c>
      <c r="AA244" s="33">
        <f t="shared" si="255"/>
        <v>0</v>
      </c>
      <c r="AB244" s="246"/>
      <c r="AC244" s="247"/>
      <c r="AZ244" s="148" t="str">
        <f t="shared" si="256"/>
        <v>5.122</v>
      </c>
      <c r="BA244" s="149" t="s">
        <v>361</v>
      </c>
    </row>
    <row r="245" spans="1:53" ht="25" outlineLevel="1">
      <c r="A245" s="148" t="str">
        <f t="shared" si="254"/>
        <v>5.123</v>
      </c>
      <c r="B245" s="148" t="str">
        <f>INDEX('Standard cost - Testing'!$A$1:$N$497,MATCH(RIGHT($C245,4),'Standard cost - Testing'!$A$1:$A$497,0),3)</f>
        <v>LVE</v>
      </c>
      <c r="C245" s="149" t="str">
        <f>'Standard cost - Testing'!B124&amp;" - "&amp;'Standard cost - Testing'!A124</f>
        <v>Fatigue test - F029</v>
      </c>
      <c r="D245" s="150" t="str">
        <f>IF(RIGHT(INDEX('Standard cost - Testing'!$A$1:$N$497,MATCH(RIGHT($C245,4),'Standard cost - Testing'!$A$1:$A$497,0),4),1)="]",INDEX('Standard cost - Testing'!$A$1:$N$497,MATCH(RIGHT($C245,4),'Standard cost - Testing'!$A$1:$A$497,0),4),IF(INDEX('Standard cost - Testing'!$A$1:$N$497,MATCH(RIGHT($C245,4),'Standard cost - Testing'!$A$1:$A$497,0),10)=1,INDEX('Standard cost - Testing'!$A$1:$N$497,MATCH(RIGHT($C245,4),'Standard cost - Testing'!$A$1:$A$497,0),4)&amp;" [1 part]",INDEX('Standard cost - Testing'!$A$1:$N$497,MATCH(RIGHT($C245,4),'Standard cost - Testing'!$A$1:$A$497,0),4)&amp;" ["&amp;INDEX('Standard cost - Testing'!$A$1:$N$497,MATCH(RIGHT($C245,4),'Standard cost - Testing'!$A$1:$A$497,0),10)&amp;" parts]"))</f>
        <v>Bi-axes stress life fatigue curves (S/N) - (1 load * 6) 10hz [6 parts]</v>
      </c>
      <c r="E245" s="51" t="str">
        <f>IF('Project information'!$A$4="","",'Project information'!$A$4)</f>
        <v>China</v>
      </c>
      <c r="F245" s="149" t="str">
        <f>INDEX('Standard cost - Testing'!$A$1:$N$497,MATCH(RIGHT($C245,4),'Standard cost - Testing'!$A$1:$A$497,0),5)</f>
        <v>Ford</v>
      </c>
      <c r="G245" s="149" t="str">
        <f>IF($E245='Standard cost - Testing'!$F$1,INDEX('Standard cost - Testing'!$A$1:$N$497,MATCH(RIGHT($C245,4),'Standard cost - Testing'!$A$1:$A$497,0),6),INDEX('Standard cost - Testing'!$A$1:$N$497,MATCH(RIGHT($C245,4),'Standard cost - Testing'!$A$1:$A$497,0),7))</f>
        <v>CETP_09.00-E-309</v>
      </c>
      <c r="H245" s="46"/>
      <c r="I245" s="46"/>
      <c r="J245" s="46"/>
      <c r="K245" s="46"/>
      <c r="L245" s="46"/>
      <c r="M245" s="33">
        <f t="shared" si="247"/>
        <v>0</v>
      </c>
      <c r="N245" s="157">
        <f>IF(E245="","",IF(ISERROR(INDEX('Standard cost - Testing'!$A$1:$N$497,MATCH(RIGHT($C245,4),'Standard cost - Testing'!$A$1:$A$497,0),MATCH($E245,'Standard cost - Testing'!$K$1:$N$1,0)+10)),"NA",INDEX('Standard cost - Testing'!$A$1:$N$497,MATCH(RIGHT($C245,4),'Standard cost - Testing'!$A$1:$A$497,0),MATCH($E245,'Standard cost - Testing'!$K$1:$N$1,0)+10)))</f>
        <v>44005</v>
      </c>
      <c r="O245" s="45">
        <f>IF(OR(ISERROR($N245),$N245="",$N245="NA"),0,H245*$N245)*(1+INDEX('For Finance Control'!$B$27:$E$29,2,MATCH('Project information'!$A$4,'For Finance Control'!$B$27:$E$27,0)))</f>
        <v>0</v>
      </c>
      <c r="P245" s="45">
        <f>IF(OR(ISERROR($N245),$N245="",$N245="NA"),0,I245*$N245)*(1+INDEX('For Finance Control'!$B$27:$E$29,2,MATCH('Project information'!$A$4,'For Finance Control'!$B$27:$E$27,0)))</f>
        <v>0</v>
      </c>
      <c r="Q245" s="45">
        <f>IF(OR(ISERROR($N245),$N245="",$N245="NA"),0,J245*$N245)*(1+INDEX('For Finance Control'!$B$27:$E$29,2,MATCH('Project information'!$A$4,'For Finance Control'!$B$27:$E$27,0)))</f>
        <v>0</v>
      </c>
      <c r="R245" s="45">
        <f>IF(OR(ISERROR($N245),$N245="",$N245="NA"),0,K245*$N245)*(1+INDEX('For Finance Control'!$B$27:$E$29,2,MATCH('Project information'!$A$4,'For Finance Control'!$B$27:$E$27,0)))</f>
        <v>0</v>
      </c>
      <c r="S245" s="45">
        <f>IF(OR(ISERROR($N245),$N245="",$N245="NA"),0,L245*$N245)*(1+INDEX('For Finance Control'!$B$27:$E$29,2,MATCH('Project information'!$A$4,'For Finance Control'!$B$27:$E$27,0)))</f>
        <v>0</v>
      </c>
      <c r="T245" s="45">
        <f t="shared" si="248"/>
        <v>0</v>
      </c>
      <c r="U245" s="33" cm="1">
        <f t="array" ref="U245">IF($N245="NA","NA",$N245*INDEX('Exchange rate'!$A$1:$G$7,MATCH('Project information'!$A$13,'Exchange rate'!$A$1:$A$7,0),MATCH(LOOKUP(2,1/({"China";"Korea";"India";"Japan";"EUR";"NAO"}=$E245),{"CNY";"KRW";"INR";"JPY";"EUR";"USD"}),'Exchange rate'!$A$1:$G$1,0)))</f>
        <v>44005</v>
      </c>
      <c r="V245" s="33">
        <f t="shared" si="249"/>
        <v>0</v>
      </c>
      <c r="W245" s="33">
        <f t="shared" si="250"/>
        <v>0</v>
      </c>
      <c r="X245" s="33">
        <f t="shared" si="251"/>
        <v>0</v>
      </c>
      <c r="Y245" s="33">
        <f t="shared" si="252"/>
        <v>0</v>
      </c>
      <c r="Z245" s="33">
        <f t="shared" si="253"/>
        <v>0</v>
      </c>
      <c r="AA245" s="33">
        <f t="shared" si="255"/>
        <v>0</v>
      </c>
      <c r="AB245" s="246"/>
      <c r="AC245" s="247"/>
      <c r="AZ245" s="148" t="str">
        <f t="shared" si="256"/>
        <v>5.123</v>
      </c>
      <c r="BA245" s="149" t="s">
        <v>361</v>
      </c>
    </row>
    <row r="246" spans="1:53" ht="25" outlineLevel="1">
      <c r="A246" s="148" t="str">
        <f t="shared" si="254"/>
        <v>5.124</v>
      </c>
      <c r="B246" s="148" t="str">
        <f>INDEX('Standard cost - Testing'!$A$1:$N$497,MATCH(RIGHT($C246,4),'Standard cost - Testing'!$A$1:$A$497,0),3)</f>
        <v>LVE</v>
      </c>
      <c r="C246" s="149" t="str">
        <f>'Standard cost - Testing'!B125&amp;" - "&amp;'Standard cost - Testing'!A125</f>
        <v>Fatigue test - F030</v>
      </c>
      <c r="D246" s="150" t="str">
        <f>IF(RIGHT(INDEX('Standard cost - Testing'!$A$1:$N$497,MATCH(RIGHT($C246,4),'Standard cost - Testing'!$A$1:$A$497,0),4),1)="]",INDEX('Standard cost - Testing'!$A$1:$N$497,MATCH(RIGHT($C246,4),'Standard cost - Testing'!$A$1:$A$497,0),4),IF(INDEX('Standard cost - Testing'!$A$1:$N$497,MATCH(RIGHT($C246,4),'Standard cost - Testing'!$A$1:$A$497,0),10)=1,INDEX('Standard cost - Testing'!$A$1:$N$497,MATCH(RIGHT($C246,4),'Standard cost - Testing'!$A$1:$A$497,0),4)&amp;" [1 part]",INDEX('Standard cost - Testing'!$A$1:$N$497,MATCH(RIGHT($C246,4),'Standard cost - Testing'!$A$1:$A$497,0),4)&amp;" ["&amp;INDEX('Standard cost - Testing'!$A$1:$N$497,MATCH(RIGHT($C246,4),'Standard cost - Testing'!$A$1:$A$497,0),10)&amp;" parts]"))</f>
        <v>Mono-axis hot fatigue test [10 parts]</v>
      </c>
      <c r="E246" s="51" t="str">
        <f>IF('Project information'!$A$4="","",'Project information'!$A$4)</f>
        <v>China</v>
      </c>
      <c r="F246" s="149" t="str">
        <f>INDEX('Standard cost - Testing'!$A$1:$N$497,MATCH(RIGHT($C246,4),'Standard cost - Testing'!$A$1:$A$497,0),5)</f>
        <v>FCA</v>
      </c>
      <c r="G246" s="149" t="str">
        <f>IF($E246='Standard cost - Testing'!$F$1,INDEX('Standard cost - Testing'!$A$1:$N$497,MATCH(RIGHT($C246,4),'Standard cost - Testing'!$A$1:$A$497,0),6),INDEX('Standard cost - Testing'!$A$1:$N$497,MATCH(RIGHT($C246,4),'Standard cost - Testing'!$A$1:$A$497,0),7))</f>
        <v>PF.90160 9.10</v>
      </c>
      <c r="H246" s="46"/>
      <c r="I246" s="46"/>
      <c r="J246" s="46"/>
      <c r="K246" s="46"/>
      <c r="L246" s="46"/>
      <c r="M246" s="33">
        <f t="shared" ref="M246:M253" si="275">SUM(H246:L246)</f>
        <v>0</v>
      </c>
      <c r="N246" s="157">
        <f>IF(E246="","",IF(ISERROR(INDEX('Standard cost - Testing'!$A$1:$N$497,MATCH(RIGHT($C246,4),'Standard cost - Testing'!$A$1:$A$497,0),MATCH($E246,'Standard cost - Testing'!$K$1:$N$1,0)+10)),"NA",INDEX('Standard cost - Testing'!$A$1:$N$497,MATCH(RIGHT($C246,4),'Standard cost - Testing'!$A$1:$A$497,0),MATCH($E246,'Standard cost - Testing'!$K$1:$N$1,0)+10)))</f>
        <v>56140</v>
      </c>
      <c r="O246" s="45">
        <f>IF(OR(ISERROR($N246),$N246="",$N246="NA"),0,H246*$N246)*(1+INDEX('For Finance Control'!$B$27:$E$29,2,MATCH('Project information'!$A$4,'For Finance Control'!$B$27:$E$27,0)))</f>
        <v>0</v>
      </c>
      <c r="P246" s="45">
        <f>IF(OR(ISERROR($N246),$N246="",$N246="NA"),0,I246*$N246)*(1+INDEX('For Finance Control'!$B$27:$E$29,2,MATCH('Project information'!$A$4,'For Finance Control'!$B$27:$E$27,0)))</f>
        <v>0</v>
      </c>
      <c r="Q246" s="45">
        <f>IF(OR(ISERROR($N246),$N246="",$N246="NA"),0,J246*$N246)*(1+INDEX('For Finance Control'!$B$27:$E$29,2,MATCH('Project information'!$A$4,'For Finance Control'!$B$27:$E$27,0)))</f>
        <v>0</v>
      </c>
      <c r="R246" s="45">
        <f>IF(OR(ISERROR($N246),$N246="",$N246="NA"),0,K246*$N246)*(1+INDEX('For Finance Control'!$B$27:$E$29,2,MATCH('Project information'!$A$4,'For Finance Control'!$B$27:$E$27,0)))</f>
        <v>0</v>
      </c>
      <c r="S246" s="45">
        <f>IF(OR(ISERROR($N246),$N246="",$N246="NA"),0,L246*$N246)*(1+INDEX('For Finance Control'!$B$27:$E$29,2,MATCH('Project information'!$A$4,'For Finance Control'!$B$27:$E$27,0)))</f>
        <v>0</v>
      </c>
      <c r="T246" s="45">
        <f t="shared" ref="T246:T253" si="276">SUM(O246:S246)</f>
        <v>0</v>
      </c>
      <c r="U246" s="33" cm="1">
        <f t="array" ref="U246">IF($N246="NA","NA",$N246*INDEX('Exchange rate'!$A$1:$G$7,MATCH('Project information'!$A$13,'Exchange rate'!$A$1:$A$7,0),MATCH(LOOKUP(2,1/({"China";"Korea";"India";"Japan";"EUR";"NAO"}=$E246),{"CNY";"KRW";"INR";"JPY";"EUR";"USD"}),'Exchange rate'!$A$1:$G$1,0)))</f>
        <v>56140</v>
      </c>
      <c r="V246" s="33">
        <f t="shared" ref="V246:V253" si="277">IF(OR(ISERROR($U246),$U246="",$U246="NA"),0,H246*$U246)</f>
        <v>0</v>
      </c>
      <c r="W246" s="33">
        <f t="shared" ref="W246:W253" si="278">IF(OR(ISERROR($U246),$U246="",$U246="NA"),0,I246*$U246)</f>
        <v>0</v>
      </c>
      <c r="X246" s="33">
        <f t="shared" ref="X246:X253" si="279">IF(OR(ISERROR($U246),$U246="",$U246="NA"),0,J246*$U246)</f>
        <v>0</v>
      </c>
      <c r="Y246" s="33">
        <f t="shared" ref="Y246:Y253" si="280">IF(OR(ISERROR($U246),$U246="",$U246="NA"),0,K246*$U246)</f>
        <v>0</v>
      </c>
      <c r="Z246" s="33">
        <f t="shared" ref="Z246:Z253" si="281">IF(OR(ISERROR($U246),$U246="",$U246="NA"),0,L246*$U246)</f>
        <v>0</v>
      </c>
      <c r="AA246" s="33">
        <f t="shared" ref="AA246:AA253" si="282">SUM(V246:Z246)</f>
        <v>0</v>
      </c>
      <c r="AB246" s="246"/>
      <c r="AC246" s="247"/>
      <c r="AZ246" s="148" t="str">
        <f t="shared" si="256"/>
        <v>5.124</v>
      </c>
      <c r="BA246" s="149" t="s">
        <v>362</v>
      </c>
    </row>
    <row r="247" spans="1:53" ht="25" outlineLevel="1">
      <c r="A247" s="148" t="str">
        <f t="shared" si="254"/>
        <v>5.125</v>
      </c>
      <c r="B247" s="148" t="str">
        <f>INDEX('Standard cost - Testing'!$A$1:$N$497,MATCH(RIGHT($C247,4),'Standard cost - Testing'!$A$1:$A$497,0),3)</f>
        <v>LVE</v>
      </c>
      <c r="C247" s="149" t="str">
        <f>'Standard cost - Testing'!B126&amp;" - "&amp;'Standard cost - Testing'!A126</f>
        <v>Fatigue test - F031</v>
      </c>
      <c r="D247" s="150" t="str">
        <f>IF(RIGHT(INDEX('Standard cost - Testing'!$A$1:$N$497,MATCH(RIGHT($C247,4),'Standard cost - Testing'!$A$1:$A$497,0),4),1)="]",INDEX('Standard cost - Testing'!$A$1:$N$497,MATCH(RIGHT($C247,4),'Standard cost - Testing'!$A$1:$A$497,0),4),IF(INDEX('Standard cost - Testing'!$A$1:$N$497,MATCH(RIGHT($C247,4),'Standard cost - Testing'!$A$1:$A$497,0),10)=1,INDEX('Standard cost - Testing'!$A$1:$N$497,MATCH(RIGHT($C247,4),'Standard cost - Testing'!$A$1:$A$497,0),4)&amp;" [1 part]",INDEX('Standard cost - Testing'!$A$1:$N$497,MATCH(RIGHT($C247,4),'Standard cost - Testing'!$A$1:$A$497,0),4)&amp;" ["&amp;INDEX('Standard cost - Testing'!$A$1:$N$497,MATCH(RIGHT($C247,4),'Standard cost - Testing'!$A$1:$A$497,0),10)&amp;" parts]"))</f>
        <v>Bi-axes hot fatigue test [10 parts]</v>
      </c>
      <c r="E247" s="51" t="str">
        <f>IF('Project information'!$A$4="","",'Project information'!$A$4)</f>
        <v>China</v>
      </c>
      <c r="F247" s="149" t="str">
        <f>INDEX('Standard cost - Testing'!$A$1:$N$497,MATCH(RIGHT($C247,4),'Standard cost - Testing'!$A$1:$A$497,0),5)</f>
        <v>FCA</v>
      </c>
      <c r="G247" s="149" t="str">
        <f>IF($E247='Standard cost - Testing'!$F$1,INDEX('Standard cost - Testing'!$A$1:$N$497,MATCH(RIGHT($C247,4),'Standard cost - Testing'!$A$1:$A$497,0),6),INDEX('Standard cost - Testing'!$A$1:$N$497,MATCH(RIGHT($C247,4),'Standard cost - Testing'!$A$1:$A$497,0),7))</f>
        <v>PF.90160 9.11</v>
      </c>
      <c r="H247" s="46"/>
      <c r="I247" s="46"/>
      <c r="J247" s="46"/>
      <c r="K247" s="46"/>
      <c r="L247" s="46"/>
      <c r="M247" s="33">
        <f t="shared" si="275"/>
        <v>0</v>
      </c>
      <c r="N247" s="157">
        <f>IF(E247="","",IF(ISERROR(INDEX('Standard cost - Testing'!$A$1:$N$497,MATCH(RIGHT($C247,4),'Standard cost - Testing'!$A$1:$A$497,0),MATCH($E247,'Standard cost - Testing'!$K$1:$N$1,0)+10)),"NA",INDEX('Standard cost - Testing'!$A$1:$N$497,MATCH(RIGHT($C247,4),'Standard cost - Testing'!$A$1:$A$497,0),MATCH($E247,'Standard cost - Testing'!$K$1:$N$1,0)+10)))</f>
        <v>107260</v>
      </c>
      <c r="O247" s="45">
        <f>IF(OR(ISERROR($N247),$N247="",$N247="NA"),0,H247*$N247)*(1+INDEX('For Finance Control'!$B$27:$E$29,2,MATCH('Project information'!$A$4,'For Finance Control'!$B$27:$E$27,0)))</f>
        <v>0</v>
      </c>
      <c r="P247" s="45">
        <f>IF(OR(ISERROR($N247),$N247="",$N247="NA"),0,I247*$N247)*(1+INDEX('For Finance Control'!$B$27:$E$29,2,MATCH('Project information'!$A$4,'For Finance Control'!$B$27:$E$27,0)))</f>
        <v>0</v>
      </c>
      <c r="Q247" s="45">
        <f>IF(OR(ISERROR($N247),$N247="",$N247="NA"),0,J247*$N247)*(1+INDEX('For Finance Control'!$B$27:$E$29,2,MATCH('Project information'!$A$4,'For Finance Control'!$B$27:$E$27,0)))</f>
        <v>0</v>
      </c>
      <c r="R247" s="45">
        <f>IF(OR(ISERROR($N247),$N247="",$N247="NA"),0,K247*$N247)*(1+INDEX('For Finance Control'!$B$27:$E$29,2,MATCH('Project information'!$A$4,'For Finance Control'!$B$27:$E$27,0)))</f>
        <v>0</v>
      </c>
      <c r="S247" s="45">
        <f>IF(OR(ISERROR($N247),$N247="",$N247="NA"),0,L247*$N247)*(1+INDEX('For Finance Control'!$B$27:$E$29,2,MATCH('Project information'!$A$4,'For Finance Control'!$B$27:$E$27,0)))</f>
        <v>0</v>
      </c>
      <c r="T247" s="45">
        <f t="shared" si="276"/>
        <v>0</v>
      </c>
      <c r="U247" s="33" cm="1">
        <f t="array" ref="U247">IF($N247="NA","NA",$N247*INDEX('Exchange rate'!$A$1:$G$7,MATCH('Project information'!$A$13,'Exchange rate'!$A$1:$A$7,0),MATCH(LOOKUP(2,1/({"China";"Korea";"India";"Japan";"EUR";"NAO"}=$E247),{"CNY";"KRW";"INR";"JPY";"EUR";"USD"}),'Exchange rate'!$A$1:$G$1,0)))</f>
        <v>107260</v>
      </c>
      <c r="V247" s="33">
        <f t="shared" si="277"/>
        <v>0</v>
      </c>
      <c r="W247" s="33">
        <f t="shared" si="278"/>
        <v>0</v>
      </c>
      <c r="X247" s="33">
        <f t="shared" si="279"/>
        <v>0</v>
      </c>
      <c r="Y247" s="33">
        <f t="shared" si="280"/>
        <v>0</v>
      </c>
      <c r="Z247" s="33">
        <f t="shared" si="281"/>
        <v>0</v>
      </c>
      <c r="AA247" s="33">
        <f t="shared" si="282"/>
        <v>0</v>
      </c>
      <c r="AB247" s="246"/>
      <c r="AC247" s="247"/>
      <c r="AZ247" s="148" t="str">
        <f t="shared" si="256"/>
        <v>5.125</v>
      </c>
      <c r="BA247" s="149" t="s">
        <v>363</v>
      </c>
    </row>
    <row r="248" spans="1:53" ht="25" outlineLevel="1">
      <c r="A248" s="148" t="str">
        <f t="shared" si="254"/>
        <v>5.126</v>
      </c>
      <c r="B248" s="148" t="str">
        <f>INDEX('Standard cost - Testing'!$A$1:$N$497,MATCH(RIGHT($C248,4),'Standard cost - Testing'!$A$1:$A$497,0),3)</f>
        <v>LVE</v>
      </c>
      <c r="C248" s="149" t="str">
        <f>'Standard cost - Testing'!B127&amp;" - "&amp;'Standard cost - Testing'!A127</f>
        <v>Fatigue test - F032</v>
      </c>
      <c r="D248" s="150" t="str">
        <f>IF(RIGHT(INDEX('Standard cost - Testing'!$A$1:$N$497,MATCH(RIGHT($C248,4),'Standard cost - Testing'!$A$1:$A$497,0),4),1)="]",INDEX('Standard cost - Testing'!$A$1:$N$497,MATCH(RIGHT($C248,4),'Standard cost - Testing'!$A$1:$A$497,0),4),IF(INDEX('Standard cost - Testing'!$A$1:$N$497,MATCH(RIGHT($C248,4),'Standard cost - Testing'!$A$1:$A$497,0),10)=1,INDEX('Standard cost - Testing'!$A$1:$N$497,MATCH(RIGHT($C248,4),'Standard cost - Testing'!$A$1:$A$497,0),4)&amp;" [1 part]",INDEX('Standard cost - Testing'!$A$1:$N$497,MATCH(RIGHT($C248,4),'Standard cost - Testing'!$A$1:$A$497,0),4)&amp;" ["&amp;INDEX('Standard cost - Testing'!$A$1:$N$497,MATCH(RIGHT($C248,4),'Standard cost - Testing'!$A$1:$A$497,0),10)&amp;" parts]"))</f>
        <v>Hot vibration manifold joint durability test [6 parts]</v>
      </c>
      <c r="E248" s="51" t="str">
        <f>IF('Project information'!$A$4="","",'Project information'!$A$4)</f>
        <v>China</v>
      </c>
      <c r="F248" s="149" t="str">
        <f>INDEX('Standard cost - Testing'!$A$1:$N$497,MATCH(RIGHT($C248,4),'Standard cost - Testing'!$A$1:$A$497,0),5)</f>
        <v>FCA</v>
      </c>
      <c r="G248" s="149" t="str">
        <f>IF($E248='Standard cost - Testing'!$F$1,INDEX('Standard cost - Testing'!$A$1:$N$497,MATCH(RIGHT($C248,4),'Standard cost - Testing'!$A$1:$A$497,0),6),INDEX('Standard cost - Testing'!$A$1:$N$497,MATCH(RIGHT($C248,4),'Standard cost - Testing'!$A$1:$A$497,0),7))</f>
        <v>PF.90160 9.12</v>
      </c>
      <c r="H248" s="46"/>
      <c r="I248" s="46"/>
      <c r="J248" s="46"/>
      <c r="K248" s="46"/>
      <c r="L248" s="46"/>
      <c r="M248" s="33">
        <f t="shared" si="275"/>
        <v>0</v>
      </c>
      <c r="N248" s="157">
        <f>IF(E248="","",IF(ISERROR(INDEX('Standard cost - Testing'!$A$1:$N$497,MATCH(RIGHT($C248,4),'Standard cost - Testing'!$A$1:$A$497,0),MATCH($E248,'Standard cost - Testing'!$K$1:$N$1,0)+10)),"NA",INDEX('Standard cost - Testing'!$A$1:$N$497,MATCH(RIGHT($C248,4),'Standard cost - Testing'!$A$1:$A$497,0),MATCH($E248,'Standard cost - Testing'!$K$1:$N$1,0)+10)))</f>
        <v>59180</v>
      </c>
      <c r="O248" s="45">
        <f>IF(OR(ISERROR($N248),$N248="",$N248="NA"),0,H248*$N248)*(1+INDEX('For Finance Control'!$B$27:$E$29,2,MATCH('Project information'!$A$4,'For Finance Control'!$B$27:$E$27,0)))</f>
        <v>0</v>
      </c>
      <c r="P248" s="45">
        <f>IF(OR(ISERROR($N248),$N248="",$N248="NA"),0,I248*$N248)*(1+INDEX('For Finance Control'!$B$27:$E$29,2,MATCH('Project information'!$A$4,'For Finance Control'!$B$27:$E$27,0)))</f>
        <v>0</v>
      </c>
      <c r="Q248" s="45">
        <f>IF(OR(ISERROR($N248),$N248="",$N248="NA"),0,J248*$N248)*(1+INDEX('For Finance Control'!$B$27:$E$29,2,MATCH('Project information'!$A$4,'For Finance Control'!$B$27:$E$27,0)))</f>
        <v>0</v>
      </c>
      <c r="R248" s="45">
        <f>IF(OR(ISERROR($N248),$N248="",$N248="NA"),0,K248*$N248)*(1+INDEX('For Finance Control'!$B$27:$E$29,2,MATCH('Project information'!$A$4,'For Finance Control'!$B$27:$E$27,0)))</f>
        <v>0</v>
      </c>
      <c r="S248" s="45">
        <f>IF(OR(ISERROR($N248),$N248="",$N248="NA"),0,L248*$N248)*(1+INDEX('For Finance Control'!$B$27:$E$29,2,MATCH('Project information'!$A$4,'For Finance Control'!$B$27:$E$27,0)))</f>
        <v>0</v>
      </c>
      <c r="T248" s="45">
        <f t="shared" si="276"/>
        <v>0</v>
      </c>
      <c r="U248" s="33" cm="1">
        <f t="array" ref="U248">IF($N248="NA","NA",$N248*INDEX('Exchange rate'!$A$1:$G$7,MATCH('Project information'!$A$13,'Exchange rate'!$A$1:$A$7,0),MATCH(LOOKUP(2,1/({"China";"Korea";"India";"Japan";"EUR";"NAO"}=$E248),{"CNY";"KRW";"INR";"JPY";"EUR";"USD"}),'Exchange rate'!$A$1:$G$1,0)))</f>
        <v>59180</v>
      </c>
      <c r="V248" s="33">
        <f t="shared" si="277"/>
        <v>0</v>
      </c>
      <c r="W248" s="33">
        <f t="shared" si="278"/>
        <v>0</v>
      </c>
      <c r="X248" s="33">
        <f t="shared" si="279"/>
        <v>0</v>
      </c>
      <c r="Y248" s="33">
        <f t="shared" si="280"/>
        <v>0</v>
      </c>
      <c r="Z248" s="33">
        <f t="shared" si="281"/>
        <v>0</v>
      </c>
      <c r="AA248" s="33">
        <f t="shared" si="282"/>
        <v>0</v>
      </c>
      <c r="AB248" s="246"/>
      <c r="AC248" s="247"/>
      <c r="AZ248" s="148" t="str">
        <f t="shared" si="256"/>
        <v>5.126</v>
      </c>
      <c r="BA248" s="149" t="s">
        <v>364</v>
      </c>
    </row>
    <row r="249" spans="1:53" ht="25" outlineLevel="1">
      <c r="A249" s="148" t="str">
        <f t="shared" si="254"/>
        <v>5.127</v>
      </c>
      <c r="B249" s="148" t="str">
        <f>INDEX('Standard cost - Testing'!$A$1:$N$497,MATCH(RIGHT($C249,4),'Standard cost - Testing'!$A$1:$A$497,0),3)</f>
        <v>LVE</v>
      </c>
      <c r="C249" s="149" t="str">
        <f>'Standard cost - Testing'!B128&amp;" - "&amp;'Standard cost - Testing'!A128</f>
        <v>Fatigue test - F033</v>
      </c>
      <c r="D249" s="150" t="str">
        <f>IF(RIGHT(INDEX('Standard cost - Testing'!$A$1:$N$497,MATCH(RIGHT($C249,4),'Standard cost - Testing'!$A$1:$A$497,0),4),1)="]",INDEX('Standard cost - Testing'!$A$1:$N$497,MATCH(RIGHT($C249,4),'Standard cost - Testing'!$A$1:$A$497,0),4),IF(INDEX('Standard cost - Testing'!$A$1:$N$497,MATCH(RIGHT($C249,4),'Standard cost - Testing'!$A$1:$A$497,0),10)=1,INDEX('Standard cost - Testing'!$A$1:$N$497,MATCH(RIGHT($C249,4),'Standard cost - Testing'!$A$1:$A$497,0),4)&amp;" [1 part]",INDEX('Standard cost - Testing'!$A$1:$N$497,MATCH(RIGHT($C249,4),'Standard cost - Testing'!$A$1:$A$497,0),4)&amp;" ["&amp;INDEX('Standard cost - Testing'!$A$1:$N$497,MATCH(RIGHT($C249,4),'Standard cost - Testing'!$A$1:$A$497,0),10)&amp;" parts]"))</f>
        <v>Mount Bracket Durability [3 parts]</v>
      </c>
      <c r="E249" s="51" t="str">
        <f>IF('Project information'!$A$4="","",'Project information'!$A$4)</f>
        <v>China</v>
      </c>
      <c r="F249" s="149" t="str">
        <f>INDEX('Standard cost - Testing'!$A$1:$N$497,MATCH(RIGHT($C249,4),'Standard cost - Testing'!$A$1:$A$497,0),5)</f>
        <v>NISSAN</v>
      </c>
      <c r="G249" s="149">
        <f>IF($E249='Standard cost - Testing'!$F$1,INDEX('Standard cost - Testing'!$A$1:$N$497,MATCH(RIGHT($C249,4),'Standard cost - Testing'!$A$1:$A$497,0),6),INDEX('Standard cost - Testing'!$A$1:$N$497,MATCH(RIGHT($C249,4),'Standard cost - Testing'!$A$1:$A$497,0),7))</f>
        <v>0</v>
      </c>
      <c r="H249" s="46"/>
      <c r="I249" s="46"/>
      <c r="J249" s="46"/>
      <c r="K249" s="46"/>
      <c r="L249" s="46"/>
      <c r="M249" s="33">
        <f t="shared" si="275"/>
        <v>0</v>
      </c>
      <c r="N249" s="157">
        <f>IF(E249="","",IF(ISERROR(INDEX('Standard cost - Testing'!$A$1:$N$497,MATCH(RIGHT($C249,4),'Standard cost - Testing'!$A$1:$A$497,0),MATCH($E249,'Standard cost - Testing'!$K$1:$N$1,0)+10)),"NA",INDEX('Standard cost - Testing'!$A$1:$N$497,MATCH(RIGHT($C249,4),'Standard cost - Testing'!$A$1:$A$497,0),MATCH($E249,'Standard cost - Testing'!$K$1:$N$1,0)+10)))</f>
        <v>52145</v>
      </c>
      <c r="O249" s="45">
        <f>IF(OR(ISERROR($N249),$N249="",$N249="NA"),0,H249*$N249)*(1+INDEX('For Finance Control'!$B$27:$E$29,2,MATCH('Project information'!$A$4,'For Finance Control'!$B$27:$E$27,0)))</f>
        <v>0</v>
      </c>
      <c r="P249" s="45">
        <f>IF(OR(ISERROR($N249),$N249="",$N249="NA"),0,I249*$N249)*(1+INDEX('For Finance Control'!$B$27:$E$29,2,MATCH('Project information'!$A$4,'For Finance Control'!$B$27:$E$27,0)))</f>
        <v>0</v>
      </c>
      <c r="Q249" s="45">
        <f>IF(OR(ISERROR($N249),$N249="",$N249="NA"),0,J249*$N249)*(1+INDEX('For Finance Control'!$B$27:$E$29,2,MATCH('Project information'!$A$4,'For Finance Control'!$B$27:$E$27,0)))</f>
        <v>0</v>
      </c>
      <c r="R249" s="45">
        <f>IF(OR(ISERROR($N249),$N249="",$N249="NA"),0,K249*$N249)*(1+INDEX('For Finance Control'!$B$27:$E$29,2,MATCH('Project information'!$A$4,'For Finance Control'!$B$27:$E$27,0)))</f>
        <v>0</v>
      </c>
      <c r="S249" s="45">
        <f>IF(OR(ISERROR($N249),$N249="",$N249="NA"),0,L249*$N249)*(1+INDEX('For Finance Control'!$B$27:$E$29,2,MATCH('Project information'!$A$4,'For Finance Control'!$B$27:$E$27,0)))</f>
        <v>0</v>
      </c>
      <c r="T249" s="45">
        <f t="shared" si="276"/>
        <v>0</v>
      </c>
      <c r="U249" s="33" cm="1">
        <f t="array" ref="U249">IF($N249="NA","NA",$N249*INDEX('Exchange rate'!$A$1:$G$7,MATCH('Project information'!$A$13,'Exchange rate'!$A$1:$A$7,0),MATCH(LOOKUP(2,1/({"China";"Korea";"India";"Japan";"EUR";"NAO"}=$E249),{"CNY";"KRW";"INR";"JPY";"EUR";"USD"}),'Exchange rate'!$A$1:$G$1,0)))</f>
        <v>52145</v>
      </c>
      <c r="V249" s="33">
        <f t="shared" si="277"/>
        <v>0</v>
      </c>
      <c r="W249" s="33">
        <f t="shared" si="278"/>
        <v>0</v>
      </c>
      <c r="X249" s="33">
        <f t="shared" si="279"/>
        <v>0</v>
      </c>
      <c r="Y249" s="33">
        <f t="shared" si="280"/>
        <v>0</v>
      </c>
      <c r="Z249" s="33">
        <f t="shared" si="281"/>
        <v>0</v>
      </c>
      <c r="AA249" s="33">
        <f t="shared" si="282"/>
        <v>0</v>
      </c>
      <c r="AB249" s="246"/>
      <c r="AC249" s="247"/>
      <c r="AZ249" s="148" t="str">
        <f t="shared" si="256"/>
        <v>5.127</v>
      </c>
      <c r="BA249" s="149" t="s">
        <v>101</v>
      </c>
    </row>
    <row r="250" spans="1:53" ht="25" outlineLevel="1">
      <c r="A250" s="148" t="str">
        <f t="shared" si="254"/>
        <v>5.128</v>
      </c>
      <c r="B250" s="148" t="str">
        <f>INDEX('Standard cost - Testing'!$A$1:$N$497,MATCH(RIGHT($C250,4),'Standard cost - Testing'!$A$1:$A$497,0),3)</f>
        <v>LVE</v>
      </c>
      <c r="C250" s="149" t="str">
        <f>'Standard cost - Testing'!B129&amp;" - "&amp;'Standard cost - Testing'!A129</f>
        <v>Fatigue test - F034</v>
      </c>
      <c r="D250" s="150" t="str">
        <f>IF(RIGHT(INDEX('Standard cost - Testing'!$A$1:$N$497,MATCH(RIGHT($C250,4),'Standard cost - Testing'!$A$1:$A$497,0),4),1)="]",INDEX('Standard cost - Testing'!$A$1:$N$497,MATCH(RIGHT($C250,4),'Standard cost - Testing'!$A$1:$A$497,0),4),IF(INDEX('Standard cost - Testing'!$A$1:$N$497,MATCH(RIGHT($C250,4),'Standard cost - Testing'!$A$1:$A$497,0),10)=1,INDEX('Standard cost - Testing'!$A$1:$N$497,MATCH(RIGHT($C250,4),'Standard cost - Testing'!$A$1:$A$497,0),4)&amp;" [1 part]",INDEX('Standard cost - Testing'!$A$1:$N$497,MATCH(RIGHT($C250,4),'Standard cost - Testing'!$A$1:$A$497,0),4)&amp;" ["&amp;INDEX('Standard cost - Testing'!$A$1:$N$497,MATCH(RIGHT($C250,4),'Standard cost - Testing'!$A$1:$A$497,0),10)&amp;" parts]"))</f>
        <v>Engine roll test [3 parts]</v>
      </c>
      <c r="E250" s="51" t="str">
        <f>IF('Project information'!$A$4="","",'Project information'!$A$4)</f>
        <v>China</v>
      </c>
      <c r="F250" s="149" t="str">
        <f>INDEX('Standard cost - Testing'!$A$1:$N$497,MATCH(RIGHT($C250,4),'Standard cost - Testing'!$A$1:$A$497,0),5)</f>
        <v>NISSAN</v>
      </c>
      <c r="G250" s="149">
        <f>IF($E250='Standard cost - Testing'!$F$1,INDEX('Standard cost - Testing'!$A$1:$N$497,MATCH(RIGHT($C250,4),'Standard cost - Testing'!$A$1:$A$497,0),6),INDEX('Standard cost - Testing'!$A$1:$N$497,MATCH(RIGHT($C250,4),'Standard cost - Testing'!$A$1:$A$497,0),7))</f>
        <v>0</v>
      </c>
      <c r="H250" s="46"/>
      <c r="I250" s="46"/>
      <c r="J250" s="46"/>
      <c r="K250" s="46"/>
      <c r="L250" s="46"/>
      <c r="M250" s="33">
        <f t="shared" si="275"/>
        <v>0</v>
      </c>
      <c r="N250" s="157">
        <f>IF(E250="","",IF(ISERROR(INDEX('Standard cost - Testing'!$A$1:$N$497,MATCH(RIGHT($C250,4),'Standard cost - Testing'!$A$1:$A$497,0),MATCH($E250,'Standard cost - Testing'!$K$1:$N$1,0)+10)),"NA",INDEX('Standard cost - Testing'!$A$1:$N$497,MATCH(RIGHT($C250,4),'Standard cost - Testing'!$A$1:$A$497,0),MATCH($E250,'Standard cost - Testing'!$K$1:$N$1,0)+10)))</f>
        <v>106345</v>
      </c>
      <c r="O250" s="45">
        <f>IF(OR(ISERROR($N250),$N250="",$N250="NA"),0,H250*$N250)*(1+INDEX('For Finance Control'!$B$27:$E$29,2,MATCH('Project information'!$A$4,'For Finance Control'!$B$27:$E$27,0)))</f>
        <v>0</v>
      </c>
      <c r="P250" s="45">
        <f>IF(OR(ISERROR($N250),$N250="",$N250="NA"),0,I250*$N250)*(1+INDEX('For Finance Control'!$B$27:$E$29,2,MATCH('Project information'!$A$4,'For Finance Control'!$B$27:$E$27,0)))</f>
        <v>0</v>
      </c>
      <c r="Q250" s="45">
        <f>IF(OR(ISERROR($N250),$N250="",$N250="NA"),0,J250*$N250)*(1+INDEX('For Finance Control'!$B$27:$E$29,2,MATCH('Project information'!$A$4,'For Finance Control'!$B$27:$E$27,0)))</f>
        <v>0</v>
      </c>
      <c r="R250" s="45">
        <f>IF(OR(ISERROR($N250),$N250="",$N250="NA"),0,K250*$N250)*(1+INDEX('For Finance Control'!$B$27:$E$29,2,MATCH('Project information'!$A$4,'For Finance Control'!$B$27:$E$27,0)))</f>
        <v>0</v>
      </c>
      <c r="S250" s="45">
        <f>IF(OR(ISERROR($N250),$N250="",$N250="NA"),0,L250*$N250)*(1+INDEX('For Finance Control'!$B$27:$E$29,2,MATCH('Project information'!$A$4,'For Finance Control'!$B$27:$E$27,0)))</f>
        <v>0</v>
      </c>
      <c r="T250" s="45">
        <f t="shared" si="276"/>
        <v>0</v>
      </c>
      <c r="U250" s="33" cm="1">
        <f t="array" ref="U250">IF($N250="NA","NA",$N250*INDEX('Exchange rate'!$A$1:$G$7,MATCH('Project information'!$A$13,'Exchange rate'!$A$1:$A$7,0),MATCH(LOOKUP(2,1/({"China";"Korea";"India";"Japan";"EUR";"NAO"}=$E250),{"CNY";"KRW";"INR";"JPY";"EUR";"USD"}),'Exchange rate'!$A$1:$G$1,0)))</f>
        <v>106345</v>
      </c>
      <c r="V250" s="33">
        <f t="shared" si="277"/>
        <v>0</v>
      </c>
      <c r="W250" s="33">
        <f t="shared" si="278"/>
        <v>0</v>
      </c>
      <c r="X250" s="33">
        <f t="shared" si="279"/>
        <v>0</v>
      </c>
      <c r="Y250" s="33">
        <f t="shared" si="280"/>
        <v>0</v>
      </c>
      <c r="Z250" s="33">
        <f t="shared" si="281"/>
        <v>0</v>
      </c>
      <c r="AA250" s="33">
        <f t="shared" si="282"/>
        <v>0</v>
      </c>
      <c r="AB250" s="246"/>
      <c r="AC250" s="247"/>
      <c r="AZ250" s="148" t="str">
        <f t="shared" si="256"/>
        <v>5.128</v>
      </c>
      <c r="BA250" s="149" t="s">
        <v>101</v>
      </c>
    </row>
    <row r="251" spans="1:53" ht="25" outlineLevel="1">
      <c r="A251" s="148" t="str">
        <f t="shared" si="254"/>
        <v>5.129</v>
      </c>
      <c r="B251" s="148" t="str">
        <f>INDEX('Standard cost - Testing'!$A$1:$N$497,MATCH(RIGHT($C251,4),'Standard cost - Testing'!$A$1:$A$497,0),3)</f>
        <v>CVE</v>
      </c>
      <c r="C251" s="149" t="str">
        <f>'Standard cost - Testing'!B130&amp;" - "&amp;'Standard cost - Testing'!A130</f>
        <v>Fatigue test - F035</v>
      </c>
      <c r="D251" s="150" t="str">
        <f>IF(RIGHT(INDEX('Standard cost - Testing'!$A$1:$N$497,MATCH(RIGHT($C251,4),'Standard cost - Testing'!$A$1:$A$497,0),4),1)="]",INDEX('Standard cost - Testing'!$A$1:$N$497,MATCH(RIGHT($C251,4),'Standard cost - Testing'!$A$1:$A$497,0),4),IF(INDEX('Standard cost - Testing'!$A$1:$N$497,MATCH(RIGHT($C251,4),'Standard cost - Testing'!$A$1:$A$497,0),10)=1,INDEX('Standard cost - Testing'!$A$1:$N$497,MATCH(RIGHT($C251,4),'Standard cost - Testing'!$A$1:$A$497,0),4)&amp;" [1 part]",INDEX('Standard cost - Testing'!$A$1:$N$497,MATCH(RIGHT($C251,4),'Standard cost - Testing'!$A$1:$A$497,0),4)&amp;" ["&amp;INDEX('Standard cost - Testing'!$A$1:$N$497,MATCH(RIGHT($C251,4),'Standard cost - Testing'!$A$1:$A$497,0),10)&amp;" parts]"))</f>
        <v>component fatigue test-CVE DV [4 parts]</v>
      </c>
      <c r="E251" s="51" t="str">
        <f>IF('Project information'!$A$4="","",'Project information'!$A$4)</f>
        <v>China</v>
      </c>
      <c r="F251" s="149" t="str">
        <f>INDEX('Standard cost - Testing'!$A$1:$N$497,MATCH(RIGHT($C251,4),'Standard cost - Testing'!$A$1:$A$497,0),5)</f>
        <v>Faurecia</v>
      </c>
      <c r="G251" s="149" t="str">
        <f>IF($E251='Standard cost - Testing'!$F$1,INDEX('Standard cost - Testing'!$A$1:$N$497,MATCH(RIGHT($C251,4),'Standard cost - Testing'!$A$1:$A$497,0),6),INDEX('Standard cost - Testing'!$A$1:$N$497,MATCH(RIGHT($C251,4),'Standard cost - Testing'!$A$1:$A$497,0),7))</f>
        <v>CHD-I-DSE-2072</v>
      </c>
      <c r="H251" s="46"/>
      <c r="I251" s="46"/>
      <c r="J251" s="46"/>
      <c r="K251" s="46"/>
      <c r="L251" s="46"/>
      <c r="M251" s="33">
        <f t="shared" si="275"/>
        <v>0</v>
      </c>
      <c r="N251" s="157">
        <f>IF(E251="","",IF(ISERROR(INDEX('Standard cost - Testing'!$A$1:$N$497,MATCH(RIGHT($C251,4),'Standard cost - Testing'!$A$1:$A$497,0),MATCH($E251,'Standard cost - Testing'!$K$1:$N$1,0)+10)),"NA",INDEX('Standard cost - Testing'!$A$1:$N$497,MATCH(RIGHT($C251,4),'Standard cost - Testing'!$A$1:$A$497,0),MATCH($E251,'Standard cost - Testing'!$K$1:$N$1,0)+10)))</f>
        <v>71510</v>
      </c>
      <c r="O251" s="45">
        <f>IF(OR(ISERROR($N251),$N251="",$N251="NA"),0,H251*$N251)*(1+INDEX('For Finance Control'!$B$27:$E$29,2,MATCH('Project information'!$A$4,'For Finance Control'!$B$27:$E$27,0)))</f>
        <v>0</v>
      </c>
      <c r="P251" s="45">
        <f>IF(OR(ISERROR($N251),$N251="",$N251="NA"),0,I251*$N251)*(1+INDEX('For Finance Control'!$B$27:$E$29,2,MATCH('Project information'!$A$4,'For Finance Control'!$B$27:$E$27,0)))</f>
        <v>0</v>
      </c>
      <c r="Q251" s="45">
        <f>IF(OR(ISERROR($N251),$N251="",$N251="NA"),0,J251*$N251)*(1+INDEX('For Finance Control'!$B$27:$E$29,2,MATCH('Project information'!$A$4,'For Finance Control'!$B$27:$E$27,0)))</f>
        <v>0</v>
      </c>
      <c r="R251" s="45">
        <f>IF(OR(ISERROR($N251),$N251="",$N251="NA"),0,K251*$N251)*(1+INDEX('For Finance Control'!$B$27:$E$29,2,MATCH('Project information'!$A$4,'For Finance Control'!$B$27:$E$27,0)))</f>
        <v>0</v>
      </c>
      <c r="S251" s="45">
        <f>IF(OR(ISERROR($N251),$N251="",$N251="NA"),0,L251*$N251)*(1+INDEX('For Finance Control'!$B$27:$E$29,2,MATCH('Project information'!$A$4,'For Finance Control'!$B$27:$E$27,0)))</f>
        <v>0</v>
      </c>
      <c r="T251" s="45">
        <f t="shared" si="276"/>
        <v>0</v>
      </c>
      <c r="U251" s="33" cm="1">
        <f t="array" ref="U251">IF($N251="NA","NA",$N251*INDEX('Exchange rate'!$A$1:$G$7,MATCH('Project information'!$A$13,'Exchange rate'!$A$1:$A$7,0),MATCH(LOOKUP(2,1/({"China";"Korea";"India";"Japan";"EUR";"NAO"}=$E251),{"CNY";"KRW";"INR";"JPY";"EUR";"USD"}),'Exchange rate'!$A$1:$G$1,0)))</f>
        <v>71510</v>
      </c>
      <c r="V251" s="33">
        <f t="shared" si="277"/>
        <v>0</v>
      </c>
      <c r="W251" s="33">
        <f t="shared" si="278"/>
        <v>0</v>
      </c>
      <c r="X251" s="33">
        <f t="shared" si="279"/>
        <v>0</v>
      </c>
      <c r="Y251" s="33">
        <f t="shared" si="280"/>
        <v>0</v>
      </c>
      <c r="Z251" s="33">
        <f t="shared" si="281"/>
        <v>0</v>
      </c>
      <c r="AA251" s="33">
        <f t="shared" si="282"/>
        <v>0</v>
      </c>
      <c r="AB251" s="246"/>
      <c r="AC251" s="247"/>
      <c r="AZ251" s="148" t="str">
        <f t="shared" si="256"/>
        <v>5.129</v>
      </c>
      <c r="BA251" s="149" t="s">
        <v>365</v>
      </c>
    </row>
    <row r="252" spans="1:53" ht="25" outlineLevel="1">
      <c r="A252" s="148" t="str">
        <f t="shared" si="254"/>
        <v>5.130</v>
      </c>
      <c r="B252" s="148" t="str">
        <f>INDEX('Standard cost - Testing'!$A$1:$N$497,MATCH(RIGHT($C252,4),'Standard cost - Testing'!$A$1:$A$497,0),3)</f>
        <v>CVE</v>
      </c>
      <c r="C252" s="149" t="str">
        <f>'Standard cost - Testing'!B131&amp;" - "&amp;'Standard cost - Testing'!A131</f>
        <v>Fatigue test - F036</v>
      </c>
      <c r="D252" s="150" t="str">
        <f>IF(RIGHT(INDEX('Standard cost - Testing'!$A$1:$N$497,MATCH(RIGHT($C252,4),'Standard cost - Testing'!$A$1:$A$497,0),4),1)="]",INDEX('Standard cost - Testing'!$A$1:$N$497,MATCH(RIGHT($C252,4),'Standard cost - Testing'!$A$1:$A$497,0),4),IF(INDEX('Standard cost - Testing'!$A$1:$N$497,MATCH(RIGHT($C252,4),'Standard cost - Testing'!$A$1:$A$497,0),10)=1,INDEX('Standard cost - Testing'!$A$1:$N$497,MATCH(RIGHT($C252,4),'Standard cost - Testing'!$A$1:$A$497,0),4)&amp;" [1 part]",INDEX('Standard cost - Testing'!$A$1:$N$497,MATCH(RIGHT($C252,4),'Standard cost - Testing'!$A$1:$A$497,0),4)&amp;" ["&amp;INDEX('Standard cost - Testing'!$A$1:$N$497,MATCH(RIGHT($C252,4),'Standard cost - Testing'!$A$1:$A$497,0),10)&amp;" parts]"))</f>
        <v>component fatigue test-CVE PV [7 parts]</v>
      </c>
      <c r="E252" s="51" t="str">
        <f>IF('Project information'!$A$4="","",'Project information'!$A$4)</f>
        <v>China</v>
      </c>
      <c r="F252" s="149" t="str">
        <f>INDEX('Standard cost - Testing'!$A$1:$N$497,MATCH(RIGHT($C252,4),'Standard cost - Testing'!$A$1:$A$497,0),5)</f>
        <v>Faurecia</v>
      </c>
      <c r="G252" s="149" t="str">
        <f>IF($E252='Standard cost - Testing'!$F$1,INDEX('Standard cost - Testing'!$A$1:$N$497,MATCH(RIGHT($C252,4),'Standard cost - Testing'!$A$1:$A$497,0),6),INDEX('Standard cost - Testing'!$A$1:$N$497,MATCH(RIGHT($C252,4),'Standard cost - Testing'!$A$1:$A$497,0),7))</f>
        <v>CHD-I-DSE-2072</v>
      </c>
      <c r="H252" s="46"/>
      <c r="I252" s="46"/>
      <c r="J252" s="46"/>
      <c r="K252" s="46"/>
      <c r="L252" s="46"/>
      <c r="M252" s="33">
        <f t="shared" si="275"/>
        <v>0</v>
      </c>
      <c r="N252" s="157">
        <f>IF(E252="","",IF(ISERROR(INDEX('Standard cost - Testing'!$A$1:$N$497,MATCH(RIGHT($C252,4),'Standard cost - Testing'!$A$1:$A$497,0),MATCH($E252,'Standard cost - Testing'!$K$1:$N$1,0)+10)),"NA",INDEX('Standard cost - Testing'!$A$1:$N$497,MATCH(RIGHT($C252,4),'Standard cost - Testing'!$A$1:$A$497,0),MATCH($E252,'Standard cost - Testing'!$K$1:$N$1,0)+10)))</f>
        <v>115280</v>
      </c>
      <c r="O252" s="45">
        <f>IF(OR(ISERROR($N252),$N252="",$N252="NA"),0,H252*$N252)*(1+INDEX('For Finance Control'!$B$27:$E$29,2,MATCH('Project information'!$A$4,'For Finance Control'!$B$27:$E$27,0)))</f>
        <v>0</v>
      </c>
      <c r="P252" s="45">
        <f>IF(OR(ISERROR($N252),$N252="",$N252="NA"),0,I252*$N252)*(1+INDEX('For Finance Control'!$B$27:$E$29,2,MATCH('Project information'!$A$4,'For Finance Control'!$B$27:$E$27,0)))</f>
        <v>0</v>
      </c>
      <c r="Q252" s="45">
        <f>IF(OR(ISERROR($N252),$N252="",$N252="NA"),0,J252*$N252)*(1+INDEX('For Finance Control'!$B$27:$E$29,2,MATCH('Project information'!$A$4,'For Finance Control'!$B$27:$E$27,0)))</f>
        <v>0</v>
      </c>
      <c r="R252" s="45">
        <f>IF(OR(ISERROR($N252),$N252="",$N252="NA"),0,K252*$N252)*(1+INDEX('For Finance Control'!$B$27:$E$29,2,MATCH('Project information'!$A$4,'For Finance Control'!$B$27:$E$27,0)))</f>
        <v>0</v>
      </c>
      <c r="S252" s="45">
        <f>IF(OR(ISERROR($N252),$N252="",$N252="NA"),0,L252*$N252)*(1+INDEX('For Finance Control'!$B$27:$E$29,2,MATCH('Project information'!$A$4,'For Finance Control'!$B$27:$E$27,0)))</f>
        <v>0</v>
      </c>
      <c r="T252" s="45">
        <f t="shared" si="276"/>
        <v>0</v>
      </c>
      <c r="U252" s="33" cm="1">
        <f t="array" ref="U252">IF($N252="NA","NA",$N252*INDEX('Exchange rate'!$A$1:$G$7,MATCH('Project information'!$A$13,'Exchange rate'!$A$1:$A$7,0),MATCH(LOOKUP(2,1/({"China";"Korea";"India";"Japan";"EUR";"NAO"}=$E252),{"CNY";"KRW";"INR";"JPY";"EUR";"USD"}),'Exchange rate'!$A$1:$G$1,0)))</f>
        <v>115280</v>
      </c>
      <c r="V252" s="33">
        <f t="shared" si="277"/>
        <v>0</v>
      </c>
      <c r="W252" s="33">
        <f t="shared" si="278"/>
        <v>0</v>
      </c>
      <c r="X252" s="33">
        <f t="shared" si="279"/>
        <v>0</v>
      </c>
      <c r="Y252" s="33">
        <f t="shared" si="280"/>
        <v>0</v>
      </c>
      <c r="Z252" s="33">
        <f t="shared" si="281"/>
        <v>0</v>
      </c>
      <c r="AA252" s="33">
        <f t="shared" si="282"/>
        <v>0</v>
      </c>
      <c r="AB252" s="246"/>
      <c r="AC252" s="247"/>
      <c r="AZ252" s="148" t="str">
        <f t="shared" si="256"/>
        <v>5.130</v>
      </c>
      <c r="BA252" s="149" t="s">
        <v>365</v>
      </c>
    </row>
    <row r="253" spans="1:53" ht="25" outlineLevel="1">
      <c r="A253" s="148" t="str">
        <f t="shared" si="254"/>
        <v>5.131</v>
      </c>
      <c r="B253" s="148" t="str">
        <f>INDEX('Standard cost - Testing'!$A$1:$N$497,MATCH(RIGHT($C253,4),'Standard cost - Testing'!$A$1:$A$497,0),3)</f>
        <v>LVE</v>
      </c>
      <c r="C253" s="149" t="str">
        <f>'Standard cost - Testing'!B132&amp;" - "&amp;'Standard cost - Testing'!A132</f>
        <v>Fatigue test - F044</v>
      </c>
      <c r="D253" s="150" t="str">
        <f>IF(RIGHT(INDEX('Standard cost - Testing'!$A$1:$N$497,MATCH(RIGHT($C253,4),'Standard cost - Testing'!$A$1:$A$497,0),4),1)="]",INDEX('Standard cost - Testing'!$A$1:$N$497,MATCH(RIGHT($C253,4),'Standard cost - Testing'!$A$1:$A$497,0),4),IF(INDEX('Standard cost - Testing'!$A$1:$N$497,MATCH(RIGHT($C253,4),'Standard cost - Testing'!$A$1:$A$497,0),10)=1,INDEX('Standard cost - Testing'!$A$1:$N$497,MATCH(RIGHT($C253,4),'Standard cost - Testing'!$A$1:$A$497,0),4)&amp;" [1 part]",INDEX('Standard cost - Testing'!$A$1:$N$497,MATCH(RIGHT($C253,4),'Standard cost - Testing'!$A$1:$A$497,0),4)&amp;" ["&amp;INDEX('Standard cost - Testing'!$A$1:$N$497,MATCH(RIGHT($C253,4),'Standard cost - Testing'!$A$1:$A$497,0),10)&amp;" parts]"))</f>
        <v>Bi-axes fatigue test - inlet &amp; outlet [18 parts]</v>
      </c>
      <c r="E253" s="51" t="str">
        <f>IF('Project information'!$A$4="","",'Project information'!$A$4)</f>
        <v>China</v>
      </c>
      <c r="F253" s="149" t="str">
        <f>INDEX('Standard cost - Testing'!$A$1:$N$497,MATCH(RIGHT($C253,4),'Standard cost - Testing'!$A$1:$A$497,0),5)</f>
        <v>Benz</v>
      </c>
      <c r="G253" s="149" t="str">
        <f>IF($E253='Standard cost - Testing'!$F$1,INDEX('Standard cost - Testing'!$A$1:$N$497,MATCH(RIGHT($C253,4),'Standard cost - Testing'!$A$1:$A$497,0),6),INDEX('Standard cost - Testing'!$A$1:$N$497,MATCH(RIGHT($C253,4),'Standard cost - Testing'!$A$1:$A$497,0),7))</f>
        <v>TL 82391 Forderung 3</v>
      </c>
      <c r="H253" s="46"/>
      <c r="I253" s="46"/>
      <c r="J253" s="46"/>
      <c r="K253" s="46"/>
      <c r="L253" s="46"/>
      <c r="M253" s="33">
        <f t="shared" si="275"/>
        <v>0</v>
      </c>
      <c r="N253" s="157">
        <f>IF(E253="","",IF(ISERROR(INDEX('Standard cost - Testing'!$A$1:$N$497,MATCH(RIGHT($C253,4),'Standard cost - Testing'!$A$1:$A$497,0),MATCH($E253,'Standard cost - Testing'!$K$1:$N$1,0)+10)),"NA",INDEX('Standard cost - Testing'!$A$1:$N$497,MATCH(RIGHT($C253,4),'Standard cost - Testing'!$A$1:$A$497,0),MATCH($E253,'Standard cost - Testing'!$K$1:$N$1,0)+10)))</f>
        <v>222855</v>
      </c>
      <c r="O253" s="45">
        <f>IF(OR(ISERROR($N253),$N253="",$N253="NA"),0,H253*$N253)*(1+INDEX('For Finance Control'!$B$27:$E$29,2,MATCH('Project information'!$A$4,'For Finance Control'!$B$27:$E$27,0)))</f>
        <v>0</v>
      </c>
      <c r="P253" s="45">
        <f>IF(OR(ISERROR($N253),$N253="",$N253="NA"),0,I253*$N253)*(1+INDEX('For Finance Control'!$B$27:$E$29,2,MATCH('Project information'!$A$4,'For Finance Control'!$B$27:$E$27,0)))</f>
        <v>0</v>
      </c>
      <c r="Q253" s="45">
        <f>IF(OR(ISERROR($N253),$N253="",$N253="NA"),0,J253*$N253)*(1+INDEX('For Finance Control'!$B$27:$E$29,2,MATCH('Project information'!$A$4,'For Finance Control'!$B$27:$E$27,0)))</f>
        <v>0</v>
      </c>
      <c r="R253" s="45">
        <f>IF(OR(ISERROR($N253),$N253="",$N253="NA"),0,K253*$N253)*(1+INDEX('For Finance Control'!$B$27:$E$29,2,MATCH('Project information'!$A$4,'For Finance Control'!$B$27:$E$27,0)))</f>
        <v>0</v>
      </c>
      <c r="S253" s="45">
        <f>IF(OR(ISERROR($N253),$N253="",$N253="NA"),0,L253*$N253)*(1+INDEX('For Finance Control'!$B$27:$E$29,2,MATCH('Project information'!$A$4,'For Finance Control'!$B$27:$E$27,0)))</f>
        <v>0</v>
      </c>
      <c r="T253" s="45">
        <f t="shared" si="276"/>
        <v>0</v>
      </c>
      <c r="U253" s="33" cm="1">
        <f t="array" ref="U253">IF($N253="NA","NA",$N253*INDEX('Exchange rate'!$A$1:$G$7,MATCH('Project information'!$A$13,'Exchange rate'!$A$1:$A$7,0),MATCH(LOOKUP(2,1/({"China";"Korea";"India";"Japan";"EUR";"NAO"}=$E253),{"CNY";"KRW";"INR";"JPY";"EUR";"USD"}),'Exchange rate'!$A$1:$G$1,0)))</f>
        <v>222855</v>
      </c>
      <c r="V253" s="33">
        <f t="shared" si="277"/>
        <v>0</v>
      </c>
      <c r="W253" s="33">
        <f t="shared" si="278"/>
        <v>0</v>
      </c>
      <c r="X253" s="33">
        <f t="shared" si="279"/>
        <v>0</v>
      </c>
      <c r="Y253" s="33">
        <f t="shared" si="280"/>
        <v>0</v>
      </c>
      <c r="Z253" s="33">
        <f t="shared" si="281"/>
        <v>0</v>
      </c>
      <c r="AA253" s="33">
        <f t="shared" si="282"/>
        <v>0</v>
      </c>
      <c r="AB253" s="246"/>
      <c r="AC253" s="247"/>
      <c r="AZ253" s="148" t="str">
        <f t="shared" si="256"/>
        <v>5.131</v>
      </c>
      <c r="BA253" s="149" t="s">
        <v>353</v>
      </c>
    </row>
    <row r="254" spans="1:53" ht="25" outlineLevel="1">
      <c r="A254" s="148" t="str">
        <f t="shared" si="254"/>
        <v>5.132</v>
      </c>
      <c r="B254" s="148" t="str">
        <f>INDEX('Standard cost - Testing'!$A$1:$N$497,MATCH(RIGHT($C254,4),'Standard cost - Testing'!$A$1:$A$497,0),3)</f>
        <v>LVE</v>
      </c>
      <c r="C254" s="149" t="str">
        <f>'Standard cost - Testing'!B133&amp;" - "&amp;'Standard cost - Testing'!A133</f>
        <v>Fatigue test - F045</v>
      </c>
      <c r="D254" s="150" t="str">
        <f>IF(RIGHT(INDEX('Standard cost - Testing'!$A$1:$N$497,MATCH(RIGHT($C254,4),'Standard cost - Testing'!$A$1:$A$497,0),4),1)="]",INDEX('Standard cost - Testing'!$A$1:$N$497,MATCH(RIGHT($C254,4),'Standard cost - Testing'!$A$1:$A$497,0),4),IF(INDEX('Standard cost - Testing'!$A$1:$N$497,MATCH(RIGHT($C254,4),'Standard cost - Testing'!$A$1:$A$497,0),10)=1,INDEX('Standard cost - Testing'!$A$1:$N$497,MATCH(RIGHT($C254,4),'Standard cost - Testing'!$A$1:$A$497,0),4)&amp;" [1 part]",INDEX('Standard cost - Testing'!$A$1:$N$497,MATCH(RIGHT($C254,4),'Standard cost - Testing'!$A$1:$A$497,0),4)&amp;" ["&amp;INDEX('Standard cost - Testing'!$A$1:$N$497,MATCH(RIGHT($C254,4),'Standard cost - Testing'!$A$1:$A$497,0),10)&amp;" parts]"))</f>
        <v>Mono-axes fatigue test - hanger &amp; bracket [18 parts]</v>
      </c>
      <c r="E254" s="51" t="str">
        <f>IF('Project information'!$A$4="","",'Project information'!$A$4)</f>
        <v>China</v>
      </c>
      <c r="F254" s="149" t="str">
        <f>INDEX('Standard cost - Testing'!$A$1:$N$497,MATCH(RIGHT($C254,4),'Standard cost - Testing'!$A$1:$A$497,0),5)</f>
        <v>Benz</v>
      </c>
      <c r="G254" s="149" t="str">
        <f>IF($E254='Standard cost - Testing'!$F$1,INDEX('Standard cost - Testing'!$A$1:$N$497,MATCH(RIGHT($C254,4),'Standard cost - Testing'!$A$1:$A$497,0),6),INDEX('Standard cost - Testing'!$A$1:$N$497,MATCH(RIGHT($C254,4),'Standard cost - Testing'!$A$1:$A$497,0),7))</f>
        <v>TL 82391 Forderung 3</v>
      </c>
      <c r="H254" s="46"/>
      <c r="I254" s="46"/>
      <c r="J254" s="46"/>
      <c r="K254" s="46"/>
      <c r="L254" s="46"/>
      <c r="M254" s="33">
        <f t="shared" si="247"/>
        <v>0</v>
      </c>
      <c r="N254" s="157">
        <f>IF(E254="","",IF(ISERROR(INDEX('Standard cost - Testing'!$A$1:$N$497,MATCH(RIGHT($C254,4),'Standard cost - Testing'!$A$1:$A$497,0),MATCH($E254,'Standard cost - Testing'!$K$1:$N$1,0)+10)),"NA",INDEX('Standard cost - Testing'!$A$1:$N$497,MATCH(RIGHT($C254,4),'Standard cost - Testing'!$A$1:$A$497,0),MATCH($E254,'Standard cost - Testing'!$K$1:$N$1,0)+10)))</f>
        <v>118215</v>
      </c>
      <c r="O254" s="45">
        <f>IF(OR(ISERROR($N254),$N254="",$N254="NA"),0,H254*$N254)*(1+INDEX('For Finance Control'!$B$27:$E$29,2,MATCH('Project information'!$A$4,'For Finance Control'!$B$27:$E$27,0)))</f>
        <v>0</v>
      </c>
      <c r="P254" s="45">
        <f>IF(OR(ISERROR($N254),$N254="",$N254="NA"),0,I254*$N254)*(1+INDEX('For Finance Control'!$B$27:$E$29,2,MATCH('Project information'!$A$4,'For Finance Control'!$B$27:$E$27,0)))</f>
        <v>0</v>
      </c>
      <c r="Q254" s="45">
        <f>IF(OR(ISERROR($N254),$N254="",$N254="NA"),0,J254*$N254)*(1+INDEX('For Finance Control'!$B$27:$E$29,2,MATCH('Project information'!$A$4,'For Finance Control'!$B$27:$E$27,0)))</f>
        <v>0</v>
      </c>
      <c r="R254" s="45">
        <f>IF(OR(ISERROR($N254),$N254="",$N254="NA"),0,K254*$N254)*(1+INDEX('For Finance Control'!$B$27:$E$29,2,MATCH('Project information'!$A$4,'For Finance Control'!$B$27:$E$27,0)))</f>
        <v>0</v>
      </c>
      <c r="S254" s="45">
        <f>IF(OR(ISERROR($N254),$N254="",$N254="NA"),0,L254*$N254)*(1+INDEX('For Finance Control'!$B$27:$E$29,2,MATCH('Project information'!$A$4,'For Finance Control'!$B$27:$E$27,0)))</f>
        <v>0</v>
      </c>
      <c r="T254" s="45">
        <f t="shared" si="248"/>
        <v>0</v>
      </c>
      <c r="U254" s="33" cm="1">
        <f t="array" ref="U254">IF($N254="NA","NA",$N254*INDEX('Exchange rate'!$A$1:$G$7,MATCH('Project information'!$A$13,'Exchange rate'!$A$1:$A$7,0),MATCH(LOOKUP(2,1/({"China";"Korea";"India";"Japan";"EUR";"NAO"}=$E254),{"CNY";"KRW";"INR";"JPY";"EUR";"USD"}),'Exchange rate'!$A$1:$G$1,0)))</f>
        <v>118215</v>
      </c>
      <c r="V254" s="33">
        <f t="shared" si="249"/>
        <v>0</v>
      </c>
      <c r="W254" s="33">
        <f t="shared" si="250"/>
        <v>0</v>
      </c>
      <c r="X254" s="33">
        <f t="shared" si="251"/>
        <v>0</v>
      </c>
      <c r="Y254" s="33">
        <f t="shared" si="252"/>
        <v>0</v>
      </c>
      <c r="Z254" s="33">
        <f t="shared" si="253"/>
        <v>0</v>
      </c>
      <c r="AA254" s="33">
        <f t="shared" si="255"/>
        <v>0</v>
      </c>
      <c r="AB254" s="246"/>
      <c r="AC254" s="247"/>
      <c r="AZ254" s="148" t="str">
        <f t="shared" si="256"/>
        <v>5.132</v>
      </c>
      <c r="BA254" s="149" t="s">
        <v>353</v>
      </c>
    </row>
    <row r="255" spans="1:53" ht="25" outlineLevel="1">
      <c r="A255" s="148" t="str">
        <f t="shared" si="254"/>
        <v>5.133</v>
      </c>
      <c r="B255" s="148" t="str">
        <f>INDEX('Standard cost - Testing'!$A$1:$N$497,MATCH(RIGHT($C255,4),'Standard cost - Testing'!$A$1:$A$497,0),3)</f>
        <v>LVE</v>
      </c>
      <c r="C255" s="149" t="str">
        <f>'Standard cost - Testing'!B134&amp;" - "&amp;'Standard cost - Testing'!A134</f>
        <v>H.V - H001</v>
      </c>
      <c r="D255" s="150" t="str">
        <f>IF(RIGHT(INDEX('Standard cost - Testing'!$A$1:$N$497,MATCH(RIGHT($C255,4),'Standard cost - Testing'!$A$1:$A$497,0),4),1)="]",INDEX('Standard cost - Testing'!$A$1:$N$497,MATCH(RIGHT($C255,4),'Standard cost - Testing'!$A$1:$A$497,0),4),IF(INDEX('Standard cost - Testing'!$A$1:$N$497,MATCH(RIGHT($C255,4),'Standard cost - Testing'!$A$1:$A$497,0),10)=1,INDEX('Standard cost - Testing'!$A$1:$N$497,MATCH(RIGHT($C255,4),'Standard cost - Testing'!$A$1:$A$497,0),4)&amp;" [1 part]",INDEX('Standard cost - Testing'!$A$1:$N$497,MATCH(RIGHT($C255,4),'Standard cost - Testing'!$A$1:$A$497,0),4)&amp;" ["&amp;INDEX('Standard cost - Testing'!$A$1:$N$497,MATCH(RIGHT($C255,4),'Standard cost - Testing'!$A$1:$A$497,0),10)&amp;" parts]"))</f>
        <v>Converter hot vibration test (new mat type) [3 parts]</v>
      </c>
      <c r="E255" s="51" t="str">
        <f>IF('Project information'!$A$4="","",'Project information'!$A$4)</f>
        <v>China</v>
      </c>
      <c r="F255" s="149" t="str">
        <f>INDEX('Standard cost - Testing'!$A$1:$N$497,MATCH(RIGHT($C255,4),'Standard cost - Testing'!$A$1:$A$497,0),5)</f>
        <v>Faurecia</v>
      </c>
      <c r="G255" s="149" t="str">
        <f>IF($E255='Standard cost - Testing'!$F$1,INDEX('Standard cost - Testing'!$A$1:$N$497,MATCH(RIGHT($C255,4),'Standard cost - Testing'!$A$1:$A$497,0),6),INDEX('Standard cost - Testing'!$A$1:$N$497,MATCH(RIGHT($C255,4),'Standard cost - Testing'!$A$1:$A$497,0),7))</f>
        <v>FSE-S-DSE-L020</v>
      </c>
      <c r="H255" s="46"/>
      <c r="I255" s="46"/>
      <c r="J255" s="46"/>
      <c r="K255" s="46"/>
      <c r="L255" s="46"/>
      <c r="M255" s="33">
        <f t="shared" si="247"/>
        <v>0</v>
      </c>
      <c r="N255" s="157">
        <f>IF(E255="","",IF(ISERROR(INDEX('Standard cost - Testing'!$A$1:$N$497,MATCH(RIGHT($C255,4),'Standard cost - Testing'!$A$1:$A$497,0),MATCH($E255,'Standard cost - Testing'!$K$1:$N$1,0)+10)),"NA",INDEX('Standard cost - Testing'!$A$1:$N$497,MATCH(RIGHT($C255,4),'Standard cost - Testing'!$A$1:$A$497,0),MATCH($E255,'Standard cost - Testing'!$K$1:$N$1,0)+10)))</f>
        <v>59112</v>
      </c>
      <c r="O255" s="45">
        <f>IF(OR(ISERROR($N255),$N255="",$N255="NA"),0,H255*$N255)*(1+INDEX('For Finance Control'!$B$27:$E$29,2,MATCH('Project information'!$A$4,'For Finance Control'!$B$27:$E$27,0)))</f>
        <v>0</v>
      </c>
      <c r="P255" s="45">
        <f>IF(OR(ISERROR($N255),$N255="",$N255="NA"),0,I255*$N255)*(1+INDEX('For Finance Control'!$B$27:$E$29,2,MATCH('Project information'!$A$4,'For Finance Control'!$B$27:$E$27,0)))</f>
        <v>0</v>
      </c>
      <c r="Q255" s="45">
        <f>IF(OR(ISERROR($N255),$N255="",$N255="NA"),0,J255*$N255)*(1+INDEX('For Finance Control'!$B$27:$E$29,2,MATCH('Project information'!$A$4,'For Finance Control'!$B$27:$E$27,0)))</f>
        <v>0</v>
      </c>
      <c r="R255" s="45">
        <f>IF(OR(ISERROR($N255),$N255="",$N255="NA"),0,K255*$N255)*(1+INDEX('For Finance Control'!$B$27:$E$29,2,MATCH('Project information'!$A$4,'For Finance Control'!$B$27:$E$27,0)))</f>
        <v>0</v>
      </c>
      <c r="S255" s="45">
        <f>IF(OR(ISERROR($N255),$N255="",$N255="NA"),0,L255*$N255)*(1+INDEX('For Finance Control'!$B$27:$E$29,2,MATCH('Project information'!$A$4,'For Finance Control'!$B$27:$E$27,0)))</f>
        <v>0</v>
      </c>
      <c r="T255" s="45">
        <f t="shared" si="248"/>
        <v>0</v>
      </c>
      <c r="U255" s="33" cm="1">
        <f t="array" ref="U255">IF($N255="NA","NA",$N255*INDEX('Exchange rate'!$A$1:$G$7,MATCH('Project information'!$A$13,'Exchange rate'!$A$1:$A$7,0),MATCH(LOOKUP(2,1/({"China";"Korea";"India";"Japan";"EUR";"NAO"}=$E255),{"CNY";"KRW";"INR";"JPY";"EUR";"USD"}),'Exchange rate'!$A$1:$G$1,0)))</f>
        <v>59112</v>
      </c>
      <c r="V255" s="33">
        <f t="shared" si="249"/>
        <v>0</v>
      </c>
      <c r="W255" s="33">
        <f t="shared" si="250"/>
        <v>0</v>
      </c>
      <c r="X255" s="33">
        <f t="shared" si="251"/>
        <v>0</v>
      </c>
      <c r="Y255" s="33">
        <f t="shared" si="252"/>
        <v>0</v>
      </c>
      <c r="Z255" s="33">
        <f t="shared" si="253"/>
        <v>0</v>
      </c>
      <c r="AA255" s="33">
        <f t="shared" si="255"/>
        <v>0</v>
      </c>
      <c r="AB255" s="246"/>
      <c r="AC255" s="247"/>
      <c r="AZ255" s="148" t="str">
        <f t="shared" si="256"/>
        <v>5.133</v>
      </c>
      <c r="BA255" s="149" t="s">
        <v>366</v>
      </c>
    </row>
    <row r="256" spans="1:53" outlineLevel="1">
      <c r="A256" s="148" t="str">
        <f t="shared" si="254"/>
        <v>5.134</v>
      </c>
      <c r="B256" s="148" t="str">
        <f>INDEX('Standard cost - Testing'!$A$1:$N$497,MATCH(RIGHT($C256,4),'Standard cost - Testing'!$A$1:$A$497,0),3)</f>
        <v>LVE</v>
      </c>
      <c r="C256" s="149" t="str">
        <f>'Standard cost - Testing'!B135&amp;" - "&amp;'Standard cost - Testing'!A135</f>
        <v>H.V - H002</v>
      </c>
      <c r="D256" s="150" t="str">
        <f>IF(RIGHT(INDEX('Standard cost - Testing'!$A$1:$N$497,MATCH(RIGHT($C256,4),'Standard cost - Testing'!$A$1:$A$497,0),4),1)="]",INDEX('Standard cost - Testing'!$A$1:$N$497,MATCH(RIGHT($C256,4),'Standard cost - Testing'!$A$1:$A$497,0),4),IF(INDEX('Standard cost - Testing'!$A$1:$N$497,MATCH(RIGHT($C256,4),'Standard cost - Testing'!$A$1:$A$497,0),10)=1,INDEX('Standard cost - Testing'!$A$1:$N$497,MATCH(RIGHT($C256,4),'Standard cost - Testing'!$A$1:$A$497,0),4)&amp;" [1 part]",INDEX('Standard cost - Testing'!$A$1:$N$497,MATCH(RIGHT($C256,4),'Standard cost - Testing'!$A$1:$A$497,0),4)&amp;" ["&amp;INDEX('Standard cost - Testing'!$A$1:$N$497,MATCH(RIGHT($C256,4),'Standard cost - Testing'!$A$1:$A$497,0),10)&amp;" parts]"))</f>
        <v>Converter hot vibration test [2 parts]</v>
      </c>
      <c r="E256" s="51" t="str">
        <f>IF('Project information'!$A$4="","",'Project information'!$A$4)</f>
        <v>China</v>
      </c>
      <c r="F256" s="149" t="str">
        <f>INDEX('Standard cost - Testing'!$A$1:$N$497,MATCH(RIGHT($C256,4),'Standard cost - Testing'!$A$1:$A$497,0),5)</f>
        <v>Faurecia</v>
      </c>
      <c r="G256" s="149" t="str">
        <f>IF($E256='Standard cost - Testing'!$F$1,INDEX('Standard cost - Testing'!$A$1:$N$497,MATCH(RIGHT($C256,4),'Standard cost - Testing'!$A$1:$A$497,0),6),INDEX('Standard cost - Testing'!$A$1:$N$497,MATCH(RIGHT($C256,4),'Standard cost - Testing'!$A$1:$A$497,0),7))</f>
        <v>FSE-S-DSE-L020</v>
      </c>
      <c r="H256" s="46"/>
      <c r="I256" s="46"/>
      <c r="J256" s="46"/>
      <c r="K256" s="46"/>
      <c r="L256" s="46"/>
      <c r="M256" s="33">
        <f t="shared" si="247"/>
        <v>0</v>
      </c>
      <c r="N256" s="157">
        <f>IF(E256="","",IF(ISERROR(INDEX('Standard cost - Testing'!$A$1:$N$497,MATCH(RIGHT($C256,4),'Standard cost - Testing'!$A$1:$A$497,0),MATCH($E256,'Standard cost - Testing'!$K$1:$N$1,0)+10)),"NA",INDEX('Standard cost - Testing'!$A$1:$N$497,MATCH(RIGHT($C256,4),'Standard cost - Testing'!$A$1:$A$497,0),MATCH($E256,'Standard cost - Testing'!$K$1:$N$1,0)+10)))</f>
        <v>39776</v>
      </c>
      <c r="O256" s="45">
        <f>IF(OR(ISERROR($N256),$N256="",$N256="NA"),0,H256*$N256)*(1+INDEX('For Finance Control'!$B$27:$E$29,2,MATCH('Project information'!$A$4,'For Finance Control'!$B$27:$E$27,0)))</f>
        <v>0</v>
      </c>
      <c r="P256" s="45">
        <f>IF(OR(ISERROR($N256),$N256="",$N256="NA"),0,I256*$N256)*(1+INDEX('For Finance Control'!$B$27:$E$29,2,MATCH('Project information'!$A$4,'For Finance Control'!$B$27:$E$27,0)))</f>
        <v>0</v>
      </c>
      <c r="Q256" s="45">
        <f>IF(OR(ISERROR($N256),$N256="",$N256="NA"),0,J256*$N256)*(1+INDEX('For Finance Control'!$B$27:$E$29,2,MATCH('Project information'!$A$4,'For Finance Control'!$B$27:$E$27,0)))</f>
        <v>0</v>
      </c>
      <c r="R256" s="45">
        <f>IF(OR(ISERROR($N256),$N256="",$N256="NA"),0,K256*$N256)*(1+INDEX('For Finance Control'!$B$27:$E$29,2,MATCH('Project information'!$A$4,'For Finance Control'!$B$27:$E$27,0)))</f>
        <v>0</v>
      </c>
      <c r="S256" s="45">
        <f>IF(OR(ISERROR($N256),$N256="",$N256="NA"),0,L256*$N256)*(1+INDEX('For Finance Control'!$B$27:$E$29,2,MATCH('Project information'!$A$4,'For Finance Control'!$B$27:$E$27,0)))</f>
        <v>0</v>
      </c>
      <c r="T256" s="45">
        <f t="shared" si="248"/>
        <v>0</v>
      </c>
      <c r="U256" s="33" cm="1">
        <f t="array" ref="U256">IF($N256="NA","NA",$N256*INDEX('Exchange rate'!$A$1:$G$7,MATCH('Project information'!$A$13,'Exchange rate'!$A$1:$A$7,0),MATCH(LOOKUP(2,1/({"China";"Korea";"India";"Japan";"EUR";"NAO"}=$E256),{"CNY";"KRW";"INR";"JPY";"EUR";"USD"}),'Exchange rate'!$A$1:$G$1,0)))</f>
        <v>39776</v>
      </c>
      <c r="V256" s="33">
        <f t="shared" si="249"/>
        <v>0</v>
      </c>
      <c r="W256" s="33">
        <f t="shared" si="250"/>
        <v>0</v>
      </c>
      <c r="X256" s="33">
        <f t="shared" si="251"/>
        <v>0</v>
      </c>
      <c r="Y256" s="33">
        <f t="shared" si="252"/>
        <v>0</v>
      </c>
      <c r="Z256" s="33">
        <f t="shared" si="253"/>
        <v>0</v>
      </c>
      <c r="AA256" s="33">
        <f t="shared" si="255"/>
        <v>0</v>
      </c>
      <c r="AB256" s="246"/>
      <c r="AC256" s="247"/>
      <c r="AZ256" s="148" t="str">
        <f t="shared" si="256"/>
        <v>5.134</v>
      </c>
      <c r="BA256" s="149" t="s">
        <v>366</v>
      </c>
    </row>
    <row r="257" spans="1:53" ht="25" outlineLevel="1">
      <c r="A257" s="148" t="str">
        <f t="shared" si="254"/>
        <v>5.135</v>
      </c>
      <c r="B257" s="148" t="str">
        <f>INDEX('Standard cost - Testing'!$A$1:$N$497,MATCH(RIGHT($C257,4),'Standard cost - Testing'!$A$1:$A$497,0),3)</f>
        <v>LVE</v>
      </c>
      <c r="C257" s="149" t="str">
        <f>'Standard cost - Testing'!B136&amp;" - "&amp;'Standard cost - Testing'!A136</f>
        <v>H.V - H003</v>
      </c>
      <c r="D257" s="150" t="str">
        <f>IF(RIGHT(INDEX('Standard cost - Testing'!$A$1:$N$497,MATCH(RIGHT($C257,4),'Standard cost - Testing'!$A$1:$A$497,0),4),1)="]",INDEX('Standard cost - Testing'!$A$1:$N$497,MATCH(RIGHT($C257,4),'Standard cost - Testing'!$A$1:$A$497,0),4),IF(INDEX('Standard cost - Testing'!$A$1:$N$497,MATCH(RIGHT($C257,4),'Standard cost - Testing'!$A$1:$A$497,0),10)=1,INDEX('Standard cost - Testing'!$A$1:$N$497,MATCH(RIGHT($C257,4),'Standard cost - Testing'!$A$1:$A$497,0),4)&amp;" [1 part]",INDEX('Standard cost - Testing'!$A$1:$N$497,MATCH(RIGHT($C257,4),'Standard cost - Testing'!$A$1:$A$497,0),4)&amp;" ["&amp;INDEX('Standard cost - Testing'!$A$1:$N$497,MATCH(RIGHT($C257,4),'Standard cost - Testing'!$A$1:$A$497,0),10)&amp;" parts]"))</f>
        <v>Catalytic Converter / DPF hot vibration test - standard steps [6 parts]</v>
      </c>
      <c r="E257" s="51" t="str">
        <f>IF('Project information'!$A$4="","",'Project information'!$A$4)</f>
        <v>China</v>
      </c>
      <c r="F257" s="149" t="str">
        <f>INDEX('Standard cost - Testing'!$A$1:$N$497,MATCH(RIGHT($C257,4),'Standard cost - Testing'!$A$1:$A$497,0),5)</f>
        <v>Audi</v>
      </c>
      <c r="G257" s="149" t="str">
        <f>IF($E257='Standard cost - Testing'!$F$1,INDEX('Standard cost - Testing'!$A$1:$N$497,MATCH(RIGHT($C257,4),'Standard cost - Testing'!$A$1:$A$497,0),6),INDEX('Standard cost - Testing'!$A$1:$N$497,MATCH(RIGHT($C257,4),'Standard cost - Testing'!$A$1:$A$497,0),7))</f>
        <v>EP18310.55</v>
      </c>
      <c r="H257" s="46"/>
      <c r="I257" s="46"/>
      <c r="J257" s="46"/>
      <c r="K257" s="46"/>
      <c r="L257" s="46"/>
      <c r="M257" s="33">
        <f t="shared" si="247"/>
        <v>0</v>
      </c>
      <c r="N257" s="157">
        <f>IF(E257="","",IF(ISERROR(INDEX('Standard cost - Testing'!$A$1:$N$497,MATCH(RIGHT($C257,4),'Standard cost - Testing'!$A$1:$A$497,0),MATCH($E257,'Standard cost - Testing'!$K$1:$N$1,0)+10)),"NA",INDEX('Standard cost - Testing'!$A$1:$N$497,MATCH(RIGHT($C257,4),'Standard cost - Testing'!$A$1:$A$497,0),MATCH($E257,'Standard cost - Testing'!$K$1:$N$1,0)+10)))</f>
        <v>317250</v>
      </c>
      <c r="O257" s="45">
        <f>IF(OR(ISERROR($N257),$N257="",$N257="NA"),0,H257*$N257)*(1+INDEX('For Finance Control'!$B$27:$E$29,2,MATCH('Project information'!$A$4,'For Finance Control'!$B$27:$E$27,0)))</f>
        <v>0</v>
      </c>
      <c r="P257" s="45">
        <f>IF(OR(ISERROR($N257),$N257="",$N257="NA"),0,I257*$N257)*(1+INDEX('For Finance Control'!$B$27:$E$29,2,MATCH('Project information'!$A$4,'For Finance Control'!$B$27:$E$27,0)))</f>
        <v>0</v>
      </c>
      <c r="Q257" s="45">
        <f>IF(OR(ISERROR($N257),$N257="",$N257="NA"),0,J257*$N257)*(1+INDEX('For Finance Control'!$B$27:$E$29,2,MATCH('Project information'!$A$4,'For Finance Control'!$B$27:$E$27,0)))</f>
        <v>0</v>
      </c>
      <c r="R257" s="45">
        <f>IF(OR(ISERROR($N257),$N257="",$N257="NA"),0,K257*$N257)*(1+INDEX('For Finance Control'!$B$27:$E$29,2,MATCH('Project information'!$A$4,'For Finance Control'!$B$27:$E$27,0)))</f>
        <v>0</v>
      </c>
      <c r="S257" s="45">
        <f>IF(OR(ISERROR($N257),$N257="",$N257="NA"),0,L257*$N257)*(1+INDEX('For Finance Control'!$B$27:$E$29,2,MATCH('Project information'!$A$4,'For Finance Control'!$B$27:$E$27,0)))</f>
        <v>0</v>
      </c>
      <c r="T257" s="45">
        <f t="shared" si="248"/>
        <v>0</v>
      </c>
      <c r="U257" s="33" cm="1">
        <f t="array" ref="U257">IF($N257="NA","NA",$N257*INDEX('Exchange rate'!$A$1:$G$7,MATCH('Project information'!$A$13,'Exchange rate'!$A$1:$A$7,0),MATCH(LOOKUP(2,1/({"China";"Korea";"India";"Japan";"EUR";"NAO"}=$E257),{"CNY";"KRW";"INR";"JPY";"EUR";"USD"}),'Exchange rate'!$A$1:$G$1,0)))</f>
        <v>317250</v>
      </c>
      <c r="V257" s="33">
        <f t="shared" si="249"/>
        <v>0</v>
      </c>
      <c r="W257" s="33">
        <f t="shared" si="250"/>
        <v>0</v>
      </c>
      <c r="X257" s="33">
        <f t="shared" si="251"/>
        <v>0</v>
      </c>
      <c r="Y257" s="33">
        <f t="shared" si="252"/>
        <v>0</v>
      </c>
      <c r="Z257" s="33">
        <f t="shared" si="253"/>
        <v>0</v>
      </c>
      <c r="AA257" s="33">
        <f t="shared" si="255"/>
        <v>0</v>
      </c>
      <c r="AB257" s="246"/>
      <c r="AC257" s="247"/>
      <c r="AZ257" s="148" t="str">
        <f t="shared" si="256"/>
        <v>5.135</v>
      </c>
      <c r="BA257" s="149" t="s">
        <v>367</v>
      </c>
    </row>
    <row r="258" spans="1:53" ht="25" outlineLevel="1">
      <c r="A258" s="148" t="str">
        <f t="shared" si="254"/>
        <v>5.136</v>
      </c>
      <c r="B258" s="148" t="str">
        <f>INDEX('Standard cost - Testing'!$A$1:$N$497,MATCH(RIGHT($C258,4),'Standard cost - Testing'!$A$1:$A$497,0),3)</f>
        <v>LVE</v>
      </c>
      <c r="C258" s="149" t="str">
        <f>'Standard cost - Testing'!B137&amp;" - "&amp;'Standard cost - Testing'!A137</f>
        <v>H.V - H004</v>
      </c>
      <c r="D258" s="150" t="str">
        <f>IF(RIGHT(INDEX('Standard cost - Testing'!$A$1:$N$497,MATCH(RIGHT($C258,4),'Standard cost - Testing'!$A$1:$A$497,0),4),1)="]",INDEX('Standard cost - Testing'!$A$1:$N$497,MATCH(RIGHT($C258,4),'Standard cost - Testing'!$A$1:$A$497,0),4),IF(INDEX('Standard cost - Testing'!$A$1:$N$497,MATCH(RIGHT($C258,4),'Standard cost - Testing'!$A$1:$A$497,0),10)=1,INDEX('Standard cost - Testing'!$A$1:$N$497,MATCH(RIGHT($C258,4),'Standard cost - Testing'!$A$1:$A$497,0),4)&amp;" [1 part]",INDEX('Standard cost - Testing'!$A$1:$N$497,MATCH(RIGHT($C258,4),'Standard cost - Testing'!$A$1:$A$497,0),4)&amp;" ["&amp;INDEX('Standard cost - Testing'!$A$1:$N$497,MATCH(RIGHT($C258,4),'Standard cost - Testing'!$A$1:$A$497,0),10)&amp;" parts]"))</f>
        <v>Catalytic Converter / DPF hot vibration test - combined steps [6 parts]</v>
      </c>
      <c r="E258" s="51" t="str">
        <f>IF('Project information'!$A$4="","",'Project information'!$A$4)</f>
        <v>China</v>
      </c>
      <c r="F258" s="149" t="str">
        <f>INDEX('Standard cost - Testing'!$A$1:$N$497,MATCH(RIGHT($C258,4),'Standard cost - Testing'!$A$1:$A$497,0),5)</f>
        <v>Audi</v>
      </c>
      <c r="G258" s="149" t="str">
        <f>IF($E258='Standard cost - Testing'!$F$1,INDEX('Standard cost - Testing'!$A$1:$N$497,MATCH(RIGHT($C258,4),'Standard cost - Testing'!$A$1:$A$497,0),6),INDEX('Standard cost - Testing'!$A$1:$N$497,MATCH(RIGHT($C258,4),'Standard cost - Testing'!$A$1:$A$497,0),7))</f>
        <v>EP18310.55 4.3.3.4</v>
      </c>
      <c r="H258" s="46"/>
      <c r="I258" s="46"/>
      <c r="J258" s="46"/>
      <c r="K258" s="46"/>
      <c r="L258" s="46"/>
      <c r="M258" s="33">
        <f t="shared" si="247"/>
        <v>0</v>
      </c>
      <c r="N258" s="157">
        <f>IF(E258="","",IF(ISERROR(INDEX('Standard cost - Testing'!$A$1:$N$497,MATCH(RIGHT($C258,4),'Standard cost - Testing'!$A$1:$A$497,0),MATCH($E258,'Standard cost - Testing'!$K$1:$N$1,0)+10)),"NA",INDEX('Standard cost - Testing'!$A$1:$N$497,MATCH(RIGHT($C258,4),'Standard cost - Testing'!$A$1:$A$497,0),MATCH($E258,'Standard cost - Testing'!$K$1:$N$1,0)+10)))</f>
        <v>241536</v>
      </c>
      <c r="O258" s="45">
        <f>IF(OR(ISERROR($N258),$N258="",$N258="NA"),0,H258*$N258)*(1+INDEX('For Finance Control'!$B$27:$E$29,2,MATCH('Project information'!$A$4,'For Finance Control'!$B$27:$E$27,0)))</f>
        <v>0</v>
      </c>
      <c r="P258" s="45">
        <f>IF(OR(ISERROR($N258),$N258="",$N258="NA"),0,I258*$N258)*(1+INDEX('For Finance Control'!$B$27:$E$29,2,MATCH('Project information'!$A$4,'For Finance Control'!$B$27:$E$27,0)))</f>
        <v>0</v>
      </c>
      <c r="Q258" s="45">
        <f>IF(OR(ISERROR($N258),$N258="",$N258="NA"),0,J258*$N258)*(1+INDEX('For Finance Control'!$B$27:$E$29,2,MATCH('Project information'!$A$4,'For Finance Control'!$B$27:$E$27,0)))</f>
        <v>0</v>
      </c>
      <c r="R258" s="45">
        <f>IF(OR(ISERROR($N258),$N258="",$N258="NA"),0,K258*$N258)*(1+INDEX('For Finance Control'!$B$27:$E$29,2,MATCH('Project information'!$A$4,'For Finance Control'!$B$27:$E$27,0)))</f>
        <v>0</v>
      </c>
      <c r="S258" s="45">
        <f>IF(OR(ISERROR($N258),$N258="",$N258="NA"),0,L258*$N258)*(1+INDEX('For Finance Control'!$B$27:$E$29,2,MATCH('Project information'!$A$4,'For Finance Control'!$B$27:$E$27,0)))</f>
        <v>0</v>
      </c>
      <c r="T258" s="45">
        <f t="shared" si="248"/>
        <v>0</v>
      </c>
      <c r="U258" s="33" cm="1">
        <f t="array" ref="U258">IF($N258="NA","NA",$N258*INDEX('Exchange rate'!$A$1:$G$7,MATCH('Project information'!$A$13,'Exchange rate'!$A$1:$A$7,0),MATCH(LOOKUP(2,1/({"China";"Korea";"India";"Japan";"EUR";"NAO"}=$E258),{"CNY";"KRW";"INR";"JPY";"EUR";"USD"}),'Exchange rate'!$A$1:$G$1,0)))</f>
        <v>241536</v>
      </c>
      <c r="V258" s="33">
        <f t="shared" si="249"/>
        <v>0</v>
      </c>
      <c r="W258" s="33">
        <f t="shared" si="250"/>
        <v>0</v>
      </c>
      <c r="X258" s="33">
        <f t="shared" si="251"/>
        <v>0</v>
      </c>
      <c r="Y258" s="33">
        <f t="shared" si="252"/>
        <v>0</v>
      </c>
      <c r="Z258" s="33">
        <f t="shared" si="253"/>
        <v>0</v>
      </c>
      <c r="AA258" s="33">
        <f t="shared" si="255"/>
        <v>0</v>
      </c>
      <c r="AB258" s="246"/>
      <c r="AC258" s="247"/>
      <c r="AZ258" s="148" t="str">
        <f t="shared" si="256"/>
        <v>5.136</v>
      </c>
      <c r="BA258" s="149" t="s">
        <v>368</v>
      </c>
    </row>
    <row r="259" spans="1:53" ht="25" outlineLevel="1">
      <c r="A259" s="148" t="str">
        <f t="shared" si="254"/>
        <v>5.137</v>
      </c>
      <c r="B259" s="148" t="str">
        <f>INDEX('Standard cost - Testing'!$A$1:$N$497,MATCH(RIGHT($C259,4),'Standard cost - Testing'!$A$1:$A$497,0),3)</f>
        <v>LVE</v>
      </c>
      <c r="C259" s="149" t="str">
        <f>'Standard cost - Testing'!B138&amp;" - "&amp;'Standard cost - Testing'!A138</f>
        <v>H.V - H005</v>
      </c>
      <c r="D259" s="150" t="str">
        <f>IF(RIGHT(INDEX('Standard cost - Testing'!$A$1:$N$497,MATCH(RIGHT($C259,4),'Standard cost - Testing'!$A$1:$A$497,0),4),1)="]",INDEX('Standard cost - Testing'!$A$1:$N$497,MATCH(RIGHT($C259,4),'Standard cost - Testing'!$A$1:$A$497,0),4),IF(INDEX('Standard cost - Testing'!$A$1:$N$497,MATCH(RIGHT($C259,4),'Standard cost - Testing'!$A$1:$A$497,0),10)=1,INDEX('Standard cost - Testing'!$A$1:$N$497,MATCH(RIGHT($C259,4),'Standard cost - Testing'!$A$1:$A$497,0),4)&amp;" [1 part]",INDEX('Standard cost - Testing'!$A$1:$N$497,MATCH(RIGHT($C259,4),'Standard cost - Testing'!$A$1:$A$497,0),4)&amp;" ["&amp;INDEX('Standard cost - Testing'!$A$1:$N$497,MATCH(RIGHT($C259,4),'Standard cost - Testing'!$A$1:$A$497,0),10)&amp;" parts]"))</f>
        <v>Catalytic Converter / DPF hot vibration test - hot shake Only [6 parts]</v>
      </c>
      <c r="E259" s="51" t="str">
        <f>IF('Project information'!$A$4="","",'Project information'!$A$4)</f>
        <v>China</v>
      </c>
      <c r="F259" s="149" t="str">
        <f>INDEX('Standard cost - Testing'!$A$1:$N$497,MATCH(RIGHT($C259,4),'Standard cost - Testing'!$A$1:$A$497,0),5)</f>
        <v>Audi</v>
      </c>
      <c r="G259" s="149" t="str">
        <f>IF($E259='Standard cost - Testing'!$F$1,INDEX('Standard cost - Testing'!$A$1:$N$497,MATCH(RIGHT($C259,4),'Standard cost - Testing'!$A$1:$A$497,0),6),INDEX('Standard cost - Testing'!$A$1:$N$497,MATCH(RIGHT($C259,4),'Standard cost - Testing'!$A$1:$A$497,0),7))</f>
        <v>EP18310.55 4.3.3.2</v>
      </c>
      <c r="H259" s="46"/>
      <c r="I259" s="46"/>
      <c r="J259" s="46"/>
      <c r="K259" s="46"/>
      <c r="L259" s="46"/>
      <c r="M259" s="33">
        <f t="shared" si="247"/>
        <v>0</v>
      </c>
      <c r="N259" s="157">
        <f>IF(E259="","",IF(ISERROR(INDEX('Standard cost - Testing'!$A$1:$N$497,MATCH(RIGHT($C259,4),'Standard cost - Testing'!$A$1:$A$497,0),MATCH($E259,'Standard cost - Testing'!$K$1:$N$1,0)+10)),"NA",INDEX('Standard cost - Testing'!$A$1:$N$497,MATCH(RIGHT($C259,4),'Standard cost - Testing'!$A$1:$A$497,0),MATCH($E259,'Standard cost - Testing'!$K$1:$N$1,0)+10)))</f>
        <v>181848</v>
      </c>
      <c r="O259" s="45">
        <f>IF(OR(ISERROR($N259),$N259="",$N259="NA"),0,H259*$N259)*(1+INDEX('For Finance Control'!$B$27:$E$29,2,MATCH('Project information'!$A$4,'For Finance Control'!$B$27:$E$27,0)))</f>
        <v>0</v>
      </c>
      <c r="P259" s="45">
        <f>IF(OR(ISERROR($N259),$N259="",$N259="NA"),0,I259*$N259)*(1+INDEX('For Finance Control'!$B$27:$E$29,2,MATCH('Project information'!$A$4,'For Finance Control'!$B$27:$E$27,0)))</f>
        <v>0</v>
      </c>
      <c r="Q259" s="45">
        <f>IF(OR(ISERROR($N259),$N259="",$N259="NA"),0,J259*$N259)*(1+INDEX('For Finance Control'!$B$27:$E$29,2,MATCH('Project information'!$A$4,'For Finance Control'!$B$27:$E$27,0)))</f>
        <v>0</v>
      </c>
      <c r="R259" s="45">
        <f>IF(OR(ISERROR($N259),$N259="",$N259="NA"),0,K259*$N259)*(1+INDEX('For Finance Control'!$B$27:$E$29,2,MATCH('Project information'!$A$4,'For Finance Control'!$B$27:$E$27,0)))</f>
        <v>0</v>
      </c>
      <c r="S259" s="45">
        <f>IF(OR(ISERROR($N259),$N259="",$N259="NA"),0,L259*$N259)*(1+INDEX('For Finance Control'!$B$27:$E$29,2,MATCH('Project information'!$A$4,'For Finance Control'!$B$27:$E$27,0)))</f>
        <v>0</v>
      </c>
      <c r="T259" s="45">
        <f t="shared" si="248"/>
        <v>0</v>
      </c>
      <c r="U259" s="33" cm="1">
        <f t="array" ref="U259">IF($N259="NA","NA",$N259*INDEX('Exchange rate'!$A$1:$G$7,MATCH('Project information'!$A$13,'Exchange rate'!$A$1:$A$7,0),MATCH(LOOKUP(2,1/({"China";"Korea";"India";"Japan";"EUR";"NAO"}=$E259),{"CNY";"KRW";"INR";"JPY";"EUR";"USD"}),'Exchange rate'!$A$1:$G$1,0)))</f>
        <v>181848</v>
      </c>
      <c r="V259" s="33">
        <f t="shared" si="249"/>
        <v>0</v>
      </c>
      <c r="W259" s="33">
        <f t="shared" si="250"/>
        <v>0</v>
      </c>
      <c r="X259" s="33">
        <f t="shared" si="251"/>
        <v>0</v>
      </c>
      <c r="Y259" s="33">
        <f t="shared" si="252"/>
        <v>0</v>
      </c>
      <c r="Z259" s="33">
        <f t="shared" si="253"/>
        <v>0</v>
      </c>
      <c r="AA259" s="33">
        <f t="shared" si="255"/>
        <v>0</v>
      </c>
      <c r="AB259" s="246"/>
      <c r="AC259" s="247"/>
      <c r="AZ259" s="148" t="str">
        <f t="shared" si="256"/>
        <v>5.137</v>
      </c>
      <c r="BA259" s="149" t="s">
        <v>369</v>
      </c>
    </row>
    <row r="260" spans="1:53" ht="25" outlineLevel="1">
      <c r="A260" s="148" t="str">
        <f t="shared" si="254"/>
        <v>5.138</v>
      </c>
      <c r="B260" s="148" t="str">
        <f>INDEX('Standard cost - Testing'!$A$1:$N$497,MATCH(RIGHT($C260,4),'Standard cost - Testing'!$A$1:$A$497,0),3)</f>
        <v>LVE</v>
      </c>
      <c r="C260" s="149" t="str">
        <f>'Standard cost - Testing'!B139&amp;" - "&amp;'Standard cost - Testing'!A139</f>
        <v>H.V - H006</v>
      </c>
      <c r="D260" s="150" t="str">
        <f>IF(RIGHT(INDEX('Standard cost - Testing'!$A$1:$N$497,MATCH(RIGHT($C260,4),'Standard cost - Testing'!$A$1:$A$497,0),4),1)="]",INDEX('Standard cost - Testing'!$A$1:$N$497,MATCH(RIGHT($C260,4),'Standard cost - Testing'!$A$1:$A$497,0),4),IF(INDEX('Standard cost - Testing'!$A$1:$N$497,MATCH(RIGHT($C260,4),'Standard cost - Testing'!$A$1:$A$497,0),10)=1,INDEX('Standard cost - Testing'!$A$1:$N$497,MATCH(RIGHT($C260,4),'Standard cost - Testing'!$A$1:$A$497,0),4)&amp;" [1 part]",INDEX('Standard cost - Testing'!$A$1:$N$497,MATCH(RIGHT($C260,4),'Standard cost - Testing'!$A$1:$A$497,0),4)&amp;" ["&amp;INDEX('Standard cost - Testing'!$A$1:$N$497,MATCH(RIGHT($C260,4),'Standard cost - Testing'!$A$1:$A$497,0),10)&amp;" parts]"))</f>
        <v>Catalytic Converter / DPF hot vibration test - standard steps [6 parts]</v>
      </c>
      <c r="E260" s="51" t="str">
        <f>IF('Project information'!$A$4="","",'Project information'!$A$4)</f>
        <v>China</v>
      </c>
      <c r="F260" s="149" t="str">
        <f>INDEX('Standard cost - Testing'!$A$1:$N$497,MATCH(RIGHT($C260,4),'Standard cost - Testing'!$A$1:$A$497,0),5)</f>
        <v>VW</v>
      </c>
      <c r="G260" s="149" t="str">
        <f>IF($E260='Standard cost - Testing'!$F$1,INDEX('Standard cost - Testing'!$A$1:$N$497,MATCH(RIGHT($C260,4),'Standard cost - Testing'!$A$1:$A$497,0),6),INDEX('Standard cost - Testing'!$A$1:$N$497,MATCH(RIGHT($C260,4),'Standard cost - Testing'!$A$1:$A$497,0),7))</f>
        <v>EP18310.55</v>
      </c>
      <c r="H260" s="46"/>
      <c r="I260" s="46"/>
      <c r="J260" s="46"/>
      <c r="K260" s="46"/>
      <c r="L260" s="46"/>
      <c r="M260" s="33">
        <f t="shared" ref="M260" si="283">SUM(H260:L260)</f>
        <v>0</v>
      </c>
      <c r="N260" s="157">
        <f>IF(E260="","",IF(ISERROR(INDEX('Standard cost - Testing'!$A$1:$N$497,MATCH(RIGHT($C260,4),'Standard cost - Testing'!$A$1:$A$497,0),MATCH($E260,'Standard cost - Testing'!$K$1:$N$1,0)+10)),"NA",INDEX('Standard cost - Testing'!$A$1:$N$497,MATCH(RIGHT($C260,4),'Standard cost - Testing'!$A$1:$A$497,0),MATCH($E260,'Standard cost - Testing'!$K$1:$N$1,0)+10)))</f>
        <v>317250</v>
      </c>
      <c r="O260" s="45">
        <f>IF(OR(ISERROR($N260),$N260="",$N260="NA"),0,H260*$N260)*(1+INDEX('For Finance Control'!$B$27:$E$29,2,MATCH('Project information'!$A$4,'For Finance Control'!$B$27:$E$27,0)))</f>
        <v>0</v>
      </c>
      <c r="P260" s="45">
        <f>IF(OR(ISERROR($N260),$N260="",$N260="NA"),0,I260*$N260)*(1+INDEX('For Finance Control'!$B$27:$E$29,2,MATCH('Project information'!$A$4,'For Finance Control'!$B$27:$E$27,0)))</f>
        <v>0</v>
      </c>
      <c r="Q260" s="45">
        <f>IF(OR(ISERROR($N260),$N260="",$N260="NA"),0,J260*$N260)*(1+INDEX('For Finance Control'!$B$27:$E$29,2,MATCH('Project information'!$A$4,'For Finance Control'!$B$27:$E$27,0)))</f>
        <v>0</v>
      </c>
      <c r="R260" s="45">
        <f>IF(OR(ISERROR($N260),$N260="",$N260="NA"),0,K260*$N260)*(1+INDEX('For Finance Control'!$B$27:$E$29,2,MATCH('Project information'!$A$4,'For Finance Control'!$B$27:$E$27,0)))</f>
        <v>0</v>
      </c>
      <c r="S260" s="45">
        <f>IF(OR(ISERROR($N260),$N260="",$N260="NA"),0,L260*$N260)*(1+INDEX('For Finance Control'!$B$27:$E$29,2,MATCH('Project information'!$A$4,'For Finance Control'!$B$27:$E$27,0)))</f>
        <v>0</v>
      </c>
      <c r="T260" s="45">
        <f t="shared" ref="T260" si="284">SUM(O260:S260)</f>
        <v>0</v>
      </c>
      <c r="U260" s="33" cm="1">
        <f t="array" ref="U260">IF($N260="NA","NA",$N260*INDEX('Exchange rate'!$A$1:$G$7,MATCH('Project information'!$A$13,'Exchange rate'!$A$1:$A$7,0),MATCH(LOOKUP(2,1/({"China";"Korea";"India";"Japan";"EUR";"NAO"}=$E260),{"CNY";"KRW";"INR";"JPY";"EUR";"USD"}),'Exchange rate'!$A$1:$G$1,0)))</f>
        <v>317250</v>
      </c>
      <c r="V260" s="33">
        <f t="shared" ref="V260" si="285">IF(OR(ISERROR($U260),$U260="",$U260="NA"),0,H260*$U260)</f>
        <v>0</v>
      </c>
      <c r="W260" s="33">
        <f t="shared" ref="W260" si="286">IF(OR(ISERROR($U260),$U260="",$U260="NA"),0,I260*$U260)</f>
        <v>0</v>
      </c>
      <c r="X260" s="33">
        <f t="shared" ref="X260" si="287">IF(OR(ISERROR($U260),$U260="",$U260="NA"),0,J260*$U260)</f>
        <v>0</v>
      </c>
      <c r="Y260" s="33">
        <f t="shared" ref="Y260" si="288">IF(OR(ISERROR($U260),$U260="",$U260="NA"),0,K260*$U260)</f>
        <v>0</v>
      </c>
      <c r="Z260" s="33">
        <f t="shared" ref="Z260" si="289">IF(OR(ISERROR($U260),$U260="",$U260="NA"),0,L260*$U260)</f>
        <v>0</v>
      </c>
      <c r="AA260" s="33">
        <f t="shared" ref="AA260" si="290">SUM(V260:Z260)</f>
        <v>0</v>
      </c>
      <c r="AB260" s="246"/>
      <c r="AC260" s="247"/>
      <c r="AZ260" s="148" t="str">
        <f t="shared" si="256"/>
        <v>5.138</v>
      </c>
      <c r="BA260" s="149" t="s">
        <v>367</v>
      </c>
    </row>
    <row r="261" spans="1:53" ht="25" outlineLevel="1">
      <c r="A261" s="148" t="str">
        <f t="shared" si="254"/>
        <v>5.139</v>
      </c>
      <c r="B261" s="148" t="str">
        <f>INDEX('Standard cost - Testing'!$A$1:$N$497,MATCH(RIGHT($C261,4),'Standard cost - Testing'!$A$1:$A$497,0),3)</f>
        <v>LVE</v>
      </c>
      <c r="C261" s="149" t="str">
        <f>'Standard cost - Testing'!B140&amp;" - "&amp;'Standard cost - Testing'!A140</f>
        <v>H.V - H007</v>
      </c>
      <c r="D261" s="150" t="str">
        <f>IF(RIGHT(INDEX('Standard cost - Testing'!$A$1:$N$497,MATCH(RIGHT($C261,4),'Standard cost - Testing'!$A$1:$A$497,0),4),1)="]",INDEX('Standard cost - Testing'!$A$1:$N$497,MATCH(RIGHT($C261,4),'Standard cost - Testing'!$A$1:$A$497,0),4),IF(INDEX('Standard cost - Testing'!$A$1:$N$497,MATCH(RIGHT($C261,4),'Standard cost - Testing'!$A$1:$A$497,0),10)=1,INDEX('Standard cost - Testing'!$A$1:$N$497,MATCH(RIGHT($C261,4),'Standard cost - Testing'!$A$1:$A$497,0),4)&amp;" [1 part]",INDEX('Standard cost - Testing'!$A$1:$N$497,MATCH(RIGHT($C261,4),'Standard cost - Testing'!$A$1:$A$497,0),4)&amp;" ["&amp;INDEX('Standard cost - Testing'!$A$1:$N$497,MATCH(RIGHT($C261,4),'Standard cost - Testing'!$A$1:$A$497,0),10)&amp;" parts]"))</f>
        <v>Catalytic Converter / DPF hot vibration test - combined steps [6 parts]</v>
      </c>
      <c r="E261" s="51" t="str">
        <f>IF('Project information'!$A$4="","",'Project information'!$A$4)</f>
        <v>China</v>
      </c>
      <c r="F261" s="149" t="str">
        <f>INDEX('Standard cost - Testing'!$A$1:$N$497,MATCH(RIGHT($C261,4),'Standard cost - Testing'!$A$1:$A$497,0),5)</f>
        <v>VW</v>
      </c>
      <c r="G261" s="149" t="str">
        <f>IF($E261='Standard cost - Testing'!$F$1,INDEX('Standard cost - Testing'!$A$1:$N$497,MATCH(RIGHT($C261,4),'Standard cost - Testing'!$A$1:$A$497,0),6),INDEX('Standard cost - Testing'!$A$1:$N$497,MATCH(RIGHT($C261,4),'Standard cost - Testing'!$A$1:$A$497,0),7))</f>
        <v>EP18310.55 4.3.3.4</v>
      </c>
      <c r="H261" s="46"/>
      <c r="I261" s="46"/>
      <c r="J261" s="46"/>
      <c r="K261" s="46"/>
      <c r="L261" s="46"/>
      <c r="M261" s="33">
        <f t="shared" si="247"/>
        <v>0</v>
      </c>
      <c r="N261" s="157">
        <f>IF(E261="","",IF(ISERROR(INDEX('Standard cost - Testing'!$A$1:$N$497,MATCH(RIGHT($C261,4),'Standard cost - Testing'!$A$1:$A$497,0),MATCH($E261,'Standard cost - Testing'!$K$1:$N$1,0)+10)),"NA",INDEX('Standard cost - Testing'!$A$1:$N$497,MATCH(RIGHT($C261,4),'Standard cost - Testing'!$A$1:$A$497,0),MATCH($E261,'Standard cost - Testing'!$K$1:$N$1,0)+10)))</f>
        <v>241536</v>
      </c>
      <c r="O261" s="45">
        <f>IF(OR(ISERROR($N261),$N261="",$N261="NA"),0,H261*$N261)*(1+INDEX('For Finance Control'!$B$27:$E$29,2,MATCH('Project information'!$A$4,'For Finance Control'!$B$27:$E$27,0)))</f>
        <v>0</v>
      </c>
      <c r="P261" s="45">
        <f>IF(OR(ISERROR($N261),$N261="",$N261="NA"),0,I261*$N261)*(1+INDEX('For Finance Control'!$B$27:$E$29,2,MATCH('Project information'!$A$4,'For Finance Control'!$B$27:$E$27,0)))</f>
        <v>0</v>
      </c>
      <c r="Q261" s="45">
        <f>IF(OR(ISERROR($N261),$N261="",$N261="NA"),0,J261*$N261)*(1+INDEX('For Finance Control'!$B$27:$E$29,2,MATCH('Project information'!$A$4,'For Finance Control'!$B$27:$E$27,0)))</f>
        <v>0</v>
      </c>
      <c r="R261" s="45">
        <f>IF(OR(ISERROR($N261),$N261="",$N261="NA"),0,K261*$N261)*(1+INDEX('For Finance Control'!$B$27:$E$29,2,MATCH('Project information'!$A$4,'For Finance Control'!$B$27:$E$27,0)))</f>
        <v>0</v>
      </c>
      <c r="S261" s="45">
        <f>IF(OR(ISERROR($N261),$N261="",$N261="NA"),0,L261*$N261)*(1+INDEX('For Finance Control'!$B$27:$E$29,2,MATCH('Project information'!$A$4,'For Finance Control'!$B$27:$E$27,0)))</f>
        <v>0</v>
      </c>
      <c r="T261" s="45">
        <f t="shared" si="248"/>
        <v>0</v>
      </c>
      <c r="U261" s="33" cm="1">
        <f t="array" ref="U261">IF($N261="NA","NA",$N261*INDEX('Exchange rate'!$A$1:$G$7,MATCH('Project information'!$A$13,'Exchange rate'!$A$1:$A$7,0),MATCH(LOOKUP(2,1/({"China";"Korea";"India";"Japan";"EUR";"NAO"}=$E261),{"CNY";"KRW";"INR";"JPY";"EUR";"USD"}),'Exchange rate'!$A$1:$G$1,0)))</f>
        <v>241536</v>
      </c>
      <c r="V261" s="33">
        <f t="shared" si="249"/>
        <v>0</v>
      </c>
      <c r="W261" s="33">
        <f t="shared" si="250"/>
        <v>0</v>
      </c>
      <c r="X261" s="33">
        <f t="shared" si="251"/>
        <v>0</v>
      </c>
      <c r="Y261" s="33">
        <f t="shared" si="252"/>
        <v>0</v>
      </c>
      <c r="Z261" s="33">
        <f t="shared" si="253"/>
        <v>0</v>
      </c>
      <c r="AA261" s="33">
        <f t="shared" si="255"/>
        <v>0</v>
      </c>
      <c r="AB261" s="246"/>
      <c r="AC261" s="247"/>
      <c r="AZ261" s="148" t="str">
        <f t="shared" si="256"/>
        <v>5.139</v>
      </c>
      <c r="BA261" s="149" t="s">
        <v>368</v>
      </c>
    </row>
    <row r="262" spans="1:53" ht="25" outlineLevel="1">
      <c r="A262" s="148" t="str">
        <f t="shared" si="254"/>
        <v>5.140</v>
      </c>
      <c r="B262" s="148" t="str">
        <f>INDEX('Standard cost - Testing'!$A$1:$N$497,MATCH(RIGHT($C262,4),'Standard cost - Testing'!$A$1:$A$497,0),3)</f>
        <v>LVE</v>
      </c>
      <c r="C262" s="149" t="str">
        <f>'Standard cost - Testing'!B141&amp;" - "&amp;'Standard cost - Testing'!A141</f>
        <v>H.V - H008</v>
      </c>
      <c r="D262" s="150" t="str">
        <f>IF(RIGHT(INDEX('Standard cost - Testing'!$A$1:$N$497,MATCH(RIGHT($C262,4),'Standard cost - Testing'!$A$1:$A$497,0),4),1)="]",INDEX('Standard cost - Testing'!$A$1:$N$497,MATCH(RIGHT($C262,4),'Standard cost - Testing'!$A$1:$A$497,0),4),IF(INDEX('Standard cost - Testing'!$A$1:$N$497,MATCH(RIGHT($C262,4),'Standard cost - Testing'!$A$1:$A$497,0),10)=1,INDEX('Standard cost - Testing'!$A$1:$N$497,MATCH(RIGHT($C262,4),'Standard cost - Testing'!$A$1:$A$497,0),4)&amp;" [1 part]",INDEX('Standard cost - Testing'!$A$1:$N$497,MATCH(RIGHT($C262,4),'Standard cost - Testing'!$A$1:$A$497,0),4)&amp;" ["&amp;INDEX('Standard cost - Testing'!$A$1:$N$497,MATCH(RIGHT($C262,4),'Standard cost - Testing'!$A$1:$A$497,0),10)&amp;" parts]"))</f>
        <v>Catalytic Converter / DPF hot vibration test - hot shake Only [6 parts]</v>
      </c>
      <c r="E262" s="51" t="str">
        <f>IF('Project information'!$A$4="","",'Project information'!$A$4)</f>
        <v>China</v>
      </c>
      <c r="F262" s="149" t="str">
        <f>INDEX('Standard cost - Testing'!$A$1:$N$497,MATCH(RIGHT($C262,4),'Standard cost - Testing'!$A$1:$A$497,0),5)</f>
        <v>VW</v>
      </c>
      <c r="G262" s="149" t="str">
        <f>IF($E262='Standard cost - Testing'!$F$1,INDEX('Standard cost - Testing'!$A$1:$N$497,MATCH(RIGHT($C262,4),'Standard cost - Testing'!$A$1:$A$497,0),6),INDEX('Standard cost - Testing'!$A$1:$N$497,MATCH(RIGHT($C262,4),'Standard cost - Testing'!$A$1:$A$497,0),7))</f>
        <v>EP18310.55 4.3.3.2</v>
      </c>
      <c r="H262" s="46"/>
      <c r="I262" s="46"/>
      <c r="J262" s="46"/>
      <c r="K262" s="46"/>
      <c r="L262" s="46"/>
      <c r="M262" s="33">
        <f t="shared" si="247"/>
        <v>0</v>
      </c>
      <c r="N262" s="157">
        <f>IF(E262="","",IF(ISERROR(INDEX('Standard cost - Testing'!$A$1:$N$497,MATCH(RIGHT($C262,4),'Standard cost - Testing'!$A$1:$A$497,0),MATCH($E262,'Standard cost - Testing'!$K$1:$N$1,0)+10)),"NA",INDEX('Standard cost - Testing'!$A$1:$N$497,MATCH(RIGHT($C262,4),'Standard cost - Testing'!$A$1:$A$497,0),MATCH($E262,'Standard cost - Testing'!$K$1:$N$1,0)+10)))</f>
        <v>181848</v>
      </c>
      <c r="O262" s="45">
        <f>IF(OR(ISERROR($N262),$N262="",$N262="NA"),0,H262*$N262)*(1+INDEX('For Finance Control'!$B$27:$E$29,2,MATCH('Project information'!$A$4,'For Finance Control'!$B$27:$E$27,0)))</f>
        <v>0</v>
      </c>
      <c r="P262" s="45">
        <f>IF(OR(ISERROR($N262),$N262="",$N262="NA"),0,I262*$N262)*(1+INDEX('For Finance Control'!$B$27:$E$29,2,MATCH('Project information'!$A$4,'For Finance Control'!$B$27:$E$27,0)))</f>
        <v>0</v>
      </c>
      <c r="Q262" s="45">
        <f>IF(OR(ISERROR($N262),$N262="",$N262="NA"),0,J262*$N262)*(1+INDEX('For Finance Control'!$B$27:$E$29,2,MATCH('Project information'!$A$4,'For Finance Control'!$B$27:$E$27,0)))</f>
        <v>0</v>
      </c>
      <c r="R262" s="45">
        <f>IF(OR(ISERROR($N262),$N262="",$N262="NA"),0,K262*$N262)*(1+INDEX('For Finance Control'!$B$27:$E$29,2,MATCH('Project information'!$A$4,'For Finance Control'!$B$27:$E$27,0)))</f>
        <v>0</v>
      </c>
      <c r="S262" s="45">
        <f>IF(OR(ISERROR($N262),$N262="",$N262="NA"),0,L262*$N262)*(1+INDEX('For Finance Control'!$B$27:$E$29,2,MATCH('Project information'!$A$4,'For Finance Control'!$B$27:$E$27,0)))</f>
        <v>0</v>
      </c>
      <c r="T262" s="45">
        <f t="shared" si="248"/>
        <v>0</v>
      </c>
      <c r="U262" s="33" cm="1">
        <f t="array" ref="U262">IF($N262="NA","NA",$N262*INDEX('Exchange rate'!$A$1:$G$7,MATCH('Project information'!$A$13,'Exchange rate'!$A$1:$A$7,0),MATCH(LOOKUP(2,1/({"China";"Korea";"India";"Japan";"EUR";"NAO"}=$E262),{"CNY";"KRW";"INR";"JPY";"EUR";"USD"}),'Exchange rate'!$A$1:$G$1,0)))</f>
        <v>181848</v>
      </c>
      <c r="V262" s="33">
        <f t="shared" si="249"/>
        <v>0</v>
      </c>
      <c r="W262" s="33">
        <f t="shared" si="250"/>
        <v>0</v>
      </c>
      <c r="X262" s="33">
        <f t="shared" si="251"/>
        <v>0</v>
      </c>
      <c r="Y262" s="33">
        <f t="shared" si="252"/>
        <v>0</v>
      </c>
      <c r="Z262" s="33">
        <f t="shared" si="253"/>
        <v>0</v>
      </c>
      <c r="AA262" s="33">
        <f t="shared" si="255"/>
        <v>0</v>
      </c>
      <c r="AB262" s="246"/>
      <c r="AC262" s="247"/>
      <c r="AZ262" s="148" t="str">
        <f t="shared" si="256"/>
        <v>5.140</v>
      </c>
      <c r="BA262" s="149" t="s">
        <v>369</v>
      </c>
    </row>
    <row r="263" spans="1:53" ht="25" outlineLevel="1">
      <c r="A263" s="148" t="str">
        <f t="shared" si="254"/>
        <v>5.141</v>
      </c>
      <c r="B263" s="148" t="str">
        <f>INDEX('Standard cost - Testing'!$A$1:$N$497,MATCH(RIGHT($C263,4),'Standard cost - Testing'!$A$1:$A$497,0),3)</f>
        <v>LVE</v>
      </c>
      <c r="C263" s="149" t="str">
        <f>'Standard cost - Testing'!B142&amp;" - "&amp;'Standard cost - Testing'!A142</f>
        <v>H.V - H009</v>
      </c>
      <c r="D263" s="150" t="str">
        <f>IF(RIGHT(INDEX('Standard cost - Testing'!$A$1:$N$497,MATCH(RIGHT($C263,4),'Standard cost - Testing'!$A$1:$A$497,0),4),1)="]",INDEX('Standard cost - Testing'!$A$1:$N$497,MATCH(RIGHT($C263,4),'Standard cost - Testing'!$A$1:$A$497,0),4),IF(INDEX('Standard cost - Testing'!$A$1:$N$497,MATCH(RIGHT($C263,4),'Standard cost - Testing'!$A$1:$A$497,0),10)=1,INDEX('Standard cost - Testing'!$A$1:$N$497,MATCH(RIGHT($C263,4),'Standard cost - Testing'!$A$1:$A$497,0),4)&amp;" [1 part]",INDEX('Standard cost - Testing'!$A$1:$N$497,MATCH(RIGHT($C263,4),'Standard cost - Testing'!$A$1:$A$497,0),4)&amp;" ["&amp;INDEX('Standard cost - Testing'!$A$1:$N$497,MATCH(RIGHT($C263,4),'Standard cost - Testing'!$A$1:$A$497,0),10)&amp;" parts]"))</f>
        <v>Physical durability aging cycle - DV [2 parts]</v>
      </c>
      <c r="E263" s="51" t="str">
        <f>IF('Project information'!$A$4="","",'Project information'!$A$4)</f>
        <v>China</v>
      </c>
      <c r="F263" s="149" t="str">
        <f>INDEX('Standard cost - Testing'!$A$1:$N$497,MATCH(RIGHT($C263,4),'Standard cost - Testing'!$A$1:$A$497,0),5)</f>
        <v>GM</v>
      </c>
      <c r="G263" s="149" t="str">
        <f>IF($E263='Standard cost - Testing'!$F$1,INDEX('Standard cost - Testing'!$A$1:$N$497,MATCH(RIGHT($C263,4),'Standard cost - Testing'!$A$1:$A$497,0),6),INDEX('Standard cost - Testing'!$A$1:$N$497,MATCH(RIGHT($C263,4),'Standard cost - Testing'!$A$1:$A$497,0),7))</f>
        <v>PCA CTS Rev 16 4.4.2.1.1</v>
      </c>
      <c r="H263" s="46"/>
      <c r="I263" s="46"/>
      <c r="J263" s="46"/>
      <c r="K263" s="46"/>
      <c r="L263" s="46"/>
      <c r="M263" s="33">
        <f t="shared" si="247"/>
        <v>0</v>
      </c>
      <c r="N263" s="157">
        <f>IF(E263="","",IF(ISERROR(INDEX('Standard cost - Testing'!$A$1:$N$497,MATCH(RIGHT($C263,4),'Standard cost - Testing'!$A$1:$A$497,0),MATCH($E263,'Standard cost - Testing'!$K$1:$N$1,0)+10)),"NA",INDEX('Standard cost - Testing'!$A$1:$N$497,MATCH(RIGHT($C263,4),'Standard cost - Testing'!$A$1:$A$497,0),MATCH($E263,'Standard cost - Testing'!$K$1:$N$1,0)+10)))</f>
        <v>229620</v>
      </c>
      <c r="O263" s="45">
        <f>IF(OR(ISERROR($N263),$N263="",$N263="NA"),0,H263*$N263)*(1+INDEX('For Finance Control'!$B$27:$E$29,2,MATCH('Project information'!$A$4,'For Finance Control'!$B$27:$E$27,0)))</f>
        <v>0</v>
      </c>
      <c r="P263" s="45">
        <f>IF(OR(ISERROR($N263),$N263="",$N263="NA"),0,I263*$N263)*(1+INDEX('For Finance Control'!$B$27:$E$29,2,MATCH('Project information'!$A$4,'For Finance Control'!$B$27:$E$27,0)))</f>
        <v>0</v>
      </c>
      <c r="Q263" s="45">
        <f>IF(OR(ISERROR($N263),$N263="",$N263="NA"),0,J263*$N263)*(1+INDEX('For Finance Control'!$B$27:$E$29,2,MATCH('Project information'!$A$4,'For Finance Control'!$B$27:$E$27,0)))</f>
        <v>0</v>
      </c>
      <c r="R263" s="45">
        <f>IF(OR(ISERROR($N263),$N263="",$N263="NA"),0,K263*$N263)*(1+INDEX('For Finance Control'!$B$27:$E$29,2,MATCH('Project information'!$A$4,'For Finance Control'!$B$27:$E$27,0)))</f>
        <v>0</v>
      </c>
      <c r="S263" s="45">
        <f>IF(OR(ISERROR($N263),$N263="",$N263="NA"),0,L263*$N263)*(1+INDEX('For Finance Control'!$B$27:$E$29,2,MATCH('Project information'!$A$4,'For Finance Control'!$B$27:$E$27,0)))</f>
        <v>0</v>
      </c>
      <c r="T263" s="45">
        <f t="shared" si="248"/>
        <v>0</v>
      </c>
      <c r="U263" s="33" cm="1">
        <f t="array" ref="U263">IF($N263="NA","NA",$N263*INDEX('Exchange rate'!$A$1:$G$7,MATCH('Project information'!$A$13,'Exchange rate'!$A$1:$A$7,0),MATCH(LOOKUP(2,1/({"China";"Korea";"India";"Japan";"EUR";"NAO"}=$E263),{"CNY";"KRW";"INR";"JPY";"EUR";"USD"}),'Exchange rate'!$A$1:$G$1,0)))</f>
        <v>229620</v>
      </c>
      <c r="V263" s="33">
        <f t="shared" si="249"/>
        <v>0</v>
      </c>
      <c r="W263" s="33">
        <f t="shared" si="250"/>
        <v>0</v>
      </c>
      <c r="X263" s="33">
        <f t="shared" si="251"/>
        <v>0</v>
      </c>
      <c r="Y263" s="33">
        <f t="shared" si="252"/>
        <v>0</v>
      </c>
      <c r="Z263" s="33">
        <f t="shared" si="253"/>
        <v>0</v>
      </c>
      <c r="AA263" s="33">
        <f t="shared" si="255"/>
        <v>0</v>
      </c>
      <c r="AB263" s="246"/>
      <c r="AC263" s="247"/>
      <c r="AZ263" s="148" t="str">
        <f t="shared" si="256"/>
        <v>5.141</v>
      </c>
      <c r="BA263" s="149" t="s">
        <v>370</v>
      </c>
    </row>
    <row r="264" spans="1:53" ht="25" outlineLevel="1">
      <c r="A264" s="148" t="str">
        <f t="shared" si="254"/>
        <v>5.142</v>
      </c>
      <c r="B264" s="148" t="str">
        <f>INDEX('Standard cost - Testing'!$A$1:$N$497,MATCH(RIGHT($C264,4),'Standard cost - Testing'!$A$1:$A$497,0),3)</f>
        <v>LVE</v>
      </c>
      <c r="C264" s="149" t="str">
        <f>'Standard cost - Testing'!B143&amp;" - "&amp;'Standard cost - Testing'!A143</f>
        <v>H.V - H010</v>
      </c>
      <c r="D264" s="150" t="str">
        <f>IF(RIGHT(INDEX('Standard cost - Testing'!$A$1:$N$497,MATCH(RIGHT($C264,4),'Standard cost - Testing'!$A$1:$A$497,0),4),1)="]",INDEX('Standard cost - Testing'!$A$1:$N$497,MATCH(RIGHT($C264,4),'Standard cost - Testing'!$A$1:$A$497,0),4),IF(INDEX('Standard cost - Testing'!$A$1:$N$497,MATCH(RIGHT($C264,4),'Standard cost - Testing'!$A$1:$A$497,0),10)=1,INDEX('Standard cost - Testing'!$A$1:$N$497,MATCH(RIGHT($C264,4),'Standard cost - Testing'!$A$1:$A$497,0),4)&amp;" [1 part]",INDEX('Standard cost - Testing'!$A$1:$N$497,MATCH(RIGHT($C264,4),'Standard cost - Testing'!$A$1:$A$497,0),4)&amp;" ["&amp;INDEX('Standard cost - Testing'!$A$1:$N$497,MATCH(RIGHT($C264,4),'Standard cost - Testing'!$A$1:$A$497,0),10)&amp;" parts]"))</f>
        <v>Physical durability aging cycle - DV new [4 parts]</v>
      </c>
      <c r="E264" s="51" t="str">
        <f>IF('Project information'!$A$4="","",'Project information'!$A$4)</f>
        <v>China</v>
      </c>
      <c r="F264" s="149" t="str">
        <f>INDEX('Standard cost - Testing'!$A$1:$N$497,MATCH(RIGHT($C264,4),'Standard cost - Testing'!$A$1:$A$497,0),5)</f>
        <v>GM</v>
      </c>
      <c r="G264" s="149" t="str">
        <f>IF($E264='Standard cost - Testing'!$F$1,INDEX('Standard cost - Testing'!$A$1:$N$497,MATCH(RIGHT($C264,4),'Standard cost - Testing'!$A$1:$A$497,0),6),INDEX('Standard cost - Testing'!$A$1:$N$497,MATCH(RIGHT($C264,4),'Standard cost - Testing'!$A$1:$A$497,0),7))</f>
        <v>Converter Appendix C2 13Aug14 rev 1.0 3.2.2</v>
      </c>
      <c r="H264" s="46"/>
      <c r="I264" s="46"/>
      <c r="J264" s="46"/>
      <c r="K264" s="46"/>
      <c r="L264" s="46"/>
      <c r="M264" s="33">
        <f t="shared" si="247"/>
        <v>0</v>
      </c>
      <c r="N264" s="157">
        <f>IF(E264="","",IF(ISERROR(INDEX('Standard cost - Testing'!$A$1:$N$497,MATCH(RIGHT($C264,4),'Standard cost - Testing'!$A$1:$A$497,0),MATCH($E264,'Standard cost - Testing'!$K$1:$N$1,0)+10)),"NA",INDEX('Standard cost - Testing'!$A$1:$N$497,MATCH(RIGHT($C264,4),'Standard cost - Testing'!$A$1:$A$497,0),MATCH($E264,'Standard cost - Testing'!$K$1:$N$1,0)+10)))</f>
        <v>280277</v>
      </c>
      <c r="O264" s="45">
        <f>IF(OR(ISERROR($N264),$N264="",$N264="NA"),0,H264*$N264)*(1+INDEX('For Finance Control'!$B$27:$E$29,2,MATCH('Project information'!$A$4,'For Finance Control'!$B$27:$E$27,0)))</f>
        <v>0</v>
      </c>
      <c r="P264" s="45">
        <f>IF(OR(ISERROR($N264),$N264="",$N264="NA"),0,I264*$N264)*(1+INDEX('For Finance Control'!$B$27:$E$29,2,MATCH('Project information'!$A$4,'For Finance Control'!$B$27:$E$27,0)))</f>
        <v>0</v>
      </c>
      <c r="Q264" s="45">
        <f>IF(OR(ISERROR($N264),$N264="",$N264="NA"),0,J264*$N264)*(1+INDEX('For Finance Control'!$B$27:$E$29,2,MATCH('Project information'!$A$4,'For Finance Control'!$B$27:$E$27,0)))</f>
        <v>0</v>
      </c>
      <c r="R264" s="45">
        <f>IF(OR(ISERROR($N264),$N264="",$N264="NA"),0,K264*$N264)*(1+INDEX('For Finance Control'!$B$27:$E$29,2,MATCH('Project information'!$A$4,'For Finance Control'!$B$27:$E$27,0)))</f>
        <v>0</v>
      </c>
      <c r="S264" s="45">
        <f>IF(OR(ISERROR($N264),$N264="",$N264="NA"),0,L264*$N264)*(1+INDEX('For Finance Control'!$B$27:$E$29,2,MATCH('Project information'!$A$4,'For Finance Control'!$B$27:$E$27,0)))</f>
        <v>0</v>
      </c>
      <c r="T264" s="45">
        <f t="shared" si="248"/>
        <v>0</v>
      </c>
      <c r="U264" s="33" cm="1">
        <f t="array" ref="U264">IF($N264="NA","NA",$N264*INDEX('Exchange rate'!$A$1:$G$7,MATCH('Project information'!$A$13,'Exchange rate'!$A$1:$A$7,0),MATCH(LOOKUP(2,1/({"China";"Korea";"India";"Japan";"EUR";"NAO"}=$E264),{"CNY";"KRW";"INR";"JPY";"EUR";"USD"}),'Exchange rate'!$A$1:$G$1,0)))</f>
        <v>280277</v>
      </c>
      <c r="V264" s="33">
        <f t="shared" si="249"/>
        <v>0</v>
      </c>
      <c r="W264" s="33">
        <f t="shared" si="250"/>
        <v>0</v>
      </c>
      <c r="X264" s="33">
        <f t="shared" si="251"/>
        <v>0</v>
      </c>
      <c r="Y264" s="33">
        <f t="shared" si="252"/>
        <v>0</v>
      </c>
      <c r="Z264" s="33">
        <f t="shared" si="253"/>
        <v>0</v>
      </c>
      <c r="AA264" s="33">
        <f t="shared" si="255"/>
        <v>0</v>
      </c>
      <c r="AB264" s="246"/>
      <c r="AC264" s="247"/>
      <c r="AZ264" s="148" t="str">
        <f t="shared" si="256"/>
        <v>5.142</v>
      </c>
      <c r="BA264" s="149" t="s">
        <v>371</v>
      </c>
    </row>
    <row r="265" spans="1:53" ht="25" outlineLevel="1">
      <c r="A265" s="148" t="str">
        <f t="shared" si="254"/>
        <v>5.143</v>
      </c>
      <c r="B265" s="148" t="str">
        <f>INDEX('Standard cost - Testing'!$A$1:$N$497,MATCH(RIGHT($C265,4),'Standard cost - Testing'!$A$1:$A$497,0),3)</f>
        <v>LVE</v>
      </c>
      <c r="C265" s="149" t="str">
        <f>'Standard cost - Testing'!B144&amp;" - "&amp;'Standard cost - Testing'!A144</f>
        <v>H.V - H011</v>
      </c>
      <c r="D265" s="150" t="str">
        <f>IF(RIGHT(INDEX('Standard cost - Testing'!$A$1:$N$497,MATCH(RIGHT($C265,4),'Standard cost - Testing'!$A$1:$A$497,0),4),1)="]",INDEX('Standard cost - Testing'!$A$1:$N$497,MATCH(RIGHT($C265,4),'Standard cost - Testing'!$A$1:$A$497,0),4),IF(INDEX('Standard cost - Testing'!$A$1:$N$497,MATCH(RIGHT($C265,4),'Standard cost - Testing'!$A$1:$A$497,0),10)=1,INDEX('Standard cost - Testing'!$A$1:$N$497,MATCH(RIGHT($C265,4),'Standard cost - Testing'!$A$1:$A$497,0),4)&amp;" [1 part]",INDEX('Standard cost - Testing'!$A$1:$N$497,MATCH(RIGHT($C265,4),'Standard cost - Testing'!$A$1:$A$497,0),4)&amp;" ["&amp;INDEX('Standard cost - Testing'!$A$1:$N$497,MATCH(RIGHT($C265,4),'Standard cost - Testing'!$A$1:$A$497,0),10)&amp;" parts]"))</f>
        <v>Physical durability aging cycle - PV [2 parts]</v>
      </c>
      <c r="E265" s="51" t="str">
        <f>IF('Project information'!$A$4="","",'Project information'!$A$4)</f>
        <v>China</v>
      </c>
      <c r="F265" s="149" t="str">
        <f>INDEX('Standard cost - Testing'!$A$1:$N$497,MATCH(RIGHT($C265,4),'Standard cost - Testing'!$A$1:$A$497,0),5)</f>
        <v>GM</v>
      </c>
      <c r="G265" s="149" t="str">
        <f>IF($E265='Standard cost - Testing'!$F$1,INDEX('Standard cost - Testing'!$A$1:$N$497,MATCH(RIGHT($C265,4),'Standard cost - Testing'!$A$1:$A$497,0),6),INDEX('Standard cost - Testing'!$A$1:$N$497,MATCH(RIGHT($C265,4),'Standard cost - Testing'!$A$1:$A$497,0),7))</f>
        <v>PCA CTS Rev 16 - 4.4.2.1.1</v>
      </c>
      <c r="H265" s="46"/>
      <c r="I265" s="46"/>
      <c r="J265" s="46"/>
      <c r="K265" s="46"/>
      <c r="L265" s="46"/>
      <c r="M265" s="33">
        <f t="shared" si="247"/>
        <v>0</v>
      </c>
      <c r="N265" s="157">
        <f>IF(E265="","",IF(ISERROR(INDEX('Standard cost - Testing'!$A$1:$N$497,MATCH(RIGHT($C265,4),'Standard cost - Testing'!$A$1:$A$497,0),MATCH($E265,'Standard cost - Testing'!$K$1:$N$1,0)+10)),"NA",INDEX('Standard cost - Testing'!$A$1:$N$497,MATCH(RIGHT($C265,4),'Standard cost - Testing'!$A$1:$A$497,0),MATCH($E265,'Standard cost - Testing'!$K$1:$N$1,0)+10)))</f>
        <v>328720</v>
      </c>
      <c r="O265" s="45">
        <f>IF(OR(ISERROR($N265),$N265="",$N265="NA"),0,H265*$N265)*(1+INDEX('For Finance Control'!$B$27:$E$29,2,MATCH('Project information'!$A$4,'For Finance Control'!$B$27:$E$27,0)))</f>
        <v>0</v>
      </c>
      <c r="P265" s="45">
        <f>IF(OR(ISERROR($N265),$N265="",$N265="NA"),0,I265*$N265)*(1+INDEX('For Finance Control'!$B$27:$E$29,2,MATCH('Project information'!$A$4,'For Finance Control'!$B$27:$E$27,0)))</f>
        <v>0</v>
      </c>
      <c r="Q265" s="45">
        <f>IF(OR(ISERROR($N265),$N265="",$N265="NA"),0,J265*$N265)*(1+INDEX('For Finance Control'!$B$27:$E$29,2,MATCH('Project information'!$A$4,'For Finance Control'!$B$27:$E$27,0)))</f>
        <v>0</v>
      </c>
      <c r="R265" s="45">
        <f>IF(OR(ISERROR($N265),$N265="",$N265="NA"),0,K265*$N265)*(1+INDEX('For Finance Control'!$B$27:$E$29,2,MATCH('Project information'!$A$4,'For Finance Control'!$B$27:$E$27,0)))</f>
        <v>0</v>
      </c>
      <c r="S265" s="45">
        <f>IF(OR(ISERROR($N265),$N265="",$N265="NA"),0,L265*$N265)*(1+INDEX('For Finance Control'!$B$27:$E$29,2,MATCH('Project information'!$A$4,'For Finance Control'!$B$27:$E$27,0)))</f>
        <v>0</v>
      </c>
      <c r="T265" s="45">
        <f t="shared" si="248"/>
        <v>0</v>
      </c>
      <c r="U265" s="33" cm="1">
        <f t="array" ref="U265">IF($N265="NA","NA",$N265*INDEX('Exchange rate'!$A$1:$G$7,MATCH('Project information'!$A$13,'Exchange rate'!$A$1:$A$7,0),MATCH(LOOKUP(2,1/({"China";"Korea";"India";"Japan";"EUR";"NAO"}=$E265),{"CNY";"KRW";"INR";"JPY";"EUR";"USD"}),'Exchange rate'!$A$1:$G$1,0)))</f>
        <v>328720</v>
      </c>
      <c r="V265" s="33">
        <f t="shared" si="249"/>
        <v>0</v>
      </c>
      <c r="W265" s="33">
        <f t="shared" si="250"/>
        <v>0</v>
      </c>
      <c r="X265" s="33">
        <f t="shared" si="251"/>
        <v>0</v>
      </c>
      <c r="Y265" s="33">
        <f t="shared" si="252"/>
        <v>0</v>
      </c>
      <c r="Z265" s="33">
        <f t="shared" si="253"/>
        <v>0</v>
      </c>
      <c r="AA265" s="33">
        <f t="shared" si="255"/>
        <v>0</v>
      </c>
      <c r="AB265" s="246"/>
      <c r="AC265" s="247"/>
      <c r="AZ265" s="148" t="str">
        <f t="shared" si="256"/>
        <v>5.143</v>
      </c>
      <c r="BA265" s="149" t="s">
        <v>372</v>
      </c>
    </row>
    <row r="266" spans="1:53" ht="25" outlineLevel="1">
      <c r="A266" s="148" t="str">
        <f t="shared" si="254"/>
        <v>5.144</v>
      </c>
      <c r="B266" s="148" t="str">
        <f>INDEX('Standard cost - Testing'!$A$1:$N$497,MATCH(RIGHT($C266,4),'Standard cost - Testing'!$A$1:$A$497,0),3)</f>
        <v>LVE</v>
      </c>
      <c r="C266" s="149" t="str">
        <f>'Standard cost - Testing'!B145&amp;" - "&amp;'Standard cost - Testing'!A145</f>
        <v>H.V - H012</v>
      </c>
      <c r="D266" s="150" t="str">
        <f>IF(RIGHT(INDEX('Standard cost - Testing'!$A$1:$N$497,MATCH(RIGHT($C266,4),'Standard cost - Testing'!$A$1:$A$497,0),4),1)="]",INDEX('Standard cost - Testing'!$A$1:$N$497,MATCH(RIGHT($C266,4),'Standard cost - Testing'!$A$1:$A$497,0),4),IF(INDEX('Standard cost - Testing'!$A$1:$N$497,MATCH(RIGHT($C266,4),'Standard cost - Testing'!$A$1:$A$497,0),10)=1,INDEX('Standard cost - Testing'!$A$1:$N$497,MATCH(RIGHT($C266,4),'Standard cost - Testing'!$A$1:$A$497,0),4)&amp;" [1 part]",INDEX('Standard cost - Testing'!$A$1:$N$497,MATCH(RIGHT($C266,4),'Standard cost - Testing'!$A$1:$A$497,0),4)&amp;" ["&amp;INDEX('Standard cost - Testing'!$A$1:$N$497,MATCH(RIGHT($C266,4),'Standard cost - Testing'!$A$1:$A$497,0),10)&amp;" parts]"))</f>
        <v>Physical durability aging cycle - PV new [2 parts]</v>
      </c>
      <c r="E266" s="51" t="str">
        <f>IF('Project information'!$A$4="","",'Project information'!$A$4)</f>
        <v>China</v>
      </c>
      <c r="F266" s="149" t="str">
        <f>INDEX('Standard cost - Testing'!$A$1:$N$497,MATCH(RIGHT($C266,4),'Standard cost - Testing'!$A$1:$A$497,0),5)</f>
        <v>GM</v>
      </c>
      <c r="G266" s="149" t="str">
        <f>IF($E266='Standard cost - Testing'!$F$1,INDEX('Standard cost - Testing'!$A$1:$N$497,MATCH(RIGHT($C266,4),'Standard cost - Testing'!$A$1:$A$497,0),6),INDEX('Standard cost - Testing'!$A$1:$N$497,MATCH(RIGHT($C266,4),'Standard cost - Testing'!$A$1:$A$497,0),7))</f>
        <v>Converter Appendix C2 13Aug14 rev 1.0  3.2.2</v>
      </c>
      <c r="H266" s="46"/>
      <c r="I266" s="46"/>
      <c r="J266" s="46"/>
      <c r="K266" s="46"/>
      <c r="L266" s="46"/>
      <c r="M266" s="33">
        <f t="shared" si="247"/>
        <v>0</v>
      </c>
      <c r="N266" s="157">
        <f>IF(E266="","",IF(ISERROR(INDEX('Standard cost - Testing'!$A$1:$N$497,MATCH(RIGHT($C266,4),'Standard cost - Testing'!$A$1:$A$497,0),MATCH($E266,'Standard cost - Testing'!$K$1:$N$1,0)+10)),"NA",INDEX('Standard cost - Testing'!$A$1:$N$497,MATCH(RIGHT($C266,4),'Standard cost - Testing'!$A$1:$A$497,0),MATCH($E266,'Standard cost - Testing'!$K$1:$N$1,0)+10)))</f>
        <v>145525</v>
      </c>
      <c r="O266" s="45">
        <f>IF(OR(ISERROR($N266),$N266="",$N266="NA"),0,H266*$N266)*(1+INDEX('For Finance Control'!$B$27:$E$29,2,MATCH('Project information'!$A$4,'For Finance Control'!$B$27:$E$27,0)))</f>
        <v>0</v>
      </c>
      <c r="P266" s="45">
        <f>IF(OR(ISERROR($N266),$N266="",$N266="NA"),0,I266*$N266)*(1+INDEX('For Finance Control'!$B$27:$E$29,2,MATCH('Project information'!$A$4,'For Finance Control'!$B$27:$E$27,0)))</f>
        <v>0</v>
      </c>
      <c r="Q266" s="45">
        <f>IF(OR(ISERROR($N266),$N266="",$N266="NA"),0,J266*$N266)*(1+INDEX('For Finance Control'!$B$27:$E$29,2,MATCH('Project information'!$A$4,'For Finance Control'!$B$27:$E$27,0)))</f>
        <v>0</v>
      </c>
      <c r="R266" s="45">
        <f>IF(OR(ISERROR($N266),$N266="",$N266="NA"),0,K266*$N266)*(1+INDEX('For Finance Control'!$B$27:$E$29,2,MATCH('Project information'!$A$4,'For Finance Control'!$B$27:$E$27,0)))</f>
        <v>0</v>
      </c>
      <c r="S266" s="45">
        <f>IF(OR(ISERROR($N266),$N266="",$N266="NA"),0,L266*$N266)*(1+INDEX('For Finance Control'!$B$27:$E$29,2,MATCH('Project information'!$A$4,'For Finance Control'!$B$27:$E$27,0)))</f>
        <v>0</v>
      </c>
      <c r="T266" s="45">
        <f t="shared" si="248"/>
        <v>0</v>
      </c>
      <c r="U266" s="33" cm="1">
        <f t="array" ref="U266">IF($N266="NA","NA",$N266*INDEX('Exchange rate'!$A$1:$G$7,MATCH('Project information'!$A$13,'Exchange rate'!$A$1:$A$7,0),MATCH(LOOKUP(2,1/({"China";"Korea";"India";"Japan";"EUR";"NAO"}=$E266),{"CNY";"KRW";"INR";"JPY";"EUR";"USD"}),'Exchange rate'!$A$1:$G$1,0)))</f>
        <v>145525</v>
      </c>
      <c r="V266" s="33">
        <f t="shared" si="249"/>
        <v>0</v>
      </c>
      <c r="W266" s="33">
        <f t="shared" si="250"/>
        <v>0</v>
      </c>
      <c r="X266" s="33">
        <f t="shared" si="251"/>
        <v>0</v>
      </c>
      <c r="Y266" s="33">
        <f t="shared" si="252"/>
        <v>0</v>
      </c>
      <c r="Z266" s="33">
        <f t="shared" si="253"/>
        <v>0</v>
      </c>
      <c r="AA266" s="33">
        <f t="shared" si="255"/>
        <v>0</v>
      </c>
      <c r="AB266" s="246"/>
      <c r="AC266" s="247"/>
      <c r="AZ266" s="148" t="str">
        <f t="shared" si="256"/>
        <v>5.144</v>
      </c>
      <c r="BA266" s="149" t="s">
        <v>373</v>
      </c>
    </row>
    <row r="267" spans="1:53" ht="25" outlineLevel="1">
      <c r="A267" s="148" t="str">
        <f t="shared" si="254"/>
        <v>5.145</v>
      </c>
      <c r="B267" s="148" t="str">
        <f>INDEX('Standard cost - Testing'!$A$1:$N$497,MATCH(RIGHT($C267,4),'Standard cost - Testing'!$A$1:$A$497,0),3)</f>
        <v>LVE</v>
      </c>
      <c r="C267" s="149" t="str">
        <f>'Standard cost - Testing'!B146&amp;" - "&amp;'Standard cost - Testing'!A146</f>
        <v>H.V - H013</v>
      </c>
      <c r="D267" s="150" t="str">
        <f>IF(RIGHT(INDEX('Standard cost - Testing'!$A$1:$N$497,MATCH(RIGHT($C267,4),'Standard cost - Testing'!$A$1:$A$497,0),4),1)="]",INDEX('Standard cost - Testing'!$A$1:$N$497,MATCH(RIGHT($C267,4),'Standard cost - Testing'!$A$1:$A$497,0),4),IF(INDEX('Standard cost - Testing'!$A$1:$N$497,MATCH(RIGHT($C267,4),'Standard cost - Testing'!$A$1:$A$497,0),10)=1,INDEX('Standard cost - Testing'!$A$1:$N$497,MATCH(RIGHT($C267,4),'Standard cost - Testing'!$A$1:$A$497,0),4)&amp;" [1 part]",INDEX('Standard cost - Testing'!$A$1:$N$497,MATCH(RIGHT($C267,4),'Standard cost - Testing'!$A$1:$A$497,0),4)&amp;" ["&amp;INDEX('Standard cost - Testing'!$A$1:$N$497,MATCH(RIGHT($C267,4),'Standard cost - Testing'!$A$1:$A$497,0),10)&amp;" parts]"))</f>
        <v>Substrate cold vibration aging cycle [2 parts]</v>
      </c>
      <c r="E267" s="51" t="str">
        <f>IF('Project information'!$A$4="","",'Project information'!$A$4)</f>
        <v>China</v>
      </c>
      <c r="F267" s="149" t="str">
        <f>INDEX('Standard cost - Testing'!$A$1:$N$497,MATCH(RIGHT($C267,4),'Standard cost - Testing'!$A$1:$A$497,0),5)</f>
        <v>GM</v>
      </c>
      <c r="G267" s="149" t="str">
        <f>IF($E267='Standard cost - Testing'!$F$1,INDEX('Standard cost - Testing'!$A$1:$N$497,MATCH(RIGHT($C267,4),'Standard cost - Testing'!$A$1:$A$497,0),6),INDEX('Standard cost - Testing'!$A$1:$N$497,MATCH(RIGHT($C267,4),'Standard cost - Testing'!$A$1:$A$497,0),7))</f>
        <v>PCA CTS Rev 16 4.4.2.1.4</v>
      </c>
      <c r="H267" s="46"/>
      <c r="I267" s="46"/>
      <c r="J267" s="46"/>
      <c r="K267" s="46"/>
      <c r="L267" s="46"/>
      <c r="M267" s="33">
        <f t="shared" si="247"/>
        <v>0</v>
      </c>
      <c r="N267" s="157">
        <f>IF(E267="","",IF(ISERROR(INDEX('Standard cost - Testing'!$A$1:$N$497,MATCH(RIGHT($C267,4),'Standard cost - Testing'!$A$1:$A$497,0),MATCH($E267,'Standard cost - Testing'!$K$1:$N$1,0)+10)),"NA",INDEX('Standard cost - Testing'!$A$1:$N$497,MATCH(RIGHT($C267,4),'Standard cost - Testing'!$A$1:$A$497,0),MATCH($E267,'Standard cost - Testing'!$K$1:$N$1,0)+10)))</f>
        <v>32376</v>
      </c>
      <c r="O267" s="45">
        <f>IF(OR(ISERROR($N267),$N267="",$N267="NA"),0,H267*$N267)*(1+INDEX('For Finance Control'!$B$27:$E$29,2,MATCH('Project information'!$A$4,'For Finance Control'!$B$27:$E$27,0)))</f>
        <v>0</v>
      </c>
      <c r="P267" s="45">
        <f>IF(OR(ISERROR($N267),$N267="",$N267="NA"),0,I267*$N267)*(1+INDEX('For Finance Control'!$B$27:$E$29,2,MATCH('Project information'!$A$4,'For Finance Control'!$B$27:$E$27,0)))</f>
        <v>0</v>
      </c>
      <c r="Q267" s="45">
        <f>IF(OR(ISERROR($N267),$N267="",$N267="NA"),0,J267*$N267)*(1+INDEX('For Finance Control'!$B$27:$E$29,2,MATCH('Project information'!$A$4,'For Finance Control'!$B$27:$E$27,0)))</f>
        <v>0</v>
      </c>
      <c r="R267" s="45">
        <f>IF(OR(ISERROR($N267),$N267="",$N267="NA"),0,K267*$N267)*(1+INDEX('For Finance Control'!$B$27:$E$29,2,MATCH('Project information'!$A$4,'For Finance Control'!$B$27:$E$27,0)))</f>
        <v>0</v>
      </c>
      <c r="S267" s="45">
        <f>IF(OR(ISERROR($N267),$N267="",$N267="NA"),0,L267*$N267)*(1+INDEX('For Finance Control'!$B$27:$E$29,2,MATCH('Project information'!$A$4,'For Finance Control'!$B$27:$E$27,0)))</f>
        <v>0</v>
      </c>
      <c r="T267" s="45">
        <f t="shared" si="248"/>
        <v>0</v>
      </c>
      <c r="U267" s="33" cm="1">
        <f t="array" ref="U267">IF($N267="NA","NA",$N267*INDEX('Exchange rate'!$A$1:$G$7,MATCH('Project information'!$A$13,'Exchange rate'!$A$1:$A$7,0),MATCH(LOOKUP(2,1/({"China";"Korea";"India";"Japan";"EUR";"NAO"}=$E267),{"CNY";"KRW";"INR";"JPY";"EUR";"USD"}),'Exchange rate'!$A$1:$G$1,0)))</f>
        <v>32376</v>
      </c>
      <c r="V267" s="33">
        <f t="shared" si="249"/>
        <v>0</v>
      </c>
      <c r="W267" s="33">
        <f t="shared" si="250"/>
        <v>0</v>
      </c>
      <c r="X267" s="33">
        <f t="shared" si="251"/>
        <v>0</v>
      </c>
      <c r="Y267" s="33">
        <f t="shared" si="252"/>
        <v>0</v>
      </c>
      <c r="Z267" s="33">
        <f t="shared" si="253"/>
        <v>0</v>
      </c>
      <c r="AA267" s="33">
        <f t="shared" si="255"/>
        <v>0</v>
      </c>
      <c r="AB267" s="246"/>
      <c r="AC267" s="247"/>
      <c r="AZ267" s="148" t="str">
        <f t="shared" si="256"/>
        <v>5.145</v>
      </c>
      <c r="BA267" s="149" t="s">
        <v>374</v>
      </c>
    </row>
    <row r="268" spans="1:53" ht="25" outlineLevel="1">
      <c r="A268" s="148" t="str">
        <f t="shared" si="254"/>
        <v>5.146</v>
      </c>
      <c r="B268" s="148" t="str">
        <f>INDEX('Standard cost - Testing'!$A$1:$N$497,MATCH(RIGHT($C268,4),'Standard cost - Testing'!$A$1:$A$497,0),3)</f>
        <v>LVE</v>
      </c>
      <c r="C268" s="149" t="str">
        <f>'Standard cost - Testing'!B147&amp;" - "&amp;'Standard cost - Testing'!A147</f>
        <v>H.V - H014</v>
      </c>
      <c r="D268" s="150" t="str">
        <f>IF(RIGHT(INDEX('Standard cost - Testing'!$A$1:$N$497,MATCH(RIGHT($C268,4),'Standard cost - Testing'!$A$1:$A$497,0),4),1)="]",INDEX('Standard cost - Testing'!$A$1:$N$497,MATCH(RIGHT($C268,4),'Standard cost - Testing'!$A$1:$A$497,0),4),IF(INDEX('Standard cost - Testing'!$A$1:$N$497,MATCH(RIGHT($C268,4),'Standard cost - Testing'!$A$1:$A$497,0),10)=1,INDEX('Standard cost - Testing'!$A$1:$N$497,MATCH(RIGHT($C268,4),'Standard cost - Testing'!$A$1:$A$497,0),4)&amp;" [1 part]",INDEX('Standard cost - Testing'!$A$1:$N$497,MATCH(RIGHT($C268,4),'Standard cost - Testing'!$A$1:$A$497,0),4)&amp;" ["&amp;INDEX('Standard cost - Testing'!$A$1:$N$497,MATCH(RIGHT($C268,4),'Standard cost - Testing'!$A$1:$A$497,0),10)&amp;" parts]"))</f>
        <v>Substrate cold vibration aging cycle - new DV [4 parts]</v>
      </c>
      <c r="E268" s="51" t="str">
        <f>IF('Project information'!$A$4="","",'Project information'!$A$4)</f>
        <v>China</v>
      </c>
      <c r="F268" s="149" t="str">
        <f>INDEX('Standard cost - Testing'!$A$1:$N$497,MATCH(RIGHT($C268,4),'Standard cost - Testing'!$A$1:$A$497,0),5)</f>
        <v>GM</v>
      </c>
      <c r="G268" s="149" t="str">
        <f>IF($E268='Standard cost - Testing'!$F$1,INDEX('Standard cost - Testing'!$A$1:$N$497,MATCH(RIGHT($C268,4),'Standard cost - Testing'!$A$1:$A$497,0),6),INDEX('Standard cost - Testing'!$A$1:$N$497,MATCH(RIGHT($C268,4),'Standard cost - Testing'!$A$1:$A$497,0),7))</f>
        <v>Converter Appendix C2 13Aug14 rev 1.0 3.2.5</v>
      </c>
      <c r="H268" s="46"/>
      <c r="I268" s="46"/>
      <c r="J268" s="46"/>
      <c r="K268" s="46"/>
      <c r="L268" s="46"/>
      <c r="M268" s="33">
        <f t="shared" si="247"/>
        <v>0</v>
      </c>
      <c r="N268" s="157">
        <f>IF(E268="","",IF(ISERROR(INDEX('Standard cost - Testing'!$A$1:$N$497,MATCH(RIGHT($C268,4),'Standard cost - Testing'!$A$1:$A$497,0),MATCH($E268,'Standard cost - Testing'!$K$1:$N$1,0)+10)),"NA",INDEX('Standard cost - Testing'!$A$1:$N$497,MATCH(RIGHT($C268,4),'Standard cost - Testing'!$A$1:$A$497,0),MATCH($E268,'Standard cost - Testing'!$K$1:$N$1,0)+10)))</f>
        <v>151387</v>
      </c>
      <c r="O268" s="45">
        <f>IF(OR(ISERROR($N268),$N268="",$N268="NA"),0,H268*$N268)*(1+INDEX('For Finance Control'!$B$27:$E$29,2,MATCH('Project information'!$A$4,'For Finance Control'!$B$27:$E$27,0)))</f>
        <v>0</v>
      </c>
      <c r="P268" s="45">
        <f>IF(OR(ISERROR($N268),$N268="",$N268="NA"),0,I268*$N268)*(1+INDEX('For Finance Control'!$B$27:$E$29,2,MATCH('Project information'!$A$4,'For Finance Control'!$B$27:$E$27,0)))</f>
        <v>0</v>
      </c>
      <c r="Q268" s="45">
        <f>IF(OR(ISERROR($N268),$N268="",$N268="NA"),0,J268*$N268)*(1+INDEX('For Finance Control'!$B$27:$E$29,2,MATCH('Project information'!$A$4,'For Finance Control'!$B$27:$E$27,0)))</f>
        <v>0</v>
      </c>
      <c r="R268" s="45">
        <f>IF(OR(ISERROR($N268),$N268="",$N268="NA"),0,K268*$N268)*(1+INDEX('For Finance Control'!$B$27:$E$29,2,MATCH('Project information'!$A$4,'For Finance Control'!$B$27:$E$27,0)))</f>
        <v>0</v>
      </c>
      <c r="S268" s="45">
        <f>IF(OR(ISERROR($N268),$N268="",$N268="NA"),0,L268*$N268)*(1+INDEX('For Finance Control'!$B$27:$E$29,2,MATCH('Project information'!$A$4,'For Finance Control'!$B$27:$E$27,0)))</f>
        <v>0</v>
      </c>
      <c r="T268" s="45">
        <f t="shared" si="248"/>
        <v>0</v>
      </c>
      <c r="U268" s="33" cm="1">
        <f t="array" ref="U268">IF($N268="NA","NA",$N268*INDEX('Exchange rate'!$A$1:$G$7,MATCH('Project information'!$A$13,'Exchange rate'!$A$1:$A$7,0),MATCH(LOOKUP(2,1/({"China";"Korea";"India";"Japan";"EUR";"NAO"}=$E268),{"CNY";"KRW";"INR";"JPY";"EUR";"USD"}),'Exchange rate'!$A$1:$G$1,0)))</f>
        <v>151387</v>
      </c>
      <c r="V268" s="33">
        <f t="shared" si="249"/>
        <v>0</v>
      </c>
      <c r="W268" s="33">
        <f t="shared" si="250"/>
        <v>0</v>
      </c>
      <c r="X268" s="33">
        <f t="shared" si="251"/>
        <v>0</v>
      </c>
      <c r="Y268" s="33">
        <f t="shared" si="252"/>
        <v>0</v>
      </c>
      <c r="Z268" s="33">
        <f t="shared" si="253"/>
        <v>0</v>
      </c>
      <c r="AA268" s="33">
        <f t="shared" si="255"/>
        <v>0</v>
      </c>
      <c r="AB268" s="246"/>
      <c r="AC268" s="247"/>
      <c r="AZ268" s="148" t="str">
        <f t="shared" si="256"/>
        <v>5.146</v>
      </c>
      <c r="BA268" s="149" t="s">
        <v>375</v>
      </c>
    </row>
    <row r="269" spans="1:53" ht="25" outlineLevel="1">
      <c r="A269" s="148" t="str">
        <f t="shared" si="254"/>
        <v>5.147</v>
      </c>
      <c r="B269" s="148" t="str">
        <f>INDEX('Standard cost - Testing'!$A$1:$N$497,MATCH(RIGHT($C269,4),'Standard cost - Testing'!$A$1:$A$497,0),3)</f>
        <v>LVE</v>
      </c>
      <c r="C269" s="149" t="str">
        <f>'Standard cost - Testing'!B148&amp;" - "&amp;'Standard cost - Testing'!A148</f>
        <v>H.V - H015</v>
      </c>
      <c r="D269" s="150" t="str">
        <f>IF(RIGHT(INDEX('Standard cost - Testing'!$A$1:$N$497,MATCH(RIGHT($C269,4),'Standard cost - Testing'!$A$1:$A$497,0),4),1)="]",INDEX('Standard cost - Testing'!$A$1:$N$497,MATCH(RIGHT($C269,4),'Standard cost - Testing'!$A$1:$A$497,0),4),IF(INDEX('Standard cost - Testing'!$A$1:$N$497,MATCH(RIGHT($C269,4),'Standard cost - Testing'!$A$1:$A$497,0),10)=1,INDEX('Standard cost - Testing'!$A$1:$N$497,MATCH(RIGHT($C269,4),'Standard cost - Testing'!$A$1:$A$497,0),4)&amp;" [1 part]",INDEX('Standard cost - Testing'!$A$1:$N$497,MATCH(RIGHT($C269,4),'Standard cost - Testing'!$A$1:$A$497,0),4)&amp;" ["&amp;INDEX('Standard cost - Testing'!$A$1:$N$497,MATCH(RIGHT($C269,4),'Standard cost - Testing'!$A$1:$A$497,0),10)&amp;" parts]"))</f>
        <v>Substrate cold vibration aging cycle - new PV [2 parts]</v>
      </c>
      <c r="E269" s="51" t="str">
        <f>IF('Project information'!$A$4="","",'Project information'!$A$4)</f>
        <v>China</v>
      </c>
      <c r="F269" s="149" t="str">
        <f>INDEX('Standard cost - Testing'!$A$1:$N$497,MATCH(RIGHT($C269,4),'Standard cost - Testing'!$A$1:$A$497,0),5)</f>
        <v>GM</v>
      </c>
      <c r="G269" s="149" t="str">
        <f>IF($E269='Standard cost - Testing'!$F$1,INDEX('Standard cost - Testing'!$A$1:$N$497,MATCH(RIGHT($C269,4),'Standard cost - Testing'!$A$1:$A$497,0),6),INDEX('Standard cost - Testing'!$A$1:$N$497,MATCH(RIGHT($C269,4),'Standard cost - Testing'!$A$1:$A$497,0),7))</f>
        <v>Converter Appendix C2 13Aug14 rev 1.0 3.2.5</v>
      </c>
      <c r="H269" s="46"/>
      <c r="I269" s="46"/>
      <c r="J269" s="46"/>
      <c r="K269" s="46"/>
      <c r="L269" s="46"/>
      <c r="M269" s="33">
        <f t="shared" si="247"/>
        <v>0</v>
      </c>
      <c r="N269" s="157">
        <f>IF(E269="","",IF(ISERROR(INDEX('Standard cost - Testing'!$A$1:$N$497,MATCH(RIGHT($C269,4),'Standard cost - Testing'!$A$1:$A$497,0),MATCH($E269,'Standard cost - Testing'!$K$1:$N$1,0)+10)),"NA",INDEX('Standard cost - Testing'!$A$1:$N$497,MATCH(RIGHT($C269,4),'Standard cost - Testing'!$A$1:$A$497,0),MATCH($E269,'Standard cost - Testing'!$K$1:$N$1,0)+10)))</f>
        <v>78365</v>
      </c>
      <c r="O269" s="45">
        <f>IF(OR(ISERROR($N269),$N269="",$N269="NA"),0,H269*$N269)*(1+INDEX('For Finance Control'!$B$27:$E$29,2,MATCH('Project information'!$A$4,'For Finance Control'!$B$27:$E$27,0)))</f>
        <v>0</v>
      </c>
      <c r="P269" s="45">
        <f>IF(OR(ISERROR($N269),$N269="",$N269="NA"),0,I269*$N269)*(1+INDEX('For Finance Control'!$B$27:$E$29,2,MATCH('Project information'!$A$4,'For Finance Control'!$B$27:$E$27,0)))</f>
        <v>0</v>
      </c>
      <c r="Q269" s="45">
        <f>IF(OR(ISERROR($N269),$N269="",$N269="NA"),0,J269*$N269)*(1+INDEX('For Finance Control'!$B$27:$E$29,2,MATCH('Project information'!$A$4,'For Finance Control'!$B$27:$E$27,0)))</f>
        <v>0</v>
      </c>
      <c r="R269" s="45">
        <f>IF(OR(ISERROR($N269),$N269="",$N269="NA"),0,K269*$N269)*(1+INDEX('For Finance Control'!$B$27:$E$29,2,MATCH('Project information'!$A$4,'For Finance Control'!$B$27:$E$27,0)))</f>
        <v>0</v>
      </c>
      <c r="S269" s="45">
        <f>IF(OR(ISERROR($N269),$N269="",$N269="NA"),0,L269*$N269)*(1+INDEX('For Finance Control'!$B$27:$E$29,2,MATCH('Project information'!$A$4,'For Finance Control'!$B$27:$E$27,0)))</f>
        <v>0</v>
      </c>
      <c r="T269" s="45">
        <f t="shared" si="248"/>
        <v>0</v>
      </c>
      <c r="U269" s="33" cm="1">
        <f t="array" ref="U269">IF($N269="NA","NA",$N269*INDEX('Exchange rate'!$A$1:$G$7,MATCH('Project information'!$A$13,'Exchange rate'!$A$1:$A$7,0),MATCH(LOOKUP(2,1/({"China";"Korea";"India";"Japan";"EUR";"NAO"}=$E269),{"CNY";"KRW";"INR";"JPY";"EUR";"USD"}),'Exchange rate'!$A$1:$G$1,0)))</f>
        <v>78365</v>
      </c>
      <c r="V269" s="33">
        <f t="shared" si="249"/>
        <v>0</v>
      </c>
      <c r="W269" s="33">
        <f t="shared" si="250"/>
        <v>0</v>
      </c>
      <c r="X269" s="33">
        <f t="shared" si="251"/>
        <v>0</v>
      </c>
      <c r="Y269" s="33">
        <f t="shared" si="252"/>
        <v>0</v>
      </c>
      <c r="Z269" s="33">
        <f t="shared" si="253"/>
        <v>0</v>
      </c>
      <c r="AA269" s="33">
        <f t="shared" si="255"/>
        <v>0</v>
      </c>
      <c r="AB269" s="246"/>
      <c r="AC269" s="247"/>
      <c r="AZ269" s="148" t="str">
        <f t="shared" si="256"/>
        <v>5.147</v>
      </c>
      <c r="BA269" s="149" t="s">
        <v>375</v>
      </c>
    </row>
    <row r="270" spans="1:53" ht="25" outlineLevel="1">
      <c r="A270" s="148" t="str">
        <f t="shared" si="254"/>
        <v>5.148</v>
      </c>
      <c r="B270" s="148" t="str">
        <f>INDEX('Standard cost - Testing'!$A$1:$N$497,MATCH(RIGHT($C270,4),'Standard cost - Testing'!$A$1:$A$497,0),3)</f>
        <v>LVE</v>
      </c>
      <c r="C270" s="149" t="str">
        <f>'Standard cost - Testing'!B149&amp;" - "&amp;'Standard cost - Testing'!A149</f>
        <v>H.V - H016</v>
      </c>
      <c r="D270" s="150" t="str">
        <f>IF(RIGHT(INDEX('Standard cost - Testing'!$A$1:$N$497,MATCH(RIGHT($C270,4),'Standard cost - Testing'!$A$1:$A$497,0),4),1)="]",INDEX('Standard cost - Testing'!$A$1:$N$497,MATCH(RIGHT($C270,4),'Standard cost - Testing'!$A$1:$A$497,0),4),IF(INDEX('Standard cost - Testing'!$A$1:$N$497,MATCH(RIGHT($C270,4),'Standard cost - Testing'!$A$1:$A$497,0),10)=1,INDEX('Standard cost - Testing'!$A$1:$N$497,MATCH(RIGHT($C270,4),'Standard cost - Testing'!$A$1:$A$497,0),4)&amp;" [1 part]",INDEX('Standard cost - Testing'!$A$1:$N$497,MATCH(RIGHT($C270,4),'Standard cost - Testing'!$A$1:$A$497,0),4)&amp;" ["&amp;INDEX('Standard cost - Testing'!$A$1:$N$497,MATCH(RIGHT($C270,4),'Standard cost - Testing'!$A$1:$A$497,0),10)&amp;" parts]"))</f>
        <v>Gasoline catalyst hot &amp; cold vibration test [2 parts]</v>
      </c>
      <c r="E270" s="51" t="str">
        <f>IF('Project information'!$A$4="","",'Project information'!$A$4)</f>
        <v>China</v>
      </c>
      <c r="F270" s="149" t="str">
        <f>INDEX('Standard cost - Testing'!$A$1:$N$497,MATCH(RIGHT($C270,4),'Standard cost - Testing'!$A$1:$A$497,0),5)</f>
        <v>HMC</v>
      </c>
      <c r="G270" s="149" t="str">
        <f>IF($E270='Standard cost - Testing'!$F$1,INDEX('Standard cost - Testing'!$A$1:$N$497,MATCH(RIGHT($C270,4),'Standard cost - Testing'!$A$1:$A$497,0),6),INDEX('Standard cost - Testing'!$A$1:$N$497,MATCH(RIGHT($C270,4),'Standard cost - Testing'!$A$1:$A$497,0),7))</f>
        <v>ES28530-01 4.3.1</v>
      </c>
      <c r="H270" s="46"/>
      <c r="I270" s="46"/>
      <c r="J270" s="46"/>
      <c r="K270" s="46"/>
      <c r="L270" s="46"/>
      <c r="M270" s="33">
        <f t="shared" ref="M270:M271" si="291">SUM(H270:L270)</f>
        <v>0</v>
      </c>
      <c r="N270" s="157">
        <f>IF(E270="","",IF(ISERROR(INDEX('Standard cost - Testing'!$A$1:$N$497,MATCH(RIGHT($C270,4),'Standard cost - Testing'!$A$1:$A$497,0),MATCH($E270,'Standard cost - Testing'!$K$1:$N$1,0)+10)),"NA",INDEX('Standard cost - Testing'!$A$1:$N$497,MATCH(RIGHT($C270,4),'Standard cost - Testing'!$A$1:$A$497,0),MATCH($E270,'Standard cost - Testing'!$K$1:$N$1,0)+10)))</f>
        <v>45390</v>
      </c>
      <c r="O270" s="45">
        <f>IF(OR(ISERROR($N270),$N270="",$N270="NA"),0,H270*$N270)*(1+INDEX('For Finance Control'!$B$27:$E$29,2,MATCH('Project information'!$A$4,'For Finance Control'!$B$27:$E$27,0)))</f>
        <v>0</v>
      </c>
      <c r="P270" s="45">
        <f>IF(OR(ISERROR($N270),$N270="",$N270="NA"),0,I270*$N270)*(1+INDEX('For Finance Control'!$B$27:$E$29,2,MATCH('Project information'!$A$4,'For Finance Control'!$B$27:$E$27,0)))</f>
        <v>0</v>
      </c>
      <c r="Q270" s="45">
        <f>IF(OR(ISERROR($N270),$N270="",$N270="NA"),0,J270*$N270)*(1+INDEX('For Finance Control'!$B$27:$E$29,2,MATCH('Project information'!$A$4,'For Finance Control'!$B$27:$E$27,0)))</f>
        <v>0</v>
      </c>
      <c r="R270" s="45">
        <f>IF(OR(ISERROR($N270),$N270="",$N270="NA"),0,K270*$N270)*(1+INDEX('For Finance Control'!$B$27:$E$29,2,MATCH('Project information'!$A$4,'For Finance Control'!$B$27:$E$27,0)))</f>
        <v>0</v>
      </c>
      <c r="S270" s="45">
        <f>IF(OR(ISERROR($N270),$N270="",$N270="NA"),0,L270*$N270)*(1+INDEX('For Finance Control'!$B$27:$E$29,2,MATCH('Project information'!$A$4,'For Finance Control'!$B$27:$E$27,0)))</f>
        <v>0</v>
      </c>
      <c r="T270" s="45">
        <f t="shared" si="248"/>
        <v>0</v>
      </c>
      <c r="U270" s="33" cm="1">
        <f t="array" ref="U270">IF($N270="NA","NA",$N270*INDEX('Exchange rate'!$A$1:$G$7,MATCH('Project information'!$A$13,'Exchange rate'!$A$1:$A$7,0),MATCH(LOOKUP(2,1/({"China";"Korea";"India";"Japan";"EUR";"NAO"}=$E270),{"CNY";"KRW";"INR";"JPY";"EUR";"USD"}),'Exchange rate'!$A$1:$G$1,0)))</f>
        <v>45390</v>
      </c>
      <c r="V270" s="33">
        <f t="shared" si="249"/>
        <v>0</v>
      </c>
      <c r="W270" s="33">
        <f t="shared" si="250"/>
        <v>0</v>
      </c>
      <c r="X270" s="33">
        <f t="shared" si="251"/>
        <v>0</v>
      </c>
      <c r="Y270" s="33">
        <f t="shared" si="252"/>
        <v>0</v>
      </c>
      <c r="Z270" s="33">
        <f t="shared" si="253"/>
        <v>0</v>
      </c>
      <c r="AA270" s="33">
        <f t="shared" si="255"/>
        <v>0</v>
      </c>
      <c r="AB270" s="246"/>
      <c r="AC270" s="247"/>
      <c r="AZ270" s="148" t="str">
        <f t="shared" si="256"/>
        <v>5.148</v>
      </c>
      <c r="BA270" s="149" t="s">
        <v>376</v>
      </c>
    </row>
    <row r="271" spans="1:53" ht="25" outlineLevel="1">
      <c r="A271" s="148" t="str">
        <f t="shared" si="254"/>
        <v>5.149</v>
      </c>
      <c r="B271" s="148" t="str">
        <f>INDEX('Standard cost - Testing'!$A$1:$N$497,MATCH(RIGHT($C271,4),'Standard cost - Testing'!$A$1:$A$497,0),3)</f>
        <v>LVE</v>
      </c>
      <c r="C271" s="149" t="str">
        <f>'Standard cost - Testing'!B150&amp;" - "&amp;'Standard cost - Testing'!A150</f>
        <v>H.V - H017</v>
      </c>
      <c r="D271" s="150" t="str">
        <f>IF(RIGHT(INDEX('Standard cost - Testing'!$A$1:$N$497,MATCH(RIGHT($C271,4),'Standard cost - Testing'!$A$1:$A$497,0),4),1)="]",INDEX('Standard cost - Testing'!$A$1:$N$497,MATCH(RIGHT($C271,4),'Standard cost - Testing'!$A$1:$A$497,0),4),IF(INDEX('Standard cost - Testing'!$A$1:$N$497,MATCH(RIGHT($C271,4),'Standard cost - Testing'!$A$1:$A$497,0),10)=1,INDEX('Standard cost - Testing'!$A$1:$N$497,MATCH(RIGHT($C271,4),'Standard cost - Testing'!$A$1:$A$497,0),4)&amp;" [1 part]",INDEX('Standard cost - Testing'!$A$1:$N$497,MATCH(RIGHT($C271,4),'Standard cost - Testing'!$A$1:$A$497,0),4)&amp;" ["&amp;INDEX('Standard cost - Testing'!$A$1:$N$497,MATCH(RIGHT($C271,4),'Standard cost - Testing'!$A$1:$A$497,0),10)&amp;" parts]"))</f>
        <v>Diesel DOC &amp; DPF cold vibration test [2 parts]</v>
      </c>
      <c r="E271" s="51" t="str">
        <f>IF('Project information'!$A$4="","",'Project information'!$A$4)</f>
        <v>China</v>
      </c>
      <c r="F271" s="149" t="str">
        <f>INDEX('Standard cost - Testing'!$A$1:$N$497,MATCH(RIGHT($C271,4),'Standard cost - Testing'!$A$1:$A$497,0),5)</f>
        <v>HMC</v>
      </c>
      <c r="G271" s="149" t="str">
        <f>IF($E271='Standard cost - Testing'!$F$1,INDEX('Standard cost - Testing'!$A$1:$N$497,MATCH(RIGHT($C271,4),'Standard cost - Testing'!$A$1:$A$497,0),6),INDEX('Standard cost - Testing'!$A$1:$N$497,MATCH(RIGHT($C271,4),'Standard cost - Testing'!$A$1:$A$497,0),7))</f>
        <v>ES28530-02 4.3.1
ES28990-01 4.3.1</v>
      </c>
      <c r="H271" s="46"/>
      <c r="I271" s="46"/>
      <c r="J271" s="46"/>
      <c r="K271" s="46"/>
      <c r="L271" s="46"/>
      <c r="M271" s="33">
        <f t="shared" si="291"/>
        <v>0</v>
      </c>
      <c r="N271" s="157">
        <f>IF(E271="","",IF(ISERROR(INDEX('Standard cost - Testing'!$A$1:$N$497,MATCH(RIGHT($C271,4),'Standard cost - Testing'!$A$1:$A$497,0),MATCH($E271,'Standard cost - Testing'!$K$1:$N$1,0)+10)),"NA",INDEX('Standard cost - Testing'!$A$1:$N$497,MATCH(RIGHT($C271,4),'Standard cost - Testing'!$A$1:$A$497,0),MATCH($E271,'Standard cost - Testing'!$K$1:$N$1,0)+10)))</f>
        <v>44390</v>
      </c>
      <c r="O271" s="45">
        <f>IF(OR(ISERROR($N271),$N271="",$N271="NA"),0,H271*$N271)*(1+INDEX('For Finance Control'!$B$27:$E$29,2,MATCH('Project information'!$A$4,'For Finance Control'!$B$27:$E$27,0)))</f>
        <v>0</v>
      </c>
      <c r="P271" s="45">
        <f>IF(OR(ISERROR($N271),$N271="",$N271="NA"),0,I271*$N271)*(1+INDEX('For Finance Control'!$B$27:$E$29,2,MATCH('Project information'!$A$4,'For Finance Control'!$B$27:$E$27,0)))</f>
        <v>0</v>
      </c>
      <c r="Q271" s="45">
        <f>IF(OR(ISERROR($N271),$N271="",$N271="NA"),0,J271*$N271)*(1+INDEX('For Finance Control'!$B$27:$E$29,2,MATCH('Project information'!$A$4,'For Finance Control'!$B$27:$E$27,0)))</f>
        <v>0</v>
      </c>
      <c r="R271" s="45">
        <f>IF(OR(ISERROR($N271),$N271="",$N271="NA"),0,K271*$N271)*(1+INDEX('For Finance Control'!$B$27:$E$29,2,MATCH('Project information'!$A$4,'For Finance Control'!$B$27:$E$27,0)))</f>
        <v>0</v>
      </c>
      <c r="S271" s="45">
        <f>IF(OR(ISERROR($N271),$N271="",$N271="NA"),0,L271*$N271)*(1+INDEX('For Finance Control'!$B$27:$E$29,2,MATCH('Project information'!$A$4,'For Finance Control'!$B$27:$E$27,0)))</f>
        <v>0</v>
      </c>
      <c r="T271" s="45">
        <f t="shared" ref="T271:T272" si="292">SUM(O271:S271)</f>
        <v>0</v>
      </c>
      <c r="U271" s="33" cm="1">
        <f t="array" ref="U271">IF($N271="NA","NA",$N271*INDEX('Exchange rate'!$A$1:$G$7,MATCH('Project information'!$A$13,'Exchange rate'!$A$1:$A$7,0),MATCH(LOOKUP(2,1/({"China";"Korea";"India";"Japan";"EUR";"NAO"}=$E271),{"CNY";"KRW";"INR";"JPY";"EUR";"USD"}),'Exchange rate'!$A$1:$G$1,0)))</f>
        <v>44390</v>
      </c>
      <c r="V271" s="33">
        <f t="shared" ref="V271:V272" si="293">IF(OR(ISERROR($U271),$U271="",$U271="NA"),0,H271*$U271)</f>
        <v>0</v>
      </c>
      <c r="W271" s="33">
        <f t="shared" ref="W271:W272" si="294">IF(OR(ISERROR($U271),$U271="",$U271="NA"),0,I271*$U271)</f>
        <v>0</v>
      </c>
      <c r="X271" s="33">
        <f t="shared" ref="X271:X272" si="295">IF(OR(ISERROR($U271),$U271="",$U271="NA"),0,J271*$U271)</f>
        <v>0</v>
      </c>
      <c r="Y271" s="33">
        <f t="shared" ref="Y271:Y272" si="296">IF(OR(ISERROR($U271),$U271="",$U271="NA"),0,K271*$U271)</f>
        <v>0</v>
      </c>
      <c r="Z271" s="33">
        <f t="shared" ref="Z271:Z272" si="297">IF(OR(ISERROR($U271),$U271="",$U271="NA"),0,L271*$U271)</f>
        <v>0</v>
      </c>
      <c r="AA271" s="33">
        <f t="shared" ref="AA271:AA272" si="298">SUM(V271:Z271)</f>
        <v>0</v>
      </c>
      <c r="AB271" s="246"/>
      <c r="AC271" s="247"/>
      <c r="AZ271" s="148" t="str">
        <f t="shared" si="256"/>
        <v>5.149</v>
      </c>
      <c r="BA271" s="149" t="s">
        <v>377</v>
      </c>
    </row>
    <row r="272" spans="1:53" ht="25" outlineLevel="1">
      <c r="A272" s="148" t="str">
        <f t="shared" si="254"/>
        <v>5.150</v>
      </c>
      <c r="B272" s="148" t="str">
        <f>INDEX('Standard cost - Testing'!$A$1:$N$497,MATCH(RIGHT($C272,4),'Standard cost - Testing'!$A$1:$A$497,0),3)</f>
        <v>LVE</v>
      </c>
      <c r="C272" s="149" t="str">
        <f>'Standard cost - Testing'!B151&amp;" - "&amp;'Standard cost - Testing'!A151</f>
        <v>H.V - H018</v>
      </c>
      <c r="D272" s="150" t="str">
        <f>IF(RIGHT(INDEX('Standard cost - Testing'!$A$1:$N$497,MATCH(RIGHT($C272,4),'Standard cost - Testing'!$A$1:$A$497,0),4),1)="]",INDEX('Standard cost - Testing'!$A$1:$N$497,MATCH(RIGHT($C272,4),'Standard cost - Testing'!$A$1:$A$497,0),4),IF(INDEX('Standard cost - Testing'!$A$1:$N$497,MATCH(RIGHT($C272,4),'Standard cost - Testing'!$A$1:$A$497,0),10)=1,INDEX('Standard cost - Testing'!$A$1:$N$497,MATCH(RIGHT($C272,4),'Standard cost - Testing'!$A$1:$A$497,0),4)&amp;" [1 part]",INDEX('Standard cost - Testing'!$A$1:$N$497,MATCH(RIGHT($C272,4),'Standard cost - Testing'!$A$1:$A$497,0),4)&amp;" ["&amp;INDEX('Standard cost - Testing'!$A$1:$N$497,MATCH(RIGHT($C272,4),'Standard cost - Testing'!$A$1:$A$497,0),10)&amp;" parts]"))</f>
        <v>Diesel DOC &amp; DPF hot vibration test [2 parts]</v>
      </c>
      <c r="E272" s="51" t="str">
        <f>IF('Project information'!$A$4="","",'Project information'!$A$4)</f>
        <v>China</v>
      </c>
      <c r="F272" s="149" t="str">
        <f>INDEX('Standard cost - Testing'!$A$1:$N$497,MATCH(RIGHT($C272,4),'Standard cost - Testing'!$A$1:$A$497,0),5)</f>
        <v>HMC</v>
      </c>
      <c r="G272" s="149" t="str">
        <f>IF($E272='Standard cost - Testing'!$F$1,INDEX('Standard cost - Testing'!$A$1:$N$497,MATCH(RIGHT($C272,4),'Standard cost - Testing'!$A$1:$A$497,0),6),INDEX('Standard cost - Testing'!$A$1:$N$497,MATCH(RIGHT($C272,4),'Standard cost - Testing'!$A$1:$A$497,0),7))</f>
        <v>ES28530-02 4.3.1
ES28990-01 4.3.1</v>
      </c>
      <c r="H272" s="46"/>
      <c r="I272" s="46"/>
      <c r="J272" s="46"/>
      <c r="K272" s="46"/>
      <c r="L272" s="46"/>
      <c r="M272" s="33">
        <f t="shared" ref="M272" si="299">SUM(H272:L272)</f>
        <v>0</v>
      </c>
      <c r="N272" s="157">
        <f>IF(E272="","",IF(ISERROR(INDEX('Standard cost - Testing'!$A$1:$N$497,MATCH(RIGHT($C272,4),'Standard cost - Testing'!$A$1:$A$497,0),MATCH($E272,'Standard cost - Testing'!$K$1:$N$1,0)+10)),"NA",INDEX('Standard cost - Testing'!$A$1:$N$497,MATCH(RIGHT($C272,4),'Standard cost - Testing'!$A$1:$A$497,0),MATCH($E272,'Standard cost - Testing'!$K$1:$N$1,0)+10)))</f>
        <v>45390</v>
      </c>
      <c r="O272" s="45">
        <f>IF(OR(ISERROR($N272),$N272="",$N272="NA"),0,H272*$N272)*(1+INDEX('For Finance Control'!$B$27:$E$29,2,MATCH('Project information'!$A$4,'For Finance Control'!$B$27:$E$27,0)))</f>
        <v>0</v>
      </c>
      <c r="P272" s="45">
        <f>IF(OR(ISERROR($N272),$N272="",$N272="NA"),0,I272*$N272)*(1+INDEX('For Finance Control'!$B$27:$E$29,2,MATCH('Project information'!$A$4,'For Finance Control'!$B$27:$E$27,0)))</f>
        <v>0</v>
      </c>
      <c r="Q272" s="45">
        <f>IF(OR(ISERROR($N272),$N272="",$N272="NA"),0,J272*$N272)*(1+INDEX('For Finance Control'!$B$27:$E$29,2,MATCH('Project information'!$A$4,'For Finance Control'!$B$27:$E$27,0)))</f>
        <v>0</v>
      </c>
      <c r="R272" s="45">
        <f>IF(OR(ISERROR($N272),$N272="",$N272="NA"),0,K272*$N272)*(1+INDEX('For Finance Control'!$B$27:$E$29,2,MATCH('Project information'!$A$4,'For Finance Control'!$B$27:$E$27,0)))</f>
        <v>0</v>
      </c>
      <c r="S272" s="45">
        <f>IF(OR(ISERROR($N272),$N272="",$N272="NA"),0,L272*$N272)*(1+INDEX('For Finance Control'!$B$27:$E$29,2,MATCH('Project information'!$A$4,'For Finance Control'!$B$27:$E$27,0)))</f>
        <v>0</v>
      </c>
      <c r="T272" s="45">
        <f t="shared" si="292"/>
        <v>0</v>
      </c>
      <c r="U272" s="33" cm="1">
        <f t="array" ref="U272">IF($N272="NA","NA",$N272*INDEX('Exchange rate'!$A$1:$G$7,MATCH('Project information'!$A$13,'Exchange rate'!$A$1:$A$7,0),MATCH(LOOKUP(2,1/({"China";"Korea";"India";"Japan";"EUR";"NAO"}=$E272),{"CNY";"KRW";"INR";"JPY";"EUR";"USD"}),'Exchange rate'!$A$1:$G$1,0)))</f>
        <v>45390</v>
      </c>
      <c r="V272" s="33">
        <f t="shared" si="293"/>
        <v>0</v>
      </c>
      <c r="W272" s="33">
        <f t="shared" si="294"/>
        <v>0</v>
      </c>
      <c r="X272" s="33">
        <f t="shared" si="295"/>
        <v>0</v>
      </c>
      <c r="Y272" s="33">
        <f t="shared" si="296"/>
        <v>0</v>
      </c>
      <c r="Z272" s="33">
        <f t="shared" si="297"/>
        <v>0</v>
      </c>
      <c r="AA272" s="33">
        <f t="shared" si="298"/>
        <v>0</v>
      </c>
      <c r="AB272" s="246"/>
      <c r="AC272" s="247"/>
      <c r="AZ272" s="148" t="str">
        <f t="shared" si="256"/>
        <v>5.150</v>
      </c>
      <c r="BA272" s="149" t="s">
        <v>377</v>
      </c>
    </row>
    <row r="273" spans="1:53" outlineLevel="1">
      <c r="A273" s="148" t="str">
        <f t="shared" si="254"/>
        <v>5.151</v>
      </c>
      <c r="B273" s="148" t="str">
        <f>INDEX('Standard cost - Testing'!$A$1:$N$497,MATCH(RIGHT($C273,4),'Standard cost - Testing'!$A$1:$A$497,0),3)</f>
        <v>LVE</v>
      </c>
      <c r="C273" s="149" t="str">
        <f>'Standard cost - Testing'!B152&amp;" - "&amp;'Standard cost - Testing'!A152</f>
        <v>H.V - H019</v>
      </c>
      <c r="D273" s="150" t="str">
        <f>IF(RIGHT(INDEX('Standard cost - Testing'!$A$1:$N$497,MATCH(RIGHT($C273,4),'Standard cost - Testing'!$A$1:$A$497,0),4),1)="]",INDEX('Standard cost - Testing'!$A$1:$N$497,MATCH(RIGHT($C273,4),'Standard cost - Testing'!$A$1:$A$497,0),4),IF(INDEX('Standard cost - Testing'!$A$1:$N$497,MATCH(RIGHT($C273,4),'Standard cost - Testing'!$A$1:$A$497,0),10)=1,INDEX('Standard cost - Testing'!$A$1:$N$497,MATCH(RIGHT($C273,4),'Standard cost - Testing'!$A$1:$A$497,0),4)&amp;" [1 part]",INDEX('Standard cost - Testing'!$A$1:$N$497,MATCH(RIGHT($C273,4),'Standard cost - Testing'!$A$1:$A$497,0),4)&amp;" ["&amp;INDEX('Standard cost - Testing'!$A$1:$N$497,MATCH(RIGHT($C273,4),'Standard cost - Testing'!$A$1:$A$497,0),10)&amp;" parts]"))</f>
        <v>Hot vibration - normal mat [3 parts]</v>
      </c>
      <c r="E273" s="51" t="str">
        <f>IF('Project information'!$A$4="","",'Project information'!$A$4)</f>
        <v>China</v>
      </c>
      <c r="F273" s="149" t="str">
        <f>INDEX('Standard cost - Testing'!$A$1:$N$497,MATCH(RIGHT($C273,4),'Standard cost - Testing'!$A$1:$A$497,0),5)</f>
        <v>RSA</v>
      </c>
      <c r="G273" s="149" t="str">
        <f>IF($E273='Standard cost - Testing'!$F$1,INDEX('Standard cost - Testing'!$A$1:$N$497,MATCH(RIGHT($C273,4),'Standard cost - Testing'!$A$1:$A$497,0),6),INDEX('Standard cost - Testing'!$A$1:$N$497,MATCH(RIGHT($C273,4),'Standard cost - Testing'!$A$1:$A$497,0),7))</f>
        <v>34-05-803/H-3.5</v>
      </c>
      <c r="H273" s="46"/>
      <c r="I273" s="46"/>
      <c r="J273" s="46"/>
      <c r="K273" s="46"/>
      <c r="L273" s="46"/>
      <c r="M273" s="33">
        <f t="shared" si="247"/>
        <v>0</v>
      </c>
      <c r="N273" s="157">
        <f>IF(E273="","",IF(ISERROR(INDEX('Standard cost - Testing'!$A$1:$N$497,MATCH(RIGHT($C273,4),'Standard cost - Testing'!$A$1:$A$497,0),MATCH($E273,'Standard cost - Testing'!$K$1:$N$1,0)+10)),"NA",INDEX('Standard cost - Testing'!$A$1:$N$497,MATCH(RIGHT($C273,4),'Standard cost - Testing'!$A$1:$A$497,0),MATCH($E273,'Standard cost - Testing'!$K$1:$N$1,0)+10)))</f>
        <v>213514</v>
      </c>
      <c r="O273" s="45">
        <f>IF(OR(ISERROR($N273),$N273="",$N273="NA"),0,H273*$N273)*(1+INDEX('For Finance Control'!$B$27:$E$29,2,MATCH('Project information'!$A$4,'For Finance Control'!$B$27:$E$27,0)))</f>
        <v>0</v>
      </c>
      <c r="P273" s="45">
        <f>IF(OR(ISERROR($N273),$N273="",$N273="NA"),0,I273*$N273)*(1+INDEX('For Finance Control'!$B$27:$E$29,2,MATCH('Project information'!$A$4,'For Finance Control'!$B$27:$E$27,0)))</f>
        <v>0</v>
      </c>
      <c r="Q273" s="45">
        <f>IF(OR(ISERROR($N273),$N273="",$N273="NA"),0,J273*$N273)*(1+INDEX('For Finance Control'!$B$27:$E$29,2,MATCH('Project information'!$A$4,'For Finance Control'!$B$27:$E$27,0)))</f>
        <v>0</v>
      </c>
      <c r="R273" s="45">
        <f>IF(OR(ISERROR($N273),$N273="",$N273="NA"),0,K273*$N273)*(1+INDEX('For Finance Control'!$B$27:$E$29,2,MATCH('Project information'!$A$4,'For Finance Control'!$B$27:$E$27,0)))</f>
        <v>0</v>
      </c>
      <c r="S273" s="45">
        <f>IF(OR(ISERROR($N273),$N273="",$N273="NA"),0,L273*$N273)*(1+INDEX('For Finance Control'!$B$27:$E$29,2,MATCH('Project information'!$A$4,'For Finance Control'!$B$27:$E$27,0)))</f>
        <v>0</v>
      </c>
      <c r="T273" s="45">
        <f t="shared" si="248"/>
        <v>0</v>
      </c>
      <c r="U273" s="33" cm="1">
        <f t="array" ref="U273">IF($N273="NA","NA",$N273*INDEX('Exchange rate'!$A$1:$G$7,MATCH('Project information'!$A$13,'Exchange rate'!$A$1:$A$7,0),MATCH(LOOKUP(2,1/({"China";"Korea";"India";"Japan";"EUR";"NAO"}=$E273),{"CNY";"KRW";"INR";"JPY";"EUR";"USD"}),'Exchange rate'!$A$1:$G$1,0)))</f>
        <v>213514</v>
      </c>
      <c r="V273" s="33">
        <f t="shared" si="249"/>
        <v>0</v>
      </c>
      <c r="W273" s="33">
        <f t="shared" si="250"/>
        <v>0</v>
      </c>
      <c r="X273" s="33">
        <f t="shared" si="251"/>
        <v>0</v>
      </c>
      <c r="Y273" s="33">
        <f t="shared" si="252"/>
        <v>0</v>
      </c>
      <c r="Z273" s="33">
        <f t="shared" si="253"/>
        <v>0</v>
      </c>
      <c r="AA273" s="33">
        <f t="shared" si="255"/>
        <v>0</v>
      </c>
      <c r="AB273" s="246"/>
      <c r="AC273" s="247"/>
      <c r="AZ273" s="148" t="str">
        <f t="shared" si="256"/>
        <v>5.151</v>
      </c>
      <c r="BA273" s="149" t="s">
        <v>378</v>
      </c>
    </row>
    <row r="274" spans="1:53" ht="25" outlineLevel="1">
      <c r="A274" s="148" t="str">
        <f t="shared" si="254"/>
        <v>5.152</v>
      </c>
      <c r="B274" s="148" t="str">
        <f>INDEX('Standard cost - Testing'!$A$1:$N$497,MATCH(RIGHT($C274,4),'Standard cost - Testing'!$A$1:$A$497,0),3)</f>
        <v>LVE</v>
      </c>
      <c r="C274" s="149" t="str">
        <f>'Standard cost - Testing'!B153&amp;" - "&amp;'Standard cost - Testing'!A153</f>
        <v>H.V - H020</v>
      </c>
      <c r="D274" s="150" t="str">
        <f>IF(RIGHT(INDEX('Standard cost - Testing'!$A$1:$N$497,MATCH(RIGHT($C274,4),'Standard cost - Testing'!$A$1:$A$497,0),4),1)="]",INDEX('Standard cost - Testing'!$A$1:$N$497,MATCH(RIGHT($C274,4),'Standard cost - Testing'!$A$1:$A$497,0),4),IF(INDEX('Standard cost - Testing'!$A$1:$N$497,MATCH(RIGHT($C274,4),'Standard cost - Testing'!$A$1:$A$497,0),10)=1,INDEX('Standard cost - Testing'!$A$1:$N$497,MATCH(RIGHT($C274,4),'Standard cost - Testing'!$A$1:$A$497,0),4)&amp;" [1 part]",INDEX('Standard cost - Testing'!$A$1:$N$497,MATCH(RIGHT($C274,4),'Standard cost - Testing'!$A$1:$A$497,0),4)&amp;" ["&amp;INDEX('Standard cost - Testing'!$A$1:$N$497,MATCH(RIGHT($C274,4),'Standard cost - Testing'!$A$1:$A$497,0),10)&amp;" parts]"))</f>
        <v>Hot vibration - intumescent mat [4 parts]</v>
      </c>
      <c r="E274" s="51" t="str">
        <f>IF('Project information'!$A$4="","",'Project information'!$A$4)</f>
        <v>China</v>
      </c>
      <c r="F274" s="149" t="str">
        <f>INDEX('Standard cost - Testing'!$A$1:$N$497,MATCH(RIGHT($C274,4),'Standard cost - Testing'!$A$1:$A$497,0),5)</f>
        <v>RSA</v>
      </c>
      <c r="G274" s="149" t="str">
        <f>IF($E274='Standard cost - Testing'!$F$1,INDEX('Standard cost - Testing'!$A$1:$N$497,MATCH(RIGHT($C274,4),'Standard cost - Testing'!$A$1:$A$497,0),6),INDEX('Standard cost - Testing'!$A$1:$N$497,MATCH(RIGHT($C274,4),'Standard cost - Testing'!$A$1:$A$497,0),7))</f>
        <v>34-05-803/H-3.5</v>
      </c>
      <c r="H274" s="46"/>
      <c r="I274" s="46"/>
      <c r="J274" s="46"/>
      <c r="K274" s="46"/>
      <c r="L274" s="46"/>
      <c r="M274" s="33">
        <f t="shared" si="247"/>
        <v>0</v>
      </c>
      <c r="N274" s="157">
        <f>IF(E274="","",IF(ISERROR(INDEX('Standard cost - Testing'!$A$1:$N$497,MATCH(RIGHT($C274,4),'Standard cost - Testing'!$A$1:$A$497,0),MATCH($E274,'Standard cost - Testing'!$K$1:$N$1,0)+10)),"NA",INDEX('Standard cost - Testing'!$A$1:$N$497,MATCH(RIGHT($C274,4),'Standard cost - Testing'!$A$1:$A$497,0),MATCH($E274,'Standard cost - Testing'!$K$1:$N$1,0)+10)))</f>
        <v>275925</v>
      </c>
      <c r="O274" s="45">
        <f>IF(OR(ISERROR($N274),$N274="",$N274="NA"),0,H274*$N274)*(1+INDEX('For Finance Control'!$B$27:$E$29,2,MATCH('Project information'!$A$4,'For Finance Control'!$B$27:$E$27,0)))</f>
        <v>0</v>
      </c>
      <c r="P274" s="45">
        <f>IF(OR(ISERROR($N274),$N274="",$N274="NA"),0,I274*$N274)*(1+INDEX('For Finance Control'!$B$27:$E$29,2,MATCH('Project information'!$A$4,'For Finance Control'!$B$27:$E$27,0)))</f>
        <v>0</v>
      </c>
      <c r="Q274" s="45">
        <f>IF(OR(ISERROR($N274),$N274="",$N274="NA"),0,J274*$N274)*(1+INDEX('For Finance Control'!$B$27:$E$29,2,MATCH('Project information'!$A$4,'For Finance Control'!$B$27:$E$27,0)))</f>
        <v>0</v>
      </c>
      <c r="R274" s="45">
        <f>IF(OR(ISERROR($N274),$N274="",$N274="NA"),0,K274*$N274)*(1+INDEX('For Finance Control'!$B$27:$E$29,2,MATCH('Project information'!$A$4,'For Finance Control'!$B$27:$E$27,0)))</f>
        <v>0</v>
      </c>
      <c r="S274" s="45">
        <f>IF(OR(ISERROR($N274),$N274="",$N274="NA"),0,L274*$N274)*(1+INDEX('For Finance Control'!$B$27:$E$29,2,MATCH('Project information'!$A$4,'For Finance Control'!$B$27:$E$27,0)))</f>
        <v>0</v>
      </c>
      <c r="T274" s="45">
        <f t="shared" si="248"/>
        <v>0</v>
      </c>
      <c r="U274" s="33" cm="1">
        <f t="array" ref="U274">IF($N274="NA","NA",$N274*INDEX('Exchange rate'!$A$1:$G$7,MATCH('Project information'!$A$13,'Exchange rate'!$A$1:$A$7,0),MATCH(LOOKUP(2,1/({"China";"Korea";"India";"Japan";"EUR";"NAO"}=$E274),{"CNY";"KRW";"INR";"JPY";"EUR";"USD"}),'Exchange rate'!$A$1:$G$1,0)))</f>
        <v>275925</v>
      </c>
      <c r="V274" s="33">
        <f t="shared" si="249"/>
        <v>0</v>
      </c>
      <c r="W274" s="33">
        <f t="shared" si="250"/>
        <v>0</v>
      </c>
      <c r="X274" s="33">
        <f t="shared" si="251"/>
        <v>0</v>
      </c>
      <c r="Y274" s="33">
        <f t="shared" si="252"/>
        <v>0</v>
      </c>
      <c r="Z274" s="33">
        <f t="shared" si="253"/>
        <v>0</v>
      </c>
      <c r="AA274" s="33">
        <f t="shared" si="255"/>
        <v>0</v>
      </c>
      <c r="AB274" s="246"/>
      <c r="AC274" s="247"/>
      <c r="AZ274" s="148" t="str">
        <f t="shared" si="256"/>
        <v>5.152</v>
      </c>
      <c r="BA274" s="149" t="s">
        <v>378</v>
      </c>
    </row>
    <row r="275" spans="1:53" ht="25" outlineLevel="1">
      <c r="A275" s="148" t="str">
        <f t="shared" si="254"/>
        <v>5.153</v>
      </c>
      <c r="B275" s="148" t="str">
        <f>INDEX('Standard cost - Testing'!$A$1:$N$497,MATCH(RIGHT($C275,4),'Standard cost - Testing'!$A$1:$A$497,0),3)</f>
        <v>LVE</v>
      </c>
      <c r="C275" s="149" t="str">
        <f>'Standard cost - Testing'!B154&amp;" - "&amp;'Standard cost - Testing'!A154</f>
        <v>H.V - H021</v>
      </c>
      <c r="D275" s="150" t="str">
        <f>IF(RIGHT(INDEX('Standard cost - Testing'!$A$1:$N$497,MATCH(RIGHT($C275,4),'Standard cost - Testing'!$A$1:$A$497,0),4),1)="]",INDEX('Standard cost - Testing'!$A$1:$N$497,MATCH(RIGHT($C275,4),'Standard cost - Testing'!$A$1:$A$497,0),4),IF(INDEX('Standard cost - Testing'!$A$1:$N$497,MATCH(RIGHT($C275,4),'Standard cost - Testing'!$A$1:$A$497,0),10)=1,INDEX('Standard cost - Testing'!$A$1:$N$497,MATCH(RIGHT($C275,4),'Standard cost - Testing'!$A$1:$A$497,0),4)&amp;" [1 part]",INDEX('Standard cost - Testing'!$A$1:$N$497,MATCH(RIGHT($C275,4),'Standard cost - Testing'!$A$1:$A$497,0),4)&amp;" ["&amp;INDEX('Standard cost - Testing'!$A$1:$N$497,MATCH(RIGHT($C275,4),'Standard cost - Testing'!$A$1:$A$497,0),10)&amp;" parts]"))</f>
        <v>Diesel Particulate Filter assembly test [2 parts]</v>
      </c>
      <c r="E275" s="51" t="str">
        <f>IF('Project information'!$A$4="","",'Project information'!$A$4)</f>
        <v>China</v>
      </c>
      <c r="F275" s="149" t="str">
        <f>INDEX('Standard cost - Testing'!$A$1:$N$497,MATCH(RIGHT($C275,4),'Standard cost - Testing'!$A$1:$A$497,0),5)</f>
        <v>Ford</v>
      </c>
      <c r="G275" s="149" t="str">
        <f>IF($E275='Standard cost - Testing'!$F$1,INDEX('Standard cost - Testing'!$A$1:$N$497,MATCH(RIGHT($C275,4),'Standard cost - Testing'!$A$1:$A$497,0),6),INDEX('Standard cost - Testing'!$A$1:$N$497,MATCH(RIGHT($C275,4),'Standard cost - Testing'!$A$1:$A$497,0),7))</f>
        <v>CETP 09.00-E-304</v>
      </c>
      <c r="H275" s="46"/>
      <c r="I275" s="46"/>
      <c r="J275" s="46"/>
      <c r="K275" s="46"/>
      <c r="L275" s="46"/>
      <c r="M275" s="33">
        <f t="shared" si="247"/>
        <v>0</v>
      </c>
      <c r="N275" s="157">
        <f>IF(E275="","",IF(ISERROR(INDEX('Standard cost - Testing'!$A$1:$N$497,MATCH(RIGHT($C275,4),'Standard cost - Testing'!$A$1:$A$497,0),MATCH($E275,'Standard cost - Testing'!$K$1:$N$1,0)+10)),"NA",INDEX('Standard cost - Testing'!$A$1:$N$497,MATCH(RIGHT($C275,4),'Standard cost - Testing'!$A$1:$A$497,0),MATCH($E275,'Standard cost - Testing'!$K$1:$N$1,0)+10)))</f>
        <v>164268</v>
      </c>
      <c r="O275" s="45">
        <f>IF(OR(ISERROR($N275),$N275="",$N275="NA"),0,H275*$N275)*(1+INDEX('For Finance Control'!$B$27:$E$29,2,MATCH('Project information'!$A$4,'For Finance Control'!$B$27:$E$27,0)))</f>
        <v>0</v>
      </c>
      <c r="P275" s="45">
        <f>IF(OR(ISERROR($N275),$N275="",$N275="NA"),0,I275*$N275)*(1+INDEX('For Finance Control'!$B$27:$E$29,2,MATCH('Project information'!$A$4,'For Finance Control'!$B$27:$E$27,0)))</f>
        <v>0</v>
      </c>
      <c r="Q275" s="45">
        <f>IF(OR(ISERROR($N275),$N275="",$N275="NA"),0,J275*$N275)*(1+INDEX('For Finance Control'!$B$27:$E$29,2,MATCH('Project information'!$A$4,'For Finance Control'!$B$27:$E$27,0)))</f>
        <v>0</v>
      </c>
      <c r="R275" s="45">
        <f>IF(OR(ISERROR($N275),$N275="",$N275="NA"),0,K275*$N275)*(1+INDEX('For Finance Control'!$B$27:$E$29,2,MATCH('Project information'!$A$4,'For Finance Control'!$B$27:$E$27,0)))</f>
        <v>0</v>
      </c>
      <c r="S275" s="45">
        <f>IF(OR(ISERROR($N275),$N275="",$N275="NA"),0,L275*$N275)*(1+INDEX('For Finance Control'!$B$27:$E$29,2,MATCH('Project information'!$A$4,'For Finance Control'!$B$27:$E$27,0)))</f>
        <v>0</v>
      </c>
      <c r="T275" s="45">
        <f t="shared" si="248"/>
        <v>0</v>
      </c>
      <c r="U275" s="33" cm="1">
        <f t="array" ref="U275">IF($N275="NA","NA",$N275*INDEX('Exchange rate'!$A$1:$G$7,MATCH('Project information'!$A$13,'Exchange rate'!$A$1:$A$7,0),MATCH(LOOKUP(2,1/({"China";"Korea";"India";"Japan";"EUR";"NAO"}=$E275),{"CNY";"KRW";"INR";"JPY";"EUR";"USD"}),'Exchange rate'!$A$1:$G$1,0)))</f>
        <v>164268</v>
      </c>
      <c r="V275" s="33">
        <f t="shared" si="249"/>
        <v>0</v>
      </c>
      <c r="W275" s="33">
        <f t="shared" si="250"/>
        <v>0</v>
      </c>
      <c r="X275" s="33">
        <f t="shared" si="251"/>
        <v>0</v>
      </c>
      <c r="Y275" s="33">
        <f t="shared" si="252"/>
        <v>0</v>
      </c>
      <c r="Z275" s="33">
        <f t="shared" si="253"/>
        <v>0</v>
      </c>
      <c r="AA275" s="33">
        <f t="shared" si="255"/>
        <v>0</v>
      </c>
      <c r="AB275" s="246"/>
      <c r="AC275" s="247"/>
      <c r="AZ275" s="148" t="str">
        <f t="shared" si="256"/>
        <v>5.153</v>
      </c>
      <c r="BA275" s="149" t="s">
        <v>379</v>
      </c>
    </row>
    <row r="276" spans="1:53" ht="25" outlineLevel="1">
      <c r="A276" s="148" t="str">
        <f t="shared" si="254"/>
        <v>5.154</v>
      </c>
      <c r="B276" s="148" t="str">
        <f>INDEX('Standard cost - Testing'!$A$1:$N$497,MATCH(RIGHT($C276,4),'Standard cost - Testing'!$A$1:$A$497,0),3)</f>
        <v>LVE</v>
      </c>
      <c r="C276" s="149" t="str">
        <f>'Standard cost - Testing'!B155&amp;" - "&amp;'Standard cost - Testing'!A155</f>
        <v>H.V - H022</v>
      </c>
      <c r="D276" s="150" t="str">
        <f>IF(RIGHT(INDEX('Standard cost - Testing'!$A$1:$N$497,MATCH(RIGHT($C276,4),'Standard cost - Testing'!$A$1:$A$497,0),4),1)="]",INDEX('Standard cost - Testing'!$A$1:$N$497,MATCH(RIGHT($C276,4),'Standard cost - Testing'!$A$1:$A$497,0),4),IF(INDEX('Standard cost - Testing'!$A$1:$N$497,MATCH(RIGHT($C276,4),'Standard cost - Testing'!$A$1:$A$497,0),10)=1,INDEX('Standard cost - Testing'!$A$1:$N$497,MATCH(RIGHT($C276,4),'Standard cost - Testing'!$A$1:$A$497,0),4)&amp;" [1 part]",INDEX('Standard cost - Testing'!$A$1:$N$497,MATCH(RIGHT($C276,4),'Standard cost - Testing'!$A$1:$A$497,0),4)&amp;" ["&amp;INDEX('Standard cost - Testing'!$A$1:$N$497,MATCH(RIGHT($C276,4),'Standard cost - Testing'!$A$1:$A$497,0),10)&amp;" parts]"))</f>
        <v>Global catalytic converter - cold shake test [2 parts]</v>
      </c>
      <c r="E276" s="51" t="str">
        <f>IF('Project information'!$A$4="","",'Project information'!$A$4)</f>
        <v>China</v>
      </c>
      <c r="F276" s="149" t="str">
        <f>INDEX('Standard cost - Testing'!$A$1:$N$497,MATCH(RIGHT($C276,4),'Standard cost - Testing'!$A$1:$A$497,0),5)</f>
        <v>Ford</v>
      </c>
      <c r="G276" s="149" t="str">
        <f>IF($E276='Standard cost - Testing'!$F$1,INDEX('Standard cost - Testing'!$A$1:$N$497,MATCH(RIGHT($C276,4),'Standard cost - Testing'!$A$1:$A$497,0),6),INDEX('Standard cost - Testing'!$A$1:$N$497,MATCH(RIGHT($C276,4),'Standard cost - Testing'!$A$1:$A$497,0),7))</f>
        <v>CETP 09.00-E-305 5.1</v>
      </c>
      <c r="H276" s="46"/>
      <c r="I276" s="46"/>
      <c r="J276" s="46"/>
      <c r="K276" s="46"/>
      <c r="L276" s="46"/>
      <c r="M276" s="33">
        <f t="shared" si="247"/>
        <v>0</v>
      </c>
      <c r="N276" s="157">
        <f>IF(E276="","",IF(ISERROR(INDEX('Standard cost - Testing'!$A$1:$N$497,MATCH(RIGHT($C276,4),'Standard cost - Testing'!$A$1:$A$497,0),MATCH($E276,'Standard cost - Testing'!$K$1:$N$1,0)+10)),"NA",INDEX('Standard cost - Testing'!$A$1:$N$497,MATCH(RIGHT($C276,4),'Standard cost - Testing'!$A$1:$A$497,0),MATCH($E276,'Standard cost - Testing'!$K$1:$N$1,0)+10)))</f>
        <v>62152</v>
      </c>
      <c r="O276" s="45">
        <f>IF(OR(ISERROR($N276),$N276="",$N276="NA"),0,H276*$N276)*(1+INDEX('For Finance Control'!$B$27:$E$29,2,MATCH('Project information'!$A$4,'For Finance Control'!$B$27:$E$27,0)))</f>
        <v>0</v>
      </c>
      <c r="P276" s="45">
        <f>IF(OR(ISERROR($N276),$N276="",$N276="NA"),0,I276*$N276)*(1+INDEX('For Finance Control'!$B$27:$E$29,2,MATCH('Project information'!$A$4,'For Finance Control'!$B$27:$E$27,0)))</f>
        <v>0</v>
      </c>
      <c r="Q276" s="45">
        <f>IF(OR(ISERROR($N276),$N276="",$N276="NA"),0,J276*$N276)*(1+INDEX('For Finance Control'!$B$27:$E$29,2,MATCH('Project information'!$A$4,'For Finance Control'!$B$27:$E$27,0)))</f>
        <v>0</v>
      </c>
      <c r="R276" s="45">
        <f>IF(OR(ISERROR($N276),$N276="",$N276="NA"),0,K276*$N276)*(1+INDEX('For Finance Control'!$B$27:$E$29,2,MATCH('Project information'!$A$4,'For Finance Control'!$B$27:$E$27,0)))</f>
        <v>0</v>
      </c>
      <c r="S276" s="45">
        <f>IF(OR(ISERROR($N276),$N276="",$N276="NA"),0,L276*$N276)*(1+INDEX('For Finance Control'!$B$27:$E$29,2,MATCH('Project information'!$A$4,'For Finance Control'!$B$27:$E$27,0)))</f>
        <v>0</v>
      </c>
      <c r="T276" s="45">
        <f t="shared" ref="T276:T339" si="300">SUM(O276:S276)</f>
        <v>0</v>
      </c>
      <c r="U276" s="33" cm="1">
        <f t="array" ref="U276">IF($N276="NA","NA",$N276*INDEX('Exchange rate'!$A$1:$G$7,MATCH('Project information'!$A$13,'Exchange rate'!$A$1:$A$7,0),MATCH(LOOKUP(2,1/({"China";"Korea";"India";"Japan";"EUR";"NAO"}=$E276),{"CNY";"KRW";"INR";"JPY";"EUR";"USD"}),'Exchange rate'!$A$1:$G$1,0)))</f>
        <v>62152</v>
      </c>
      <c r="V276" s="33">
        <f t="shared" ref="V276:V339" si="301">IF(OR(ISERROR($U276),$U276="",$U276="NA"),0,H276*$U276)</f>
        <v>0</v>
      </c>
      <c r="W276" s="33">
        <f t="shared" ref="W276:W339" si="302">IF(OR(ISERROR($U276),$U276="",$U276="NA"),0,I276*$U276)</f>
        <v>0</v>
      </c>
      <c r="X276" s="33">
        <f t="shared" ref="X276:X339" si="303">IF(OR(ISERROR($U276),$U276="",$U276="NA"),0,J276*$U276)</f>
        <v>0</v>
      </c>
      <c r="Y276" s="33">
        <f t="shared" ref="Y276:Y339" si="304">IF(OR(ISERROR($U276),$U276="",$U276="NA"),0,K276*$U276)</f>
        <v>0</v>
      </c>
      <c r="Z276" s="33">
        <f t="shared" ref="Z276:Z339" si="305">IF(OR(ISERROR($U276),$U276="",$U276="NA"),0,L276*$U276)</f>
        <v>0</v>
      </c>
      <c r="AA276" s="33">
        <f t="shared" si="255"/>
        <v>0</v>
      </c>
      <c r="AB276" s="246"/>
      <c r="AC276" s="247"/>
      <c r="AZ276" s="148" t="str">
        <f t="shared" si="256"/>
        <v>5.154</v>
      </c>
      <c r="BA276" s="149" t="s">
        <v>380</v>
      </c>
    </row>
    <row r="277" spans="1:53" ht="25" outlineLevel="1">
      <c r="A277" s="148" t="str">
        <f t="shared" si="254"/>
        <v>5.155</v>
      </c>
      <c r="B277" s="148" t="str">
        <f>INDEX('Standard cost - Testing'!$A$1:$N$497,MATCH(RIGHT($C277,4),'Standard cost - Testing'!$A$1:$A$497,0),3)</f>
        <v>LVE</v>
      </c>
      <c r="C277" s="149" t="str">
        <f>'Standard cost - Testing'!B156&amp;" - "&amp;'Standard cost - Testing'!A156</f>
        <v>H.V - H023</v>
      </c>
      <c r="D277" s="150" t="str">
        <f>IF(RIGHT(INDEX('Standard cost - Testing'!$A$1:$N$497,MATCH(RIGHT($C277,4),'Standard cost - Testing'!$A$1:$A$497,0),4),1)="]",INDEX('Standard cost - Testing'!$A$1:$N$497,MATCH(RIGHT($C277,4),'Standard cost - Testing'!$A$1:$A$497,0),4),IF(INDEX('Standard cost - Testing'!$A$1:$N$497,MATCH(RIGHT($C277,4),'Standard cost - Testing'!$A$1:$A$497,0),10)=1,INDEX('Standard cost - Testing'!$A$1:$N$497,MATCH(RIGHT($C277,4),'Standard cost - Testing'!$A$1:$A$497,0),4)&amp;" [1 part]",INDEX('Standard cost - Testing'!$A$1:$N$497,MATCH(RIGHT($C277,4),'Standard cost - Testing'!$A$1:$A$497,0),4)&amp;" ["&amp;INDEX('Standard cost - Testing'!$A$1:$N$497,MATCH(RIGHT($C277,4),'Standard cost - Testing'!$A$1:$A$497,0),10)&amp;" parts]"))</f>
        <v>Global catalytic converter - hot shake test [2 parts]</v>
      </c>
      <c r="E277" s="51" t="str">
        <f>IF('Project information'!$A$4="","",'Project information'!$A$4)</f>
        <v>China</v>
      </c>
      <c r="F277" s="149" t="str">
        <f>INDEX('Standard cost - Testing'!$A$1:$N$497,MATCH(RIGHT($C277,4),'Standard cost - Testing'!$A$1:$A$497,0),5)</f>
        <v>Ford</v>
      </c>
      <c r="G277" s="149" t="str">
        <f>IF($E277='Standard cost - Testing'!$F$1,INDEX('Standard cost - Testing'!$A$1:$N$497,MATCH(RIGHT($C277,4),'Standard cost - Testing'!$A$1:$A$497,0),6),INDEX('Standard cost - Testing'!$A$1:$N$497,MATCH(RIGHT($C277,4),'Standard cost - Testing'!$A$1:$A$497,0),7))</f>
        <v>CETP 09.00-E-305 5.3</v>
      </c>
      <c r="H277" s="46"/>
      <c r="I277" s="46"/>
      <c r="J277" s="46"/>
      <c r="K277" s="46"/>
      <c r="L277" s="46"/>
      <c r="M277" s="33">
        <f t="shared" si="247"/>
        <v>0</v>
      </c>
      <c r="N277" s="157">
        <f>IF(E277="","",IF(ISERROR(INDEX('Standard cost - Testing'!$A$1:$N$497,MATCH(RIGHT($C277,4),'Standard cost - Testing'!$A$1:$A$497,0),MATCH($E277,'Standard cost - Testing'!$K$1:$N$1,0)+10)),"NA",INDEX('Standard cost - Testing'!$A$1:$N$497,MATCH(RIGHT($C277,4),'Standard cost - Testing'!$A$1:$A$497,0),MATCH($E277,'Standard cost - Testing'!$K$1:$N$1,0)+10)))</f>
        <v>102870</v>
      </c>
      <c r="O277" s="45">
        <f>IF(OR(ISERROR($N277),$N277="",$N277="NA"),0,H277*$N277)*(1+INDEX('For Finance Control'!$B$27:$E$29,2,MATCH('Project information'!$A$4,'For Finance Control'!$B$27:$E$27,0)))</f>
        <v>0</v>
      </c>
      <c r="P277" s="45">
        <f>IF(OR(ISERROR($N277),$N277="",$N277="NA"),0,I277*$N277)*(1+INDEX('For Finance Control'!$B$27:$E$29,2,MATCH('Project information'!$A$4,'For Finance Control'!$B$27:$E$27,0)))</f>
        <v>0</v>
      </c>
      <c r="Q277" s="45">
        <f>IF(OR(ISERROR($N277),$N277="",$N277="NA"),0,J277*$N277)*(1+INDEX('For Finance Control'!$B$27:$E$29,2,MATCH('Project information'!$A$4,'For Finance Control'!$B$27:$E$27,0)))</f>
        <v>0</v>
      </c>
      <c r="R277" s="45">
        <f>IF(OR(ISERROR($N277),$N277="",$N277="NA"),0,K277*$N277)*(1+INDEX('For Finance Control'!$B$27:$E$29,2,MATCH('Project information'!$A$4,'For Finance Control'!$B$27:$E$27,0)))</f>
        <v>0</v>
      </c>
      <c r="S277" s="45">
        <f>IF(OR(ISERROR($N277),$N277="",$N277="NA"),0,L277*$N277)*(1+INDEX('For Finance Control'!$B$27:$E$29,2,MATCH('Project information'!$A$4,'For Finance Control'!$B$27:$E$27,0)))</f>
        <v>0</v>
      </c>
      <c r="T277" s="45">
        <f t="shared" si="300"/>
        <v>0</v>
      </c>
      <c r="U277" s="33" cm="1">
        <f t="array" ref="U277">IF($N277="NA","NA",$N277*INDEX('Exchange rate'!$A$1:$G$7,MATCH('Project information'!$A$13,'Exchange rate'!$A$1:$A$7,0),MATCH(LOOKUP(2,1/({"China";"Korea";"India";"Japan";"EUR";"NAO"}=$E277),{"CNY";"KRW";"INR";"JPY";"EUR";"USD"}),'Exchange rate'!$A$1:$G$1,0)))</f>
        <v>102870</v>
      </c>
      <c r="V277" s="33">
        <f t="shared" si="301"/>
        <v>0</v>
      </c>
      <c r="W277" s="33">
        <f t="shared" si="302"/>
        <v>0</v>
      </c>
      <c r="X277" s="33">
        <f t="shared" si="303"/>
        <v>0</v>
      </c>
      <c r="Y277" s="33">
        <f t="shared" si="304"/>
        <v>0</v>
      </c>
      <c r="Z277" s="33">
        <f t="shared" si="305"/>
        <v>0</v>
      </c>
      <c r="AA277" s="33">
        <f t="shared" ref="AA277:AA340" si="306">SUM(V277:Z277)</f>
        <v>0</v>
      </c>
      <c r="AB277" s="246"/>
      <c r="AC277" s="247"/>
      <c r="AZ277" s="148" t="str">
        <f t="shared" si="256"/>
        <v>5.155</v>
      </c>
      <c r="BA277" s="149" t="s">
        <v>381</v>
      </c>
    </row>
    <row r="278" spans="1:53" ht="25" outlineLevel="1">
      <c r="A278" s="148" t="str">
        <f t="shared" si="254"/>
        <v>5.156</v>
      </c>
      <c r="B278" s="148" t="str">
        <f>INDEX('Standard cost - Testing'!$A$1:$N$497,MATCH(RIGHT($C278,4),'Standard cost - Testing'!$A$1:$A$497,0),3)</f>
        <v>LVE</v>
      </c>
      <c r="C278" s="149" t="str">
        <f>'Standard cost - Testing'!B157&amp;" - "&amp;'Standard cost - Testing'!A157</f>
        <v>H.V - H024</v>
      </c>
      <c r="D278" s="150" t="str">
        <f>IF(RIGHT(INDEX('Standard cost - Testing'!$A$1:$N$497,MATCH(RIGHT($C278,4),'Standard cost - Testing'!$A$1:$A$497,0),4),1)="]",INDEX('Standard cost - Testing'!$A$1:$N$497,MATCH(RIGHT($C278,4),'Standard cost - Testing'!$A$1:$A$497,0),4),IF(INDEX('Standard cost - Testing'!$A$1:$N$497,MATCH(RIGHT($C278,4),'Standard cost - Testing'!$A$1:$A$497,0),10)=1,INDEX('Standard cost - Testing'!$A$1:$N$497,MATCH(RIGHT($C278,4),'Standard cost - Testing'!$A$1:$A$497,0),4)&amp;" [1 part]",INDEX('Standard cost - Testing'!$A$1:$N$497,MATCH(RIGHT($C278,4),'Standard cost - Testing'!$A$1:$A$497,0),4)&amp;" ["&amp;INDEX('Standard cost - Testing'!$A$1:$N$497,MATCH(RIGHT($C278,4),'Standard cost - Testing'!$A$1:$A$497,0),10)&amp;" parts]"))</f>
        <v>Global catalytic converter - water quench test [2 parts]</v>
      </c>
      <c r="E278" s="51" t="str">
        <f>IF('Project information'!$A$4="","",'Project information'!$A$4)</f>
        <v>China</v>
      </c>
      <c r="F278" s="149" t="str">
        <f>INDEX('Standard cost - Testing'!$A$1:$N$497,MATCH(RIGHT($C278,4),'Standard cost - Testing'!$A$1:$A$497,0),5)</f>
        <v>Ford</v>
      </c>
      <c r="G278" s="149" t="str">
        <f>IF($E278='Standard cost - Testing'!$F$1,INDEX('Standard cost - Testing'!$A$1:$N$497,MATCH(RIGHT($C278,4),'Standard cost - Testing'!$A$1:$A$497,0),6),INDEX('Standard cost - Testing'!$A$1:$N$497,MATCH(RIGHT($C278,4),'Standard cost - Testing'!$A$1:$A$497,0),7))</f>
        <v>CETP 09.00-E-305 5.2</v>
      </c>
      <c r="H278" s="46"/>
      <c r="I278" s="46"/>
      <c r="J278" s="46"/>
      <c r="K278" s="46"/>
      <c r="L278" s="46"/>
      <c r="M278" s="33">
        <f t="shared" si="247"/>
        <v>0</v>
      </c>
      <c r="N278" s="157">
        <f>IF(E278="","",IF(ISERROR(INDEX('Standard cost - Testing'!$A$1:$N$497,MATCH(RIGHT($C278,4),'Standard cost - Testing'!$A$1:$A$497,0),MATCH($E278,'Standard cost - Testing'!$K$1:$N$1,0)+10)),"NA",INDEX('Standard cost - Testing'!$A$1:$N$497,MATCH(RIGHT($C278,4),'Standard cost - Testing'!$A$1:$A$497,0),MATCH($E278,'Standard cost - Testing'!$K$1:$N$1,0)+10)))</f>
        <v>21166</v>
      </c>
      <c r="O278" s="45">
        <f>IF(OR(ISERROR($N278),$N278="",$N278="NA"),0,H278*$N278)*(1+INDEX('For Finance Control'!$B$27:$E$29,2,MATCH('Project information'!$A$4,'For Finance Control'!$B$27:$E$27,0)))</f>
        <v>0</v>
      </c>
      <c r="P278" s="45">
        <f>IF(OR(ISERROR($N278),$N278="",$N278="NA"),0,I278*$N278)*(1+INDEX('For Finance Control'!$B$27:$E$29,2,MATCH('Project information'!$A$4,'For Finance Control'!$B$27:$E$27,0)))</f>
        <v>0</v>
      </c>
      <c r="Q278" s="45">
        <f>IF(OR(ISERROR($N278),$N278="",$N278="NA"),0,J278*$N278)*(1+INDEX('For Finance Control'!$B$27:$E$29,2,MATCH('Project information'!$A$4,'For Finance Control'!$B$27:$E$27,0)))</f>
        <v>0</v>
      </c>
      <c r="R278" s="45">
        <f>IF(OR(ISERROR($N278),$N278="",$N278="NA"),0,K278*$N278)*(1+INDEX('For Finance Control'!$B$27:$E$29,2,MATCH('Project information'!$A$4,'For Finance Control'!$B$27:$E$27,0)))</f>
        <v>0</v>
      </c>
      <c r="S278" s="45">
        <f>IF(OR(ISERROR($N278),$N278="",$N278="NA"),0,L278*$N278)*(1+INDEX('For Finance Control'!$B$27:$E$29,2,MATCH('Project information'!$A$4,'For Finance Control'!$B$27:$E$27,0)))</f>
        <v>0</v>
      </c>
      <c r="T278" s="45">
        <f t="shared" si="300"/>
        <v>0</v>
      </c>
      <c r="U278" s="33" cm="1">
        <f t="array" ref="U278">IF($N278="NA","NA",$N278*INDEX('Exchange rate'!$A$1:$G$7,MATCH('Project information'!$A$13,'Exchange rate'!$A$1:$A$7,0),MATCH(LOOKUP(2,1/({"China";"Korea";"India";"Japan";"EUR";"NAO"}=$E278),{"CNY";"KRW";"INR";"JPY";"EUR";"USD"}),'Exchange rate'!$A$1:$G$1,0)))</f>
        <v>21166</v>
      </c>
      <c r="V278" s="33">
        <f t="shared" si="301"/>
        <v>0</v>
      </c>
      <c r="W278" s="33">
        <f t="shared" si="302"/>
        <v>0</v>
      </c>
      <c r="X278" s="33">
        <f t="shared" si="303"/>
        <v>0</v>
      </c>
      <c r="Y278" s="33">
        <f t="shared" si="304"/>
        <v>0</v>
      </c>
      <c r="Z278" s="33">
        <f t="shared" si="305"/>
        <v>0</v>
      </c>
      <c r="AA278" s="33">
        <f t="shared" si="306"/>
        <v>0</v>
      </c>
      <c r="AB278" s="246"/>
      <c r="AC278" s="247"/>
      <c r="AZ278" s="148" t="str">
        <f t="shared" si="256"/>
        <v>5.156</v>
      </c>
      <c r="BA278" s="149" t="s">
        <v>382</v>
      </c>
    </row>
    <row r="279" spans="1:53" ht="25" outlineLevel="1">
      <c r="A279" s="148" t="str">
        <f t="shared" si="254"/>
        <v>5.157</v>
      </c>
      <c r="B279" s="148" t="str">
        <f>INDEX('Standard cost - Testing'!$A$1:$N$497,MATCH(RIGHT($C279,4),'Standard cost - Testing'!$A$1:$A$497,0),3)</f>
        <v>LVE</v>
      </c>
      <c r="C279" s="149" t="str">
        <f>'Standard cost - Testing'!B158&amp;" - "&amp;'Standard cost - Testing'!A158</f>
        <v>H.V - H025</v>
      </c>
      <c r="D279" s="150" t="str">
        <f>IF(RIGHT(INDEX('Standard cost - Testing'!$A$1:$N$497,MATCH(RIGHT($C279,4),'Standard cost - Testing'!$A$1:$A$497,0),4),1)="]",INDEX('Standard cost - Testing'!$A$1:$N$497,MATCH(RIGHT($C279,4),'Standard cost - Testing'!$A$1:$A$497,0),4),IF(INDEX('Standard cost - Testing'!$A$1:$N$497,MATCH(RIGHT($C279,4),'Standard cost - Testing'!$A$1:$A$497,0),10)=1,INDEX('Standard cost - Testing'!$A$1:$N$497,MATCH(RIGHT($C279,4),'Standard cost - Testing'!$A$1:$A$497,0),4)&amp;" [1 part]",INDEX('Standard cost - Testing'!$A$1:$N$497,MATCH(RIGHT($C279,4),'Standard cost - Testing'!$A$1:$A$497,0),4)&amp;" ["&amp;INDEX('Standard cost - Testing'!$A$1:$N$497,MATCH(RIGHT($C279,4),'Standard cost - Testing'!$A$1:$A$497,0),10)&amp;" parts]"))</f>
        <v>Canning validation - Gasoline [2 parts]</v>
      </c>
      <c r="E279" s="51" t="str">
        <f>IF('Project information'!$A$4="","",'Project information'!$A$4)</f>
        <v>China</v>
      </c>
      <c r="F279" s="149" t="str">
        <f>INDEX('Standard cost - Testing'!$A$1:$N$497,MATCH(RIGHT($C279,4),'Standard cost - Testing'!$A$1:$A$497,0),5)</f>
        <v>PSA</v>
      </c>
      <c r="G279" s="149" t="str">
        <f>IF($E279='Standard cost - Testing'!$F$1,INDEX('Standard cost - Testing'!$A$1:$N$497,MATCH(RIGHT($C279,4),'Standard cost - Testing'!$A$1:$A$497,0),6),INDEX('Standard cost - Testing'!$A$1:$N$497,MATCH(RIGHT($C279,4),'Standard cost - Testing'!$A$1:$A$497,0),7))</f>
        <v>B22 3210 - Simplified version</v>
      </c>
      <c r="H279" s="46"/>
      <c r="I279" s="46"/>
      <c r="J279" s="46"/>
      <c r="K279" s="46"/>
      <c r="L279" s="46"/>
      <c r="M279" s="33">
        <f t="shared" si="247"/>
        <v>0</v>
      </c>
      <c r="N279" s="157">
        <f>IF(E279="","",IF(ISERROR(INDEX('Standard cost - Testing'!$A$1:$N$497,MATCH(RIGHT($C279,4),'Standard cost - Testing'!$A$1:$A$497,0),MATCH($E279,'Standard cost - Testing'!$K$1:$N$1,0)+10)),"NA",INDEX('Standard cost - Testing'!$A$1:$N$497,MATCH(RIGHT($C279,4),'Standard cost - Testing'!$A$1:$A$497,0),MATCH($E279,'Standard cost - Testing'!$K$1:$N$1,0)+10)))</f>
        <v>71511</v>
      </c>
      <c r="O279" s="45">
        <f>IF(OR(ISERROR($N279),$N279="",$N279="NA"),0,H279*$N279)*(1+INDEX('For Finance Control'!$B$27:$E$29,2,MATCH('Project information'!$A$4,'For Finance Control'!$B$27:$E$27,0)))</f>
        <v>0</v>
      </c>
      <c r="P279" s="45">
        <f>IF(OR(ISERROR($N279),$N279="",$N279="NA"),0,I279*$N279)*(1+INDEX('For Finance Control'!$B$27:$E$29,2,MATCH('Project information'!$A$4,'For Finance Control'!$B$27:$E$27,0)))</f>
        <v>0</v>
      </c>
      <c r="Q279" s="45">
        <f>IF(OR(ISERROR($N279),$N279="",$N279="NA"),0,J279*$N279)*(1+INDEX('For Finance Control'!$B$27:$E$29,2,MATCH('Project information'!$A$4,'For Finance Control'!$B$27:$E$27,0)))</f>
        <v>0</v>
      </c>
      <c r="R279" s="45">
        <f>IF(OR(ISERROR($N279),$N279="",$N279="NA"),0,K279*$N279)*(1+INDEX('For Finance Control'!$B$27:$E$29,2,MATCH('Project information'!$A$4,'For Finance Control'!$B$27:$E$27,0)))</f>
        <v>0</v>
      </c>
      <c r="S279" s="45">
        <f>IF(OR(ISERROR($N279),$N279="",$N279="NA"),0,L279*$N279)*(1+INDEX('For Finance Control'!$B$27:$E$29,2,MATCH('Project information'!$A$4,'For Finance Control'!$B$27:$E$27,0)))</f>
        <v>0</v>
      </c>
      <c r="T279" s="45">
        <f t="shared" si="300"/>
        <v>0</v>
      </c>
      <c r="U279" s="33" cm="1">
        <f t="array" ref="U279">IF($N279="NA","NA",$N279*INDEX('Exchange rate'!$A$1:$G$7,MATCH('Project information'!$A$13,'Exchange rate'!$A$1:$A$7,0),MATCH(LOOKUP(2,1/({"China";"Korea";"India";"Japan";"EUR";"NAO"}=$E279),{"CNY";"KRW";"INR";"JPY";"EUR";"USD"}),'Exchange rate'!$A$1:$G$1,0)))</f>
        <v>71511</v>
      </c>
      <c r="V279" s="33">
        <f t="shared" si="301"/>
        <v>0</v>
      </c>
      <c r="W279" s="33">
        <f t="shared" si="302"/>
        <v>0</v>
      </c>
      <c r="X279" s="33">
        <f t="shared" si="303"/>
        <v>0</v>
      </c>
      <c r="Y279" s="33">
        <f t="shared" si="304"/>
        <v>0</v>
      </c>
      <c r="Z279" s="33">
        <f t="shared" si="305"/>
        <v>0</v>
      </c>
      <c r="AA279" s="33">
        <f t="shared" si="306"/>
        <v>0</v>
      </c>
      <c r="AB279" s="246"/>
      <c r="AC279" s="247"/>
      <c r="AZ279" s="148" t="str">
        <f t="shared" si="256"/>
        <v>5.157</v>
      </c>
      <c r="BA279" s="149" t="s">
        <v>383</v>
      </c>
    </row>
    <row r="280" spans="1:53" ht="25" outlineLevel="1">
      <c r="A280" s="148" t="str">
        <f t="shared" si="254"/>
        <v>5.158</v>
      </c>
      <c r="B280" s="148" t="str">
        <f>INDEX('Standard cost - Testing'!$A$1:$N$497,MATCH(RIGHT($C280,4),'Standard cost - Testing'!$A$1:$A$497,0),3)</f>
        <v>LVE</v>
      </c>
      <c r="C280" s="149" t="str">
        <f>'Standard cost - Testing'!B159&amp;" - "&amp;'Standard cost - Testing'!A159</f>
        <v>H.V - H026</v>
      </c>
      <c r="D280" s="150" t="str">
        <f>IF(RIGHT(INDEX('Standard cost - Testing'!$A$1:$N$497,MATCH(RIGHT($C280,4),'Standard cost - Testing'!$A$1:$A$497,0),4),1)="]",INDEX('Standard cost - Testing'!$A$1:$N$497,MATCH(RIGHT($C280,4),'Standard cost - Testing'!$A$1:$A$497,0),4),IF(INDEX('Standard cost - Testing'!$A$1:$N$497,MATCH(RIGHT($C280,4),'Standard cost - Testing'!$A$1:$A$497,0),10)=1,INDEX('Standard cost - Testing'!$A$1:$N$497,MATCH(RIGHT($C280,4),'Standard cost - Testing'!$A$1:$A$497,0),4)&amp;" [1 part]",INDEX('Standard cost - Testing'!$A$1:$N$497,MATCH(RIGHT($C280,4),'Standard cost - Testing'!$A$1:$A$497,0),4)&amp;" ["&amp;INDEX('Standard cost - Testing'!$A$1:$N$497,MATCH(RIGHT($C280,4),'Standard cost - Testing'!$A$1:$A$497,0),10)&amp;" parts]"))</f>
        <v>Canning validation - gasoline - DV [2 parts]</v>
      </c>
      <c r="E280" s="51" t="str">
        <f>IF('Project information'!$A$4="","",'Project information'!$A$4)</f>
        <v>China</v>
      </c>
      <c r="F280" s="149" t="str">
        <f>INDEX('Standard cost - Testing'!$A$1:$N$497,MATCH(RIGHT($C280,4),'Standard cost - Testing'!$A$1:$A$497,0),5)</f>
        <v>PSA</v>
      </c>
      <c r="G280" s="149" t="str">
        <f>IF($E280='Standard cost - Testing'!$F$1,INDEX('Standard cost - Testing'!$A$1:$N$497,MATCH(RIGHT($C280,4),'Standard cost - Testing'!$A$1:$A$497,0),6),INDEX('Standard cost - Testing'!$A$1:$N$497,MATCH(RIGHT($C280,4),'Standard cost - Testing'!$A$1:$A$497,0),7))</f>
        <v>B22 3210</v>
      </c>
      <c r="H280" s="46"/>
      <c r="I280" s="46"/>
      <c r="J280" s="46"/>
      <c r="K280" s="46"/>
      <c r="L280" s="46"/>
      <c r="M280" s="33">
        <f t="shared" si="247"/>
        <v>0</v>
      </c>
      <c r="N280" s="157">
        <f>IF(E280="","",IF(ISERROR(INDEX('Standard cost - Testing'!$A$1:$N$497,MATCH(RIGHT($C280,4),'Standard cost - Testing'!$A$1:$A$497,0),MATCH($E280,'Standard cost - Testing'!$K$1:$N$1,0)+10)),"NA",INDEX('Standard cost - Testing'!$A$1:$N$497,MATCH(RIGHT($C280,4),'Standard cost - Testing'!$A$1:$A$497,0),MATCH($E280,'Standard cost - Testing'!$K$1:$N$1,0)+10)))</f>
        <v>112174</v>
      </c>
      <c r="O280" s="45">
        <f>IF(OR(ISERROR($N280),$N280="",$N280="NA"),0,H280*$N280)*(1+INDEX('For Finance Control'!$B$27:$E$29,2,MATCH('Project information'!$A$4,'For Finance Control'!$B$27:$E$27,0)))</f>
        <v>0</v>
      </c>
      <c r="P280" s="45">
        <f>IF(OR(ISERROR($N280),$N280="",$N280="NA"),0,I280*$N280)*(1+INDEX('For Finance Control'!$B$27:$E$29,2,MATCH('Project information'!$A$4,'For Finance Control'!$B$27:$E$27,0)))</f>
        <v>0</v>
      </c>
      <c r="Q280" s="45">
        <f>IF(OR(ISERROR($N280),$N280="",$N280="NA"),0,J280*$N280)*(1+INDEX('For Finance Control'!$B$27:$E$29,2,MATCH('Project information'!$A$4,'For Finance Control'!$B$27:$E$27,0)))</f>
        <v>0</v>
      </c>
      <c r="R280" s="45">
        <f>IF(OR(ISERROR($N280),$N280="",$N280="NA"),0,K280*$N280)*(1+INDEX('For Finance Control'!$B$27:$E$29,2,MATCH('Project information'!$A$4,'For Finance Control'!$B$27:$E$27,0)))</f>
        <v>0</v>
      </c>
      <c r="S280" s="45">
        <f>IF(OR(ISERROR($N280),$N280="",$N280="NA"),0,L280*$N280)*(1+INDEX('For Finance Control'!$B$27:$E$29,2,MATCH('Project information'!$A$4,'For Finance Control'!$B$27:$E$27,0)))</f>
        <v>0</v>
      </c>
      <c r="T280" s="45">
        <f t="shared" si="300"/>
        <v>0</v>
      </c>
      <c r="U280" s="33" cm="1">
        <f t="array" ref="U280">IF($N280="NA","NA",$N280*INDEX('Exchange rate'!$A$1:$G$7,MATCH('Project information'!$A$13,'Exchange rate'!$A$1:$A$7,0),MATCH(LOOKUP(2,1/({"China";"Korea";"India";"Japan";"EUR";"NAO"}=$E280),{"CNY";"KRW";"INR";"JPY";"EUR";"USD"}),'Exchange rate'!$A$1:$G$1,0)))</f>
        <v>112174</v>
      </c>
      <c r="V280" s="33">
        <f t="shared" si="301"/>
        <v>0</v>
      </c>
      <c r="W280" s="33">
        <f t="shared" si="302"/>
        <v>0</v>
      </c>
      <c r="X280" s="33">
        <f t="shared" si="303"/>
        <v>0</v>
      </c>
      <c r="Y280" s="33">
        <f t="shared" si="304"/>
        <v>0</v>
      </c>
      <c r="Z280" s="33">
        <f t="shared" si="305"/>
        <v>0</v>
      </c>
      <c r="AA280" s="33">
        <f t="shared" si="306"/>
        <v>0</v>
      </c>
      <c r="AB280" s="246"/>
      <c r="AC280" s="247"/>
      <c r="AZ280" s="148" t="str">
        <f t="shared" si="256"/>
        <v>5.158</v>
      </c>
      <c r="BA280" s="149" t="s">
        <v>384</v>
      </c>
    </row>
    <row r="281" spans="1:53" ht="25" outlineLevel="1">
      <c r="A281" s="148" t="str">
        <f t="shared" si="254"/>
        <v>5.159</v>
      </c>
      <c r="B281" s="148" t="str">
        <f>INDEX('Standard cost - Testing'!$A$1:$N$497,MATCH(RIGHT($C281,4),'Standard cost - Testing'!$A$1:$A$497,0),3)</f>
        <v>LVE</v>
      </c>
      <c r="C281" s="149" t="str">
        <f>'Standard cost - Testing'!B160&amp;" - "&amp;'Standard cost - Testing'!A160</f>
        <v>H.V - H027</v>
      </c>
      <c r="D281" s="150" t="str">
        <f>IF(RIGHT(INDEX('Standard cost - Testing'!$A$1:$N$497,MATCH(RIGHT($C281,4),'Standard cost - Testing'!$A$1:$A$497,0),4),1)="]",INDEX('Standard cost - Testing'!$A$1:$N$497,MATCH(RIGHT($C281,4),'Standard cost - Testing'!$A$1:$A$497,0),4),IF(INDEX('Standard cost - Testing'!$A$1:$N$497,MATCH(RIGHT($C281,4),'Standard cost - Testing'!$A$1:$A$497,0),10)=1,INDEX('Standard cost - Testing'!$A$1:$N$497,MATCH(RIGHT($C281,4),'Standard cost - Testing'!$A$1:$A$497,0),4)&amp;" [1 part]",INDEX('Standard cost - Testing'!$A$1:$N$497,MATCH(RIGHT($C281,4),'Standard cost - Testing'!$A$1:$A$497,0),4)&amp;" ["&amp;INDEX('Standard cost - Testing'!$A$1:$N$497,MATCH(RIGHT($C281,4),'Standard cost - Testing'!$A$1:$A$497,0),10)&amp;" parts]"))</f>
        <v>Canning validation - gasoline - PV [5 parts]</v>
      </c>
      <c r="E281" s="51" t="str">
        <f>IF('Project information'!$A$4="","",'Project information'!$A$4)</f>
        <v>China</v>
      </c>
      <c r="F281" s="149" t="str">
        <f>INDEX('Standard cost - Testing'!$A$1:$N$497,MATCH(RIGHT($C281,4),'Standard cost - Testing'!$A$1:$A$497,0),5)</f>
        <v>PSA</v>
      </c>
      <c r="G281" s="149" t="str">
        <f>IF($E281='Standard cost - Testing'!$F$1,INDEX('Standard cost - Testing'!$A$1:$N$497,MATCH(RIGHT($C281,4),'Standard cost - Testing'!$A$1:$A$497,0),6),INDEX('Standard cost - Testing'!$A$1:$N$497,MATCH(RIGHT($C281,4),'Standard cost - Testing'!$A$1:$A$497,0),7))</f>
        <v>B22 3210</v>
      </c>
      <c r="H281" s="46"/>
      <c r="I281" s="46"/>
      <c r="J281" s="46"/>
      <c r="K281" s="46"/>
      <c r="L281" s="46"/>
      <c r="M281" s="33">
        <f t="shared" si="247"/>
        <v>0</v>
      </c>
      <c r="N281" s="157">
        <f>IF(E281="","",IF(ISERROR(INDEX('Standard cost - Testing'!$A$1:$N$497,MATCH(RIGHT($C281,4),'Standard cost - Testing'!$A$1:$A$497,0),MATCH($E281,'Standard cost - Testing'!$K$1:$N$1,0)+10)),"NA",INDEX('Standard cost - Testing'!$A$1:$N$497,MATCH(RIGHT($C281,4),'Standard cost - Testing'!$A$1:$A$497,0),MATCH($E281,'Standard cost - Testing'!$K$1:$N$1,0)+10)))</f>
        <v>272563</v>
      </c>
      <c r="O281" s="45">
        <f>IF(OR(ISERROR($N281),$N281="",$N281="NA"),0,H281*$N281)*(1+INDEX('For Finance Control'!$B$27:$E$29,2,MATCH('Project information'!$A$4,'For Finance Control'!$B$27:$E$27,0)))</f>
        <v>0</v>
      </c>
      <c r="P281" s="45">
        <f>IF(OR(ISERROR($N281),$N281="",$N281="NA"),0,I281*$N281)*(1+INDEX('For Finance Control'!$B$27:$E$29,2,MATCH('Project information'!$A$4,'For Finance Control'!$B$27:$E$27,0)))</f>
        <v>0</v>
      </c>
      <c r="Q281" s="45">
        <f>IF(OR(ISERROR($N281),$N281="",$N281="NA"),0,J281*$N281)*(1+INDEX('For Finance Control'!$B$27:$E$29,2,MATCH('Project information'!$A$4,'For Finance Control'!$B$27:$E$27,0)))</f>
        <v>0</v>
      </c>
      <c r="R281" s="45">
        <f>IF(OR(ISERROR($N281),$N281="",$N281="NA"),0,K281*$N281)*(1+INDEX('For Finance Control'!$B$27:$E$29,2,MATCH('Project information'!$A$4,'For Finance Control'!$B$27:$E$27,0)))</f>
        <v>0</v>
      </c>
      <c r="S281" s="45">
        <f>IF(OR(ISERROR($N281),$N281="",$N281="NA"),0,L281*$N281)*(1+INDEX('For Finance Control'!$B$27:$E$29,2,MATCH('Project information'!$A$4,'For Finance Control'!$B$27:$E$27,0)))</f>
        <v>0</v>
      </c>
      <c r="T281" s="45">
        <f t="shared" si="300"/>
        <v>0</v>
      </c>
      <c r="U281" s="33" cm="1">
        <f t="array" ref="U281">IF($N281="NA","NA",$N281*INDEX('Exchange rate'!$A$1:$G$7,MATCH('Project information'!$A$13,'Exchange rate'!$A$1:$A$7,0),MATCH(LOOKUP(2,1/({"China";"Korea";"India";"Japan";"EUR";"NAO"}=$E281),{"CNY";"KRW";"INR";"JPY";"EUR";"USD"}),'Exchange rate'!$A$1:$G$1,0)))</f>
        <v>272563</v>
      </c>
      <c r="V281" s="33">
        <f t="shared" si="301"/>
        <v>0</v>
      </c>
      <c r="W281" s="33">
        <f t="shared" si="302"/>
        <v>0</v>
      </c>
      <c r="X281" s="33">
        <f t="shared" si="303"/>
        <v>0</v>
      </c>
      <c r="Y281" s="33">
        <f t="shared" si="304"/>
        <v>0</v>
      </c>
      <c r="Z281" s="33">
        <f t="shared" si="305"/>
        <v>0</v>
      </c>
      <c r="AA281" s="33">
        <f t="shared" si="306"/>
        <v>0</v>
      </c>
      <c r="AB281" s="246"/>
      <c r="AC281" s="247"/>
      <c r="AZ281" s="148" t="str">
        <f t="shared" si="256"/>
        <v>5.159</v>
      </c>
      <c r="BA281" s="149" t="s">
        <v>384</v>
      </c>
    </row>
    <row r="282" spans="1:53" ht="25" outlineLevel="1">
      <c r="A282" s="148" t="str">
        <f t="shared" si="254"/>
        <v>5.160</v>
      </c>
      <c r="B282" s="148" t="str">
        <f>INDEX('Standard cost - Testing'!$A$1:$N$497,MATCH(RIGHT($C282,4),'Standard cost - Testing'!$A$1:$A$497,0),3)</f>
        <v>LVE</v>
      </c>
      <c r="C282" s="149" t="str">
        <f>'Standard cost - Testing'!B161&amp;" - "&amp;'Standard cost - Testing'!A161</f>
        <v>H.V - H028</v>
      </c>
      <c r="D282" s="150" t="str">
        <f>IF(RIGHT(INDEX('Standard cost - Testing'!$A$1:$N$497,MATCH(RIGHT($C282,4),'Standard cost - Testing'!$A$1:$A$497,0),4),1)="]",INDEX('Standard cost - Testing'!$A$1:$N$497,MATCH(RIGHT($C282,4),'Standard cost - Testing'!$A$1:$A$497,0),4),IF(INDEX('Standard cost - Testing'!$A$1:$N$497,MATCH(RIGHT($C282,4),'Standard cost - Testing'!$A$1:$A$497,0),10)=1,INDEX('Standard cost - Testing'!$A$1:$N$497,MATCH(RIGHT($C282,4),'Standard cost - Testing'!$A$1:$A$497,0),4)&amp;" [1 part]",INDEX('Standard cost - Testing'!$A$1:$N$497,MATCH(RIGHT($C282,4),'Standard cost - Testing'!$A$1:$A$497,0),4)&amp;" ["&amp;INDEX('Standard cost - Testing'!$A$1:$N$497,MATCH(RIGHT($C282,4),'Standard cost - Testing'!$A$1:$A$497,0),10)&amp;" parts]"))</f>
        <v>Catalytic converter &amp; pipe heat shield structural durability [1 part]</v>
      </c>
      <c r="E282" s="51" t="str">
        <f>IF('Project information'!$A$4="","",'Project information'!$A$4)</f>
        <v>China</v>
      </c>
      <c r="F282" s="149" t="str">
        <f>INDEX('Standard cost - Testing'!$A$1:$N$497,MATCH(RIGHT($C282,4),'Standard cost - Testing'!$A$1:$A$497,0),5)</f>
        <v>Ford</v>
      </c>
      <c r="G282" s="149" t="str">
        <f>IF($E282='Standard cost - Testing'!$F$1,INDEX('Standard cost - Testing'!$A$1:$N$497,MATCH(RIGHT($C282,4),'Standard cost - Testing'!$A$1:$A$497,0),6),INDEX('Standard cost - Testing'!$A$1:$N$497,MATCH(RIGHT($C282,4),'Standard cost - Testing'!$A$1:$A$497,0),7))</f>
        <v>CETP 09.00-L-306</v>
      </c>
      <c r="H282" s="46"/>
      <c r="I282" s="46"/>
      <c r="J282" s="46"/>
      <c r="K282" s="46"/>
      <c r="L282" s="46"/>
      <c r="M282" s="33">
        <f t="shared" si="247"/>
        <v>0</v>
      </c>
      <c r="N282" s="157">
        <f>IF(E282="","",IF(ISERROR(INDEX('Standard cost - Testing'!$A$1:$N$497,MATCH(RIGHT($C282,4),'Standard cost - Testing'!$A$1:$A$497,0),MATCH($E282,'Standard cost - Testing'!$K$1:$N$1,0)+10)),"NA",INDEX('Standard cost - Testing'!$A$1:$N$497,MATCH(RIGHT($C282,4),'Standard cost - Testing'!$A$1:$A$497,0),MATCH($E282,'Standard cost - Testing'!$K$1:$N$1,0)+10)))</f>
        <v>29812</v>
      </c>
      <c r="O282" s="45">
        <f>IF(OR(ISERROR($N282),$N282="",$N282="NA"),0,H282*$N282)*(1+INDEX('For Finance Control'!$B$27:$E$29,2,MATCH('Project information'!$A$4,'For Finance Control'!$B$27:$E$27,0)))</f>
        <v>0</v>
      </c>
      <c r="P282" s="45">
        <f>IF(OR(ISERROR($N282),$N282="",$N282="NA"),0,I282*$N282)*(1+INDEX('For Finance Control'!$B$27:$E$29,2,MATCH('Project information'!$A$4,'For Finance Control'!$B$27:$E$27,0)))</f>
        <v>0</v>
      </c>
      <c r="Q282" s="45">
        <f>IF(OR(ISERROR($N282),$N282="",$N282="NA"),0,J282*$N282)*(1+INDEX('For Finance Control'!$B$27:$E$29,2,MATCH('Project information'!$A$4,'For Finance Control'!$B$27:$E$27,0)))</f>
        <v>0</v>
      </c>
      <c r="R282" s="45">
        <f>IF(OR(ISERROR($N282),$N282="",$N282="NA"),0,K282*$N282)*(1+INDEX('For Finance Control'!$B$27:$E$29,2,MATCH('Project information'!$A$4,'For Finance Control'!$B$27:$E$27,0)))</f>
        <v>0</v>
      </c>
      <c r="S282" s="45">
        <f>IF(OR(ISERROR($N282),$N282="",$N282="NA"),0,L282*$N282)*(1+INDEX('For Finance Control'!$B$27:$E$29,2,MATCH('Project information'!$A$4,'For Finance Control'!$B$27:$E$27,0)))</f>
        <v>0</v>
      </c>
      <c r="T282" s="45">
        <f t="shared" si="300"/>
        <v>0</v>
      </c>
      <c r="U282" s="33" cm="1">
        <f t="array" ref="U282">IF($N282="NA","NA",$N282*INDEX('Exchange rate'!$A$1:$G$7,MATCH('Project information'!$A$13,'Exchange rate'!$A$1:$A$7,0),MATCH(LOOKUP(2,1/({"China";"Korea";"India";"Japan";"EUR";"NAO"}=$E282),{"CNY";"KRW";"INR";"JPY";"EUR";"USD"}),'Exchange rate'!$A$1:$G$1,0)))</f>
        <v>29812</v>
      </c>
      <c r="V282" s="33">
        <f t="shared" si="301"/>
        <v>0</v>
      </c>
      <c r="W282" s="33">
        <f t="shared" si="302"/>
        <v>0</v>
      </c>
      <c r="X282" s="33">
        <f t="shared" si="303"/>
        <v>0</v>
      </c>
      <c r="Y282" s="33">
        <f t="shared" si="304"/>
        <v>0</v>
      </c>
      <c r="Z282" s="33">
        <f t="shared" si="305"/>
        <v>0</v>
      </c>
      <c r="AA282" s="33">
        <f t="shared" si="306"/>
        <v>0</v>
      </c>
      <c r="AB282" s="246"/>
      <c r="AC282" s="247"/>
      <c r="AZ282" s="148" t="str">
        <f t="shared" si="256"/>
        <v>5.160</v>
      </c>
      <c r="BA282" s="149" t="s">
        <v>385</v>
      </c>
    </row>
    <row r="283" spans="1:53" ht="25" outlineLevel="1">
      <c r="A283" s="148" t="str">
        <f t="shared" si="254"/>
        <v>5.161</v>
      </c>
      <c r="B283" s="148" t="str">
        <f>INDEX('Standard cost - Testing'!$A$1:$N$497,MATCH(RIGHT($C283,4),'Standard cost - Testing'!$A$1:$A$497,0),3)</f>
        <v>LVE</v>
      </c>
      <c r="C283" s="149" t="str">
        <f>'Standard cost - Testing'!B162&amp;" - "&amp;'Standard cost - Testing'!A162</f>
        <v>H.V - H029</v>
      </c>
      <c r="D283" s="150" t="str">
        <f>IF(RIGHT(INDEX('Standard cost - Testing'!$A$1:$N$497,MATCH(RIGHT($C283,4),'Standard cost - Testing'!$A$1:$A$497,0),4),1)="]",INDEX('Standard cost - Testing'!$A$1:$N$497,MATCH(RIGHT($C283,4),'Standard cost - Testing'!$A$1:$A$497,0),4),IF(INDEX('Standard cost - Testing'!$A$1:$N$497,MATCH(RIGHT($C283,4),'Standard cost - Testing'!$A$1:$A$497,0),10)=1,INDEX('Standard cost - Testing'!$A$1:$N$497,MATCH(RIGHT($C283,4),'Standard cost - Testing'!$A$1:$A$497,0),4)&amp;" [1 part]",INDEX('Standard cost - Testing'!$A$1:$N$497,MATCH(RIGHT($C283,4),'Standard cost - Testing'!$A$1:$A$497,0),4)&amp;" ["&amp;INDEX('Standard cost - Testing'!$A$1:$N$497,MATCH(RIGHT($C283,4),'Standard cost - Testing'!$A$1:$A$497,0),10)&amp;" parts]"))</f>
        <v>Catalytic converter water quench Key Life Test (KLT) [1 part]</v>
      </c>
      <c r="E283" s="51" t="str">
        <f>IF('Project information'!$A$4="","",'Project information'!$A$4)</f>
        <v>China</v>
      </c>
      <c r="F283" s="149" t="str">
        <f>INDEX('Standard cost - Testing'!$A$1:$N$497,MATCH(RIGHT($C283,4),'Standard cost - Testing'!$A$1:$A$497,0),5)</f>
        <v>Ford</v>
      </c>
      <c r="G283" s="149" t="str">
        <f>IF($E283='Standard cost - Testing'!$F$1,INDEX('Standard cost - Testing'!$A$1:$N$497,MATCH(RIGHT($C283,4),'Standard cost - Testing'!$A$1:$A$497,0),6),INDEX('Standard cost - Testing'!$A$1:$N$497,MATCH(RIGHT($C283,4),'Standard cost - Testing'!$A$1:$A$497,0),7))</f>
        <v>CETP 09.02-E-303</v>
      </c>
      <c r="H283" s="46"/>
      <c r="I283" s="46"/>
      <c r="J283" s="46"/>
      <c r="K283" s="46"/>
      <c r="L283" s="46"/>
      <c r="M283" s="33">
        <f t="shared" si="247"/>
        <v>0</v>
      </c>
      <c r="N283" s="157">
        <f>IF(E283="","",IF(ISERROR(INDEX('Standard cost - Testing'!$A$1:$N$497,MATCH(RIGHT($C283,4),'Standard cost - Testing'!$A$1:$A$497,0),MATCH($E283,'Standard cost - Testing'!$K$1:$N$1,0)+10)),"NA",INDEX('Standard cost - Testing'!$A$1:$N$497,MATCH(RIGHT($C283,4),'Standard cost - Testing'!$A$1:$A$497,0),MATCH($E283,'Standard cost - Testing'!$K$1:$N$1,0)+10)))</f>
        <v>15428.6</v>
      </c>
      <c r="O283" s="45">
        <f>IF(OR(ISERROR($N283),$N283="",$N283="NA"),0,H283*$N283)*(1+INDEX('For Finance Control'!$B$27:$E$29,2,MATCH('Project information'!$A$4,'For Finance Control'!$B$27:$E$27,0)))</f>
        <v>0</v>
      </c>
      <c r="P283" s="45">
        <f>IF(OR(ISERROR($N283),$N283="",$N283="NA"),0,I283*$N283)*(1+INDEX('For Finance Control'!$B$27:$E$29,2,MATCH('Project information'!$A$4,'For Finance Control'!$B$27:$E$27,0)))</f>
        <v>0</v>
      </c>
      <c r="Q283" s="45">
        <f>IF(OR(ISERROR($N283),$N283="",$N283="NA"),0,J283*$N283)*(1+INDEX('For Finance Control'!$B$27:$E$29,2,MATCH('Project information'!$A$4,'For Finance Control'!$B$27:$E$27,0)))</f>
        <v>0</v>
      </c>
      <c r="R283" s="45">
        <f>IF(OR(ISERROR($N283),$N283="",$N283="NA"),0,K283*$N283)*(1+INDEX('For Finance Control'!$B$27:$E$29,2,MATCH('Project information'!$A$4,'For Finance Control'!$B$27:$E$27,0)))</f>
        <v>0</v>
      </c>
      <c r="S283" s="45">
        <f>IF(OR(ISERROR($N283),$N283="",$N283="NA"),0,L283*$N283)*(1+INDEX('For Finance Control'!$B$27:$E$29,2,MATCH('Project information'!$A$4,'For Finance Control'!$B$27:$E$27,0)))</f>
        <v>0</v>
      </c>
      <c r="T283" s="45">
        <f t="shared" si="300"/>
        <v>0</v>
      </c>
      <c r="U283" s="33" cm="1">
        <f t="array" ref="U283">IF($N283="NA","NA",$N283*INDEX('Exchange rate'!$A$1:$G$7,MATCH('Project information'!$A$13,'Exchange rate'!$A$1:$A$7,0),MATCH(LOOKUP(2,1/({"China";"Korea";"India";"Japan";"EUR";"NAO"}=$E283),{"CNY";"KRW";"INR";"JPY";"EUR";"USD"}),'Exchange rate'!$A$1:$G$1,0)))</f>
        <v>15428.6</v>
      </c>
      <c r="V283" s="33">
        <f t="shared" si="301"/>
        <v>0</v>
      </c>
      <c r="W283" s="33">
        <f t="shared" si="302"/>
        <v>0</v>
      </c>
      <c r="X283" s="33">
        <f t="shared" si="303"/>
        <v>0</v>
      </c>
      <c r="Y283" s="33">
        <f t="shared" si="304"/>
        <v>0</v>
      </c>
      <c r="Z283" s="33">
        <f t="shared" si="305"/>
        <v>0</v>
      </c>
      <c r="AA283" s="33">
        <f t="shared" si="306"/>
        <v>0</v>
      </c>
      <c r="AB283" s="246"/>
      <c r="AC283" s="247"/>
      <c r="AZ283" s="148" t="str">
        <f t="shared" si="256"/>
        <v>5.161</v>
      </c>
      <c r="BA283" s="149" t="s">
        <v>386</v>
      </c>
    </row>
    <row r="284" spans="1:53" ht="25" outlineLevel="1">
      <c r="A284" s="148" t="str">
        <f t="shared" si="254"/>
        <v>5.162</v>
      </c>
      <c r="B284" s="148" t="str">
        <f>INDEX('Standard cost - Testing'!$A$1:$N$497,MATCH(RIGHT($C284,4),'Standard cost - Testing'!$A$1:$A$497,0),3)</f>
        <v>LVE</v>
      </c>
      <c r="C284" s="149" t="str">
        <f>'Standard cost - Testing'!B163&amp;" - "&amp;'Standard cost - Testing'!A163</f>
        <v>H.V - H030</v>
      </c>
      <c r="D284" s="150" t="str">
        <f>IF(RIGHT(INDEX('Standard cost - Testing'!$A$1:$N$497,MATCH(RIGHT($C284,4),'Standard cost - Testing'!$A$1:$A$497,0),4),1)="]",INDEX('Standard cost - Testing'!$A$1:$N$497,MATCH(RIGHT($C284,4),'Standard cost - Testing'!$A$1:$A$497,0),4),IF(INDEX('Standard cost - Testing'!$A$1:$N$497,MATCH(RIGHT($C284,4),'Standard cost - Testing'!$A$1:$A$497,0),10)=1,INDEX('Standard cost - Testing'!$A$1:$N$497,MATCH(RIGHT($C284,4),'Standard cost - Testing'!$A$1:$A$497,0),4)&amp;" [1 part]",INDEX('Standard cost - Testing'!$A$1:$N$497,MATCH(RIGHT($C284,4),'Standard cost - Testing'!$A$1:$A$497,0),4)&amp;" ["&amp;INDEX('Standard cost - Testing'!$A$1:$N$497,MATCH(RIGHT($C284,4),'Standard cost - Testing'!$A$1:$A$497,0),10)&amp;" parts]"))</f>
        <v>Catalytic converter hot vibration Key Life Test (KLT) [1 part]</v>
      </c>
      <c r="E284" s="51" t="str">
        <f>IF('Project information'!$A$4="","",'Project information'!$A$4)</f>
        <v>China</v>
      </c>
      <c r="F284" s="149" t="str">
        <f>INDEX('Standard cost - Testing'!$A$1:$N$497,MATCH(RIGHT($C284,4),'Standard cost - Testing'!$A$1:$A$497,0),5)</f>
        <v>Ford</v>
      </c>
      <c r="G284" s="149" t="str">
        <f>IF($E284='Standard cost - Testing'!$F$1,INDEX('Standard cost - Testing'!$A$1:$N$497,MATCH(RIGHT($C284,4),'Standard cost - Testing'!$A$1:$A$497,0),6),INDEX('Standard cost - Testing'!$A$1:$N$497,MATCH(RIGHT($C284,4),'Standard cost - Testing'!$A$1:$A$497,0),7))</f>
        <v>CETP 09.02-E-304</v>
      </c>
      <c r="H284" s="46"/>
      <c r="I284" s="46"/>
      <c r="J284" s="46"/>
      <c r="K284" s="46"/>
      <c r="L284" s="46"/>
      <c r="M284" s="33">
        <f t="shared" si="247"/>
        <v>0</v>
      </c>
      <c r="N284" s="157">
        <f>IF(E284="","",IF(ISERROR(INDEX('Standard cost - Testing'!$A$1:$N$497,MATCH(RIGHT($C284,4),'Standard cost - Testing'!$A$1:$A$497,0),MATCH($E284,'Standard cost - Testing'!$K$1:$N$1,0)+10)),"NA",INDEX('Standard cost - Testing'!$A$1:$N$497,MATCH(RIGHT($C284,4),'Standard cost - Testing'!$A$1:$A$497,0),MATCH($E284,'Standard cost - Testing'!$K$1:$N$1,0)+10)))</f>
        <v>24003</v>
      </c>
      <c r="O284" s="45">
        <f>IF(OR(ISERROR($N284),$N284="",$N284="NA"),0,H284*$N284)*(1+INDEX('For Finance Control'!$B$27:$E$29,2,MATCH('Project information'!$A$4,'For Finance Control'!$B$27:$E$27,0)))</f>
        <v>0</v>
      </c>
      <c r="P284" s="45">
        <f>IF(OR(ISERROR($N284),$N284="",$N284="NA"),0,I284*$N284)*(1+INDEX('For Finance Control'!$B$27:$E$29,2,MATCH('Project information'!$A$4,'For Finance Control'!$B$27:$E$27,0)))</f>
        <v>0</v>
      </c>
      <c r="Q284" s="45">
        <f>IF(OR(ISERROR($N284),$N284="",$N284="NA"),0,J284*$N284)*(1+INDEX('For Finance Control'!$B$27:$E$29,2,MATCH('Project information'!$A$4,'For Finance Control'!$B$27:$E$27,0)))</f>
        <v>0</v>
      </c>
      <c r="R284" s="45">
        <f>IF(OR(ISERROR($N284),$N284="",$N284="NA"),0,K284*$N284)*(1+INDEX('For Finance Control'!$B$27:$E$29,2,MATCH('Project information'!$A$4,'For Finance Control'!$B$27:$E$27,0)))</f>
        <v>0</v>
      </c>
      <c r="S284" s="45">
        <f>IF(OR(ISERROR($N284),$N284="",$N284="NA"),0,L284*$N284)*(1+INDEX('For Finance Control'!$B$27:$E$29,2,MATCH('Project information'!$A$4,'For Finance Control'!$B$27:$E$27,0)))</f>
        <v>0</v>
      </c>
      <c r="T284" s="45">
        <f t="shared" si="300"/>
        <v>0</v>
      </c>
      <c r="U284" s="33" cm="1">
        <f t="array" ref="U284">IF($N284="NA","NA",$N284*INDEX('Exchange rate'!$A$1:$G$7,MATCH('Project information'!$A$13,'Exchange rate'!$A$1:$A$7,0),MATCH(LOOKUP(2,1/({"China";"Korea";"India";"Japan";"EUR";"NAO"}=$E284),{"CNY";"KRW";"INR";"JPY";"EUR";"USD"}),'Exchange rate'!$A$1:$G$1,0)))</f>
        <v>24003</v>
      </c>
      <c r="V284" s="33">
        <f t="shared" si="301"/>
        <v>0</v>
      </c>
      <c r="W284" s="33">
        <f t="shared" si="302"/>
        <v>0</v>
      </c>
      <c r="X284" s="33">
        <f t="shared" si="303"/>
        <v>0</v>
      </c>
      <c r="Y284" s="33">
        <f t="shared" si="304"/>
        <v>0</v>
      </c>
      <c r="Z284" s="33">
        <f t="shared" si="305"/>
        <v>0</v>
      </c>
      <c r="AA284" s="33">
        <f t="shared" si="306"/>
        <v>0</v>
      </c>
      <c r="AB284" s="246"/>
      <c r="AC284" s="247"/>
      <c r="AZ284" s="148" t="str">
        <f t="shared" si="256"/>
        <v>5.162</v>
      </c>
      <c r="BA284" s="149" t="s">
        <v>387</v>
      </c>
    </row>
    <row r="285" spans="1:53" ht="25" outlineLevel="1">
      <c r="A285" s="148" t="str">
        <f t="shared" si="254"/>
        <v>5.163</v>
      </c>
      <c r="B285" s="148" t="str">
        <f>INDEX('Standard cost - Testing'!$A$1:$N$497,MATCH(RIGHT($C285,4),'Standard cost - Testing'!$A$1:$A$497,0),3)</f>
        <v>LVE</v>
      </c>
      <c r="C285" s="149" t="str">
        <f>'Standard cost - Testing'!B164&amp;" - "&amp;'Standard cost - Testing'!A164</f>
        <v>H.V - H031</v>
      </c>
      <c r="D285" s="150" t="str">
        <f>IF(RIGHT(INDEX('Standard cost - Testing'!$A$1:$N$497,MATCH(RIGHT($C285,4),'Standard cost - Testing'!$A$1:$A$497,0),4),1)="]",INDEX('Standard cost - Testing'!$A$1:$N$497,MATCH(RIGHT($C285,4),'Standard cost - Testing'!$A$1:$A$497,0),4),IF(INDEX('Standard cost - Testing'!$A$1:$N$497,MATCH(RIGHT($C285,4),'Standard cost - Testing'!$A$1:$A$497,0),10)=1,INDEX('Standard cost - Testing'!$A$1:$N$497,MATCH(RIGHT($C285,4),'Standard cost - Testing'!$A$1:$A$497,0),4)&amp;" [1 part]",INDEX('Standard cost - Testing'!$A$1:$N$497,MATCH(RIGHT($C285,4),'Standard cost - Testing'!$A$1:$A$497,0),4)&amp;" ["&amp;INDEX('Standard cost - Testing'!$A$1:$N$497,MATCH(RIGHT($C285,4),'Standard cost - Testing'!$A$1:$A$497,0),10)&amp;" parts]"))</f>
        <v>Hot shake test of ceramic catalysts [3 parts]</v>
      </c>
      <c r="E285" s="51" t="str">
        <f>IF('Project information'!$A$4="","",'Project information'!$A$4)</f>
        <v>China</v>
      </c>
      <c r="F285" s="149" t="str">
        <f>INDEX('Standard cost - Testing'!$A$1:$N$497,MATCH(RIGHT($C285,4),'Standard cost - Testing'!$A$1:$A$497,0),5)</f>
        <v>BMW</v>
      </c>
      <c r="G285" s="149" t="str">
        <f>IF($E285='Standard cost - Testing'!$F$1,INDEX('Standard cost - Testing'!$A$1:$N$497,MATCH(RIGHT($C285,4),'Standard cost - Testing'!$A$1:$A$497,0),6),INDEX('Standard cost - Testing'!$A$1:$N$497,MATCH(RIGHT($C285,4),'Standard cost - Testing'!$A$1:$A$497,0),7))</f>
        <v>10004387-000-03-3.4</v>
      </c>
      <c r="H285" s="46"/>
      <c r="I285" s="46"/>
      <c r="J285" s="46"/>
      <c r="K285" s="46"/>
      <c r="L285" s="46"/>
      <c r="M285" s="33">
        <f t="shared" si="247"/>
        <v>0</v>
      </c>
      <c r="N285" s="157">
        <f>IF(E285="","",IF(ISERROR(INDEX('Standard cost - Testing'!$A$1:$N$497,MATCH(RIGHT($C285,4),'Standard cost - Testing'!$A$1:$A$497,0),MATCH($E285,'Standard cost - Testing'!$K$1:$N$1,0)+10)),"NA",INDEX('Standard cost - Testing'!$A$1:$N$497,MATCH(RIGHT($C285,4),'Standard cost - Testing'!$A$1:$A$497,0),MATCH($E285,'Standard cost - Testing'!$K$1:$N$1,0)+10)))</f>
        <v>141306</v>
      </c>
      <c r="O285" s="45">
        <f>IF(OR(ISERROR($N285),$N285="",$N285="NA"),0,H285*$N285)*(1+INDEX('For Finance Control'!$B$27:$E$29,2,MATCH('Project information'!$A$4,'For Finance Control'!$B$27:$E$27,0)))</f>
        <v>0</v>
      </c>
      <c r="P285" s="45">
        <f>IF(OR(ISERROR($N285),$N285="",$N285="NA"),0,I285*$N285)*(1+INDEX('For Finance Control'!$B$27:$E$29,2,MATCH('Project information'!$A$4,'For Finance Control'!$B$27:$E$27,0)))</f>
        <v>0</v>
      </c>
      <c r="Q285" s="45">
        <f>IF(OR(ISERROR($N285),$N285="",$N285="NA"),0,J285*$N285)*(1+INDEX('For Finance Control'!$B$27:$E$29,2,MATCH('Project information'!$A$4,'For Finance Control'!$B$27:$E$27,0)))</f>
        <v>0</v>
      </c>
      <c r="R285" s="45">
        <f>IF(OR(ISERROR($N285),$N285="",$N285="NA"),0,K285*$N285)*(1+INDEX('For Finance Control'!$B$27:$E$29,2,MATCH('Project information'!$A$4,'For Finance Control'!$B$27:$E$27,0)))</f>
        <v>0</v>
      </c>
      <c r="S285" s="45">
        <f>IF(OR(ISERROR($N285),$N285="",$N285="NA"),0,L285*$N285)*(1+INDEX('For Finance Control'!$B$27:$E$29,2,MATCH('Project information'!$A$4,'For Finance Control'!$B$27:$E$27,0)))</f>
        <v>0</v>
      </c>
      <c r="T285" s="45">
        <f t="shared" si="300"/>
        <v>0</v>
      </c>
      <c r="U285" s="33" cm="1">
        <f t="array" ref="U285">IF($N285="NA","NA",$N285*INDEX('Exchange rate'!$A$1:$G$7,MATCH('Project information'!$A$13,'Exchange rate'!$A$1:$A$7,0),MATCH(LOOKUP(2,1/({"China";"Korea";"India";"Japan";"EUR";"NAO"}=$E285),{"CNY";"KRW";"INR";"JPY";"EUR";"USD"}),'Exchange rate'!$A$1:$G$1,0)))</f>
        <v>141306</v>
      </c>
      <c r="V285" s="33">
        <f t="shared" si="301"/>
        <v>0</v>
      </c>
      <c r="W285" s="33">
        <f t="shared" si="302"/>
        <v>0</v>
      </c>
      <c r="X285" s="33">
        <f t="shared" si="303"/>
        <v>0</v>
      </c>
      <c r="Y285" s="33">
        <f t="shared" si="304"/>
        <v>0</v>
      </c>
      <c r="Z285" s="33">
        <f t="shared" si="305"/>
        <v>0</v>
      </c>
      <c r="AA285" s="33">
        <f t="shared" si="306"/>
        <v>0</v>
      </c>
      <c r="AB285" s="246"/>
      <c r="AC285" s="247"/>
      <c r="AZ285" s="148" t="str">
        <f t="shared" si="256"/>
        <v>5.163</v>
      </c>
      <c r="BA285" s="149" t="s">
        <v>388</v>
      </c>
    </row>
    <row r="286" spans="1:53" ht="25" outlineLevel="1">
      <c r="A286" s="148" t="str">
        <f t="shared" si="254"/>
        <v>5.164</v>
      </c>
      <c r="B286" s="148" t="str">
        <f>INDEX('Standard cost - Testing'!$A$1:$N$497,MATCH(RIGHT($C286,4),'Standard cost - Testing'!$A$1:$A$497,0),3)</f>
        <v>LVE</v>
      </c>
      <c r="C286" s="149" t="str">
        <f>'Standard cost - Testing'!B165&amp;" - "&amp;'Standard cost - Testing'!A165</f>
        <v>H.V - H032</v>
      </c>
      <c r="D286" s="150" t="str">
        <f>IF(RIGHT(INDEX('Standard cost - Testing'!$A$1:$N$497,MATCH(RIGHT($C286,4),'Standard cost - Testing'!$A$1:$A$497,0),4),1)="]",INDEX('Standard cost - Testing'!$A$1:$N$497,MATCH(RIGHT($C286,4),'Standard cost - Testing'!$A$1:$A$497,0),4),IF(INDEX('Standard cost - Testing'!$A$1:$N$497,MATCH(RIGHT($C286,4),'Standard cost - Testing'!$A$1:$A$497,0),10)=1,INDEX('Standard cost - Testing'!$A$1:$N$497,MATCH(RIGHT($C286,4),'Standard cost - Testing'!$A$1:$A$497,0),4)&amp;" [1 part]",INDEX('Standard cost - Testing'!$A$1:$N$497,MATCH(RIGHT($C286,4),'Standard cost - Testing'!$A$1:$A$497,0),4)&amp;" ["&amp;INDEX('Standard cost - Testing'!$A$1:$N$497,MATCH(RIGHT($C286,4),'Standard cost - Testing'!$A$1:$A$497,0),10)&amp;" parts]"))</f>
        <v>Global emission assembly mechanical step stress test (for DPF &amp; SCR) [3 parts]</v>
      </c>
      <c r="E286" s="51" t="str">
        <f>IF('Project information'!$A$4="","",'Project information'!$A$4)</f>
        <v>China</v>
      </c>
      <c r="F286" s="149" t="str">
        <f>INDEX('Standard cost - Testing'!$A$1:$N$497,MATCH(RIGHT($C286,4),'Standard cost - Testing'!$A$1:$A$497,0),5)</f>
        <v>Ford</v>
      </c>
      <c r="G286" s="149" t="str">
        <f>IF($E286='Standard cost - Testing'!$F$1,INDEX('Standard cost - Testing'!$A$1:$N$497,MATCH(RIGHT($C286,4),'Standard cost - Testing'!$A$1:$A$497,0),6),INDEX('Standard cost - Testing'!$A$1:$N$497,MATCH(RIGHT($C286,4),'Standard cost - Testing'!$A$1:$A$497,0),7))</f>
        <v>CETP 09.02-E-308</v>
      </c>
      <c r="H286" s="46"/>
      <c r="I286" s="46"/>
      <c r="J286" s="46"/>
      <c r="K286" s="46"/>
      <c r="L286" s="46"/>
      <c r="M286" s="33">
        <f t="shared" si="247"/>
        <v>0</v>
      </c>
      <c r="N286" s="157">
        <f>IF(E286="","",IF(ISERROR(INDEX('Standard cost - Testing'!$A$1:$N$497,MATCH(RIGHT($C286,4),'Standard cost - Testing'!$A$1:$A$497,0),MATCH($E286,'Standard cost - Testing'!$K$1:$N$1,0)+10)),"NA",INDEX('Standard cost - Testing'!$A$1:$N$497,MATCH(RIGHT($C286,4),'Standard cost - Testing'!$A$1:$A$497,0),MATCH($E286,'Standard cost - Testing'!$K$1:$N$1,0)+10)))</f>
        <v>68976</v>
      </c>
      <c r="O286" s="45">
        <f>IF(OR(ISERROR($N286),$N286="",$N286="NA"),0,H286*$N286)*(1+INDEX('For Finance Control'!$B$27:$E$29,2,MATCH('Project information'!$A$4,'For Finance Control'!$B$27:$E$27,0)))</f>
        <v>0</v>
      </c>
      <c r="P286" s="45">
        <f>IF(OR(ISERROR($N286),$N286="",$N286="NA"),0,I286*$N286)*(1+INDEX('For Finance Control'!$B$27:$E$29,2,MATCH('Project information'!$A$4,'For Finance Control'!$B$27:$E$27,0)))</f>
        <v>0</v>
      </c>
      <c r="Q286" s="45">
        <f>IF(OR(ISERROR($N286),$N286="",$N286="NA"),0,J286*$N286)*(1+INDEX('For Finance Control'!$B$27:$E$29,2,MATCH('Project information'!$A$4,'For Finance Control'!$B$27:$E$27,0)))</f>
        <v>0</v>
      </c>
      <c r="R286" s="45">
        <f>IF(OR(ISERROR($N286),$N286="",$N286="NA"),0,K286*$N286)*(1+INDEX('For Finance Control'!$B$27:$E$29,2,MATCH('Project information'!$A$4,'For Finance Control'!$B$27:$E$27,0)))</f>
        <v>0</v>
      </c>
      <c r="S286" s="45">
        <f>IF(OR(ISERROR($N286),$N286="",$N286="NA"),0,L286*$N286)*(1+INDEX('For Finance Control'!$B$27:$E$29,2,MATCH('Project information'!$A$4,'For Finance Control'!$B$27:$E$27,0)))</f>
        <v>0</v>
      </c>
      <c r="T286" s="45">
        <f t="shared" si="300"/>
        <v>0</v>
      </c>
      <c r="U286" s="33" cm="1">
        <f t="array" ref="U286">IF($N286="NA","NA",$N286*INDEX('Exchange rate'!$A$1:$G$7,MATCH('Project information'!$A$13,'Exchange rate'!$A$1:$A$7,0),MATCH(LOOKUP(2,1/({"China";"Korea";"India";"Japan";"EUR";"NAO"}=$E286),{"CNY";"KRW";"INR";"JPY";"EUR";"USD"}),'Exchange rate'!$A$1:$G$1,0)))</f>
        <v>68976</v>
      </c>
      <c r="V286" s="33">
        <f t="shared" si="301"/>
        <v>0</v>
      </c>
      <c r="W286" s="33">
        <f t="shared" si="302"/>
        <v>0</v>
      </c>
      <c r="X286" s="33">
        <f t="shared" si="303"/>
        <v>0</v>
      </c>
      <c r="Y286" s="33">
        <f t="shared" si="304"/>
        <v>0</v>
      </c>
      <c r="Z286" s="33">
        <f t="shared" si="305"/>
        <v>0</v>
      </c>
      <c r="AA286" s="33">
        <f t="shared" si="306"/>
        <v>0</v>
      </c>
      <c r="AB286" s="246"/>
      <c r="AC286" s="247"/>
      <c r="AZ286" s="148" t="str">
        <f t="shared" si="256"/>
        <v>5.164</v>
      </c>
      <c r="BA286" s="149" t="s">
        <v>389</v>
      </c>
    </row>
    <row r="287" spans="1:53" ht="25" outlineLevel="1">
      <c r="A287" s="148" t="str">
        <f t="shared" si="254"/>
        <v>5.165</v>
      </c>
      <c r="B287" s="148" t="str">
        <f>INDEX('Standard cost - Testing'!$A$1:$N$497,MATCH(RIGHT($C287,4),'Standard cost - Testing'!$A$1:$A$497,0),3)</f>
        <v>LVE</v>
      </c>
      <c r="C287" s="149" t="str">
        <f>'Standard cost - Testing'!B166&amp;" - "&amp;'Standard cost - Testing'!A166</f>
        <v>H.V - H033</v>
      </c>
      <c r="D287" s="150" t="str">
        <f>IF(RIGHT(INDEX('Standard cost - Testing'!$A$1:$N$497,MATCH(RIGHT($C287,4),'Standard cost - Testing'!$A$1:$A$497,0),4),1)="]",INDEX('Standard cost - Testing'!$A$1:$N$497,MATCH(RIGHT($C287,4),'Standard cost - Testing'!$A$1:$A$497,0),4),IF(INDEX('Standard cost - Testing'!$A$1:$N$497,MATCH(RIGHT($C287,4),'Standard cost - Testing'!$A$1:$A$497,0),10)=1,INDEX('Standard cost - Testing'!$A$1:$N$497,MATCH(RIGHT($C287,4),'Standard cost - Testing'!$A$1:$A$497,0),4)&amp;" [1 part]",INDEX('Standard cost - Testing'!$A$1:$N$497,MATCH(RIGHT($C287,4),'Standard cost - Testing'!$A$1:$A$497,0),4)&amp;" ["&amp;INDEX('Standard cost - Testing'!$A$1:$N$497,MATCH(RIGHT($C287,4),'Standard cost - Testing'!$A$1:$A$497,0),10)&amp;" parts]"))</f>
        <v>Global emission assembly mechanical step stress test [6 parts]</v>
      </c>
      <c r="E287" s="51" t="str">
        <f>IF('Project information'!$A$4="","",'Project information'!$A$4)</f>
        <v>China</v>
      </c>
      <c r="F287" s="149" t="str">
        <f>INDEX('Standard cost - Testing'!$A$1:$N$497,MATCH(RIGHT($C287,4),'Standard cost - Testing'!$A$1:$A$497,0),5)</f>
        <v>Ford</v>
      </c>
      <c r="G287" s="149" t="str">
        <f>IF($E287='Standard cost - Testing'!$F$1,INDEX('Standard cost - Testing'!$A$1:$N$497,MATCH(RIGHT($C287,4),'Standard cost - Testing'!$A$1:$A$497,0),6),INDEX('Standard cost - Testing'!$A$1:$N$497,MATCH(RIGHT($C287,4),'Standard cost - Testing'!$A$1:$A$497,0),7))</f>
        <v>CETP 09.02-E-308</v>
      </c>
      <c r="H287" s="46"/>
      <c r="I287" s="46"/>
      <c r="J287" s="46"/>
      <c r="K287" s="46"/>
      <c r="L287" s="46"/>
      <c r="M287" s="33">
        <f t="shared" si="247"/>
        <v>0</v>
      </c>
      <c r="N287" s="157">
        <f>IF(E287="","",IF(ISERROR(INDEX('Standard cost - Testing'!$A$1:$N$497,MATCH(RIGHT($C287,4),'Standard cost - Testing'!$A$1:$A$497,0),MATCH($E287,'Standard cost - Testing'!$K$1:$N$1,0)+10)),"NA",INDEX('Standard cost - Testing'!$A$1:$N$497,MATCH(RIGHT($C287,4),'Standard cost - Testing'!$A$1:$A$497,0),MATCH($E287,'Standard cost - Testing'!$K$1:$N$1,0)+10)))</f>
        <v>127929</v>
      </c>
      <c r="O287" s="45">
        <f>IF(OR(ISERROR($N287),$N287="",$N287="NA"),0,H287*$N287)*(1+INDEX('For Finance Control'!$B$27:$E$29,2,MATCH('Project information'!$A$4,'For Finance Control'!$B$27:$E$27,0)))</f>
        <v>0</v>
      </c>
      <c r="P287" s="45">
        <f>IF(OR(ISERROR($N287),$N287="",$N287="NA"),0,I287*$N287)*(1+INDEX('For Finance Control'!$B$27:$E$29,2,MATCH('Project information'!$A$4,'For Finance Control'!$B$27:$E$27,0)))</f>
        <v>0</v>
      </c>
      <c r="Q287" s="45">
        <f>IF(OR(ISERROR($N287),$N287="",$N287="NA"),0,J287*$N287)*(1+INDEX('For Finance Control'!$B$27:$E$29,2,MATCH('Project information'!$A$4,'For Finance Control'!$B$27:$E$27,0)))</f>
        <v>0</v>
      </c>
      <c r="R287" s="45">
        <f>IF(OR(ISERROR($N287),$N287="",$N287="NA"),0,K287*$N287)*(1+INDEX('For Finance Control'!$B$27:$E$29,2,MATCH('Project information'!$A$4,'For Finance Control'!$B$27:$E$27,0)))</f>
        <v>0</v>
      </c>
      <c r="S287" s="45">
        <f>IF(OR(ISERROR($N287),$N287="",$N287="NA"),0,L287*$N287)*(1+INDEX('For Finance Control'!$B$27:$E$29,2,MATCH('Project information'!$A$4,'For Finance Control'!$B$27:$E$27,0)))</f>
        <v>0</v>
      </c>
      <c r="T287" s="45">
        <f t="shared" si="300"/>
        <v>0</v>
      </c>
      <c r="U287" s="33" cm="1">
        <f t="array" ref="U287">IF($N287="NA","NA",$N287*INDEX('Exchange rate'!$A$1:$G$7,MATCH('Project information'!$A$13,'Exchange rate'!$A$1:$A$7,0),MATCH(LOOKUP(2,1/({"China";"Korea";"India";"Japan";"EUR";"NAO"}=$E287),{"CNY";"KRW";"INR";"JPY";"EUR";"USD"}),'Exchange rate'!$A$1:$G$1,0)))</f>
        <v>127929</v>
      </c>
      <c r="V287" s="33">
        <f t="shared" si="301"/>
        <v>0</v>
      </c>
      <c r="W287" s="33">
        <f t="shared" si="302"/>
        <v>0</v>
      </c>
      <c r="X287" s="33">
        <f t="shared" si="303"/>
        <v>0</v>
      </c>
      <c r="Y287" s="33">
        <f t="shared" si="304"/>
        <v>0</v>
      </c>
      <c r="Z287" s="33">
        <f t="shared" si="305"/>
        <v>0</v>
      </c>
      <c r="AA287" s="33">
        <f t="shared" si="306"/>
        <v>0</v>
      </c>
      <c r="AB287" s="246"/>
      <c r="AC287" s="247"/>
      <c r="AZ287" s="148" t="str">
        <f t="shared" si="256"/>
        <v>5.165</v>
      </c>
      <c r="BA287" s="149" t="s">
        <v>389</v>
      </c>
    </row>
    <row r="288" spans="1:53" outlineLevel="1">
      <c r="A288" s="148" t="str">
        <f t="shared" si="254"/>
        <v>5.166</v>
      </c>
      <c r="B288" s="148" t="str">
        <f>INDEX('Standard cost - Testing'!$A$1:$N$497,MATCH(RIGHT($C288,4),'Standard cost - Testing'!$A$1:$A$497,0),3)</f>
        <v>LVE</v>
      </c>
      <c r="C288" s="149" t="str">
        <f>'Standard cost - Testing'!B167&amp;" - "&amp;'Standard cost - Testing'!A167</f>
        <v>H.V - H035</v>
      </c>
      <c r="D288" s="150" t="str">
        <f>IF(RIGHT(INDEX('Standard cost - Testing'!$A$1:$N$497,MATCH(RIGHT($C288,4),'Standard cost - Testing'!$A$1:$A$497,0),4),1)="]",INDEX('Standard cost - Testing'!$A$1:$N$497,MATCH(RIGHT($C288,4),'Standard cost - Testing'!$A$1:$A$497,0),4),IF(INDEX('Standard cost - Testing'!$A$1:$N$497,MATCH(RIGHT($C288,4),'Standard cost - Testing'!$A$1:$A$497,0),10)=1,INDEX('Standard cost - Testing'!$A$1:$N$497,MATCH(RIGHT($C288,4),'Standard cost - Testing'!$A$1:$A$497,0),4)&amp;" [1 part]",INDEX('Standard cost - Testing'!$A$1:$N$497,MATCH(RIGHT($C288,4),'Standard cost - Testing'!$A$1:$A$497,0),4)&amp;" ["&amp;INDEX('Standard cost - Testing'!$A$1:$N$497,MATCH(RIGHT($C288,4),'Standard cost - Testing'!$A$1:$A$497,0),10)&amp;" parts]"))</f>
        <v>Hot vibration [3 parts]</v>
      </c>
      <c r="E288" s="51" t="str">
        <f>IF('Project information'!$A$4="","",'Project information'!$A$4)</f>
        <v>China</v>
      </c>
      <c r="F288" s="149" t="str">
        <f>INDEX('Standard cost - Testing'!$A$1:$N$497,MATCH(RIGHT($C288,4),'Standard cost - Testing'!$A$1:$A$497,0),5)</f>
        <v>FCA</v>
      </c>
      <c r="G288" s="149" t="str">
        <f>IF($E288='Standard cost - Testing'!$F$1,INDEX('Standard cost - Testing'!$A$1:$N$497,MATCH(RIGHT($C288,4),'Standard cost - Testing'!$A$1:$A$497,0),6),INDEX('Standard cost - Testing'!$A$1:$N$497,MATCH(RIGHT($C288,4),'Standard cost - Testing'!$A$1:$A$497,0),7))</f>
        <v>PF.90160 9.8</v>
      </c>
      <c r="H288" s="46"/>
      <c r="I288" s="46"/>
      <c r="J288" s="46"/>
      <c r="K288" s="46"/>
      <c r="L288" s="46"/>
      <c r="M288" s="33">
        <f t="shared" si="247"/>
        <v>0</v>
      </c>
      <c r="N288" s="157">
        <f>IF(E288="","",IF(ISERROR(INDEX('Standard cost - Testing'!$A$1:$N$497,MATCH(RIGHT($C288,4),'Standard cost - Testing'!$A$1:$A$497,0),MATCH($E288,'Standard cost - Testing'!$K$1:$N$1,0)+10)),"NA",INDEX('Standard cost - Testing'!$A$1:$N$497,MATCH(RIGHT($C288,4),'Standard cost - Testing'!$A$1:$A$497,0),MATCH($E288,'Standard cost - Testing'!$K$1:$N$1,0)+10)))</f>
        <v>67819</v>
      </c>
      <c r="O288" s="45">
        <f>IF(OR(ISERROR($N288),$N288="",$N288="NA"),0,H288*$N288)*(1+INDEX('For Finance Control'!$B$27:$E$29,2,MATCH('Project information'!$A$4,'For Finance Control'!$B$27:$E$27,0)))</f>
        <v>0</v>
      </c>
      <c r="P288" s="45">
        <f>IF(OR(ISERROR($N288),$N288="",$N288="NA"),0,I288*$N288)*(1+INDEX('For Finance Control'!$B$27:$E$29,2,MATCH('Project information'!$A$4,'For Finance Control'!$B$27:$E$27,0)))</f>
        <v>0</v>
      </c>
      <c r="Q288" s="45">
        <f>IF(OR(ISERROR($N288),$N288="",$N288="NA"),0,J288*$N288)*(1+INDEX('For Finance Control'!$B$27:$E$29,2,MATCH('Project information'!$A$4,'For Finance Control'!$B$27:$E$27,0)))</f>
        <v>0</v>
      </c>
      <c r="R288" s="45">
        <f>IF(OR(ISERROR($N288),$N288="",$N288="NA"),0,K288*$N288)*(1+INDEX('For Finance Control'!$B$27:$E$29,2,MATCH('Project information'!$A$4,'For Finance Control'!$B$27:$E$27,0)))</f>
        <v>0</v>
      </c>
      <c r="S288" s="45">
        <f>IF(OR(ISERROR($N288),$N288="",$N288="NA"),0,L288*$N288)*(1+INDEX('For Finance Control'!$B$27:$E$29,2,MATCH('Project information'!$A$4,'For Finance Control'!$B$27:$E$27,0)))</f>
        <v>0</v>
      </c>
      <c r="T288" s="45">
        <f t="shared" si="300"/>
        <v>0</v>
      </c>
      <c r="U288" s="33" cm="1">
        <f t="array" ref="U288">IF($N288="NA","NA",$N288*INDEX('Exchange rate'!$A$1:$G$7,MATCH('Project information'!$A$13,'Exchange rate'!$A$1:$A$7,0),MATCH(LOOKUP(2,1/({"China";"Korea";"India";"Japan";"EUR";"NAO"}=$E288),{"CNY";"KRW";"INR";"JPY";"EUR";"USD"}),'Exchange rate'!$A$1:$G$1,0)))</f>
        <v>67819</v>
      </c>
      <c r="V288" s="33">
        <f t="shared" si="301"/>
        <v>0</v>
      </c>
      <c r="W288" s="33">
        <f t="shared" si="302"/>
        <v>0</v>
      </c>
      <c r="X288" s="33">
        <f t="shared" si="303"/>
        <v>0</v>
      </c>
      <c r="Y288" s="33">
        <f t="shared" si="304"/>
        <v>0</v>
      </c>
      <c r="Z288" s="33">
        <f t="shared" si="305"/>
        <v>0</v>
      </c>
      <c r="AA288" s="33">
        <f t="shared" si="306"/>
        <v>0</v>
      </c>
      <c r="AB288" s="246"/>
      <c r="AC288" s="247"/>
      <c r="AZ288" s="148" t="str">
        <f t="shared" si="256"/>
        <v>5.166</v>
      </c>
      <c r="BA288" s="149" t="s">
        <v>390</v>
      </c>
    </row>
    <row r="289" spans="1:53" outlineLevel="1">
      <c r="A289" s="148" t="str">
        <f t="shared" si="254"/>
        <v>5.167</v>
      </c>
      <c r="B289" s="148" t="str">
        <f>INDEX('Standard cost - Testing'!$A$1:$N$497,MATCH(RIGHT($C289,4),'Standard cost - Testing'!$A$1:$A$497,0),3)</f>
        <v>LVE</v>
      </c>
      <c r="C289" s="149" t="str">
        <f>'Standard cost - Testing'!B168&amp;" - "&amp;'Standard cost - Testing'!A168</f>
        <v>H.V - H036</v>
      </c>
      <c r="D289" s="150" t="str">
        <f>IF(RIGHT(INDEX('Standard cost - Testing'!$A$1:$N$497,MATCH(RIGHT($C289,4),'Standard cost - Testing'!$A$1:$A$497,0),4),1)="]",INDEX('Standard cost - Testing'!$A$1:$N$497,MATCH(RIGHT($C289,4),'Standard cost - Testing'!$A$1:$A$497,0),4),IF(INDEX('Standard cost - Testing'!$A$1:$N$497,MATCH(RIGHT($C289,4),'Standard cost - Testing'!$A$1:$A$497,0),10)=1,INDEX('Standard cost - Testing'!$A$1:$N$497,MATCH(RIGHT($C289,4),'Standard cost - Testing'!$A$1:$A$497,0),4)&amp;" [1 part]",INDEX('Standard cost - Testing'!$A$1:$N$497,MATCH(RIGHT($C289,4),'Standard cost - Testing'!$A$1:$A$497,0),4)&amp;" ["&amp;INDEX('Standard cost - Testing'!$A$1:$N$497,MATCH(RIGHT($C289,4),'Standard cost - Testing'!$A$1:$A$497,0),10)&amp;" parts]"))</f>
        <v>Hot vibration [3 parts]</v>
      </c>
      <c r="E289" s="51" t="str">
        <f>IF('Project information'!$A$4="","",'Project information'!$A$4)</f>
        <v>China</v>
      </c>
      <c r="F289" s="149" t="str">
        <f>INDEX('Standard cost - Testing'!$A$1:$N$497,MATCH(RIGHT($C289,4),'Standard cost - Testing'!$A$1:$A$497,0),5)</f>
        <v>FCA</v>
      </c>
      <c r="G289" s="149" t="str">
        <f>IF($E289='Standard cost - Testing'!$F$1,INDEX('Standard cost - Testing'!$A$1:$N$497,MATCH(RIGHT($C289,4),'Standard cost - Testing'!$A$1:$A$497,0),6),INDEX('Standard cost - Testing'!$A$1:$N$497,MATCH(RIGHT($C289,4),'Standard cost - Testing'!$A$1:$A$497,0),7))</f>
        <v>PF.90160 9.9</v>
      </c>
      <c r="H289" s="46"/>
      <c r="I289" s="46"/>
      <c r="J289" s="46"/>
      <c r="K289" s="46"/>
      <c r="L289" s="46"/>
      <c r="M289" s="33">
        <f t="shared" si="247"/>
        <v>0</v>
      </c>
      <c r="N289" s="157">
        <f>IF(E289="","",IF(ISERROR(INDEX('Standard cost - Testing'!$A$1:$N$497,MATCH(RIGHT($C289,4),'Standard cost - Testing'!$A$1:$A$497,0),MATCH($E289,'Standard cost - Testing'!$K$1:$N$1,0)+10)),"NA",INDEX('Standard cost - Testing'!$A$1:$N$497,MATCH(RIGHT($C289,4),'Standard cost - Testing'!$A$1:$A$497,0),MATCH($E289,'Standard cost - Testing'!$K$1:$N$1,0)+10)))</f>
        <v>67819</v>
      </c>
      <c r="O289" s="45">
        <f>IF(OR(ISERROR($N289),$N289="",$N289="NA"),0,H289*$N289)*(1+INDEX('For Finance Control'!$B$27:$E$29,2,MATCH('Project information'!$A$4,'For Finance Control'!$B$27:$E$27,0)))</f>
        <v>0</v>
      </c>
      <c r="P289" s="45">
        <f>IF(OR(ISERROR($N289),$N289="",$N289="NA"),0,I289*$N289)*(1+INDEX('For Finance Control'!$B$27:$E$29,2,MATCH('Project information'!$A$4,'For Finance Control'!$B$27:$E$27,0)))</f>
        <v>0</v>
      </c>
      <c r="Q289" s="45">
        <f>IF(OR(ISERROR($N289),$N289="",$N289="NA"),0,J289*$N289)*(1+INDEX('For Finance Control'!$B$27:$E$29,2,MATCH('Project information'!$A$4,'For Finance Control'!$B$27:$E$27,0)))</f>
        <v>0</v>
      </c>
      <c r="R289" s="45">
        <f>IF(OR(ISERROR($N289),$N289="",$N289="NA"),0,K289*$N289)*(1+INDEX('For Finance Control'!$B$27:$E$29,2,MATCH('Project information'!$A$4,'For Finance Control'!$B$27:$E$27,0)))</f>
        <v>0</v>
      </c>
      <c r="S289" s="45">
        <f>IF(OR(ISERROR($N289),$N289="",$N289="NA"),0,L289*$N289)*(1+INDEX('For Finance Control'!$B$27:$E$29,2,MATCH('Project information'!$A$4,'For Finance Control'!$B$27:$E$27,0)))</f>
        <v>0</v>
      </c>
      <c r="T289" s="45">
        <f t="shared" si="300"/>
        <v>0</v>
      </c>
      <c r="U289" s="33" cm="1">
        <f t="array" ref="U289">IF($N289="NA","NA",$N289*INDEX('Exchange rate'!$A$1:$G$7,MATCH('Project information'!$A$13,'Exchange rate'!$A$1:$A$7,0),MATCH(LOOKUP(2,1/({"China";"Korea";"India";"Japan";"EUR";"NAO"}=$E289),{"CNY";"KRW";"INR";"JPY";"EUR";"USD"}),'Exchange rate'!$A$1:$G$1,0)))</f>
        <v>67819</v>
      </c>
      <c r="V289" s="33">
        <f t="shared" si="301"/>
        <v>0</v>
      </c>
      <c r="W289" s="33">
        <f t="shared" si="302"/>
        <v>0</v>
      </c>
      <c r="X289" s="33">
        <f t="shared" si="303"/>
        <v>0</v>
      </c>
      <c r="Y289" s="33">
        <f t="shared" si="304"/>
        <v>0</v>
      </c>
      <c r="Z289" s="33">
        <f t="shared" si="305"/>
        <v>0</v>
      </c>
      <c r="AA289" s="33">
        <f t="shared" si="306"/>
        <v>0</v>
      </c>
      <c r="AB289" s="246"/>
      <c r="AC289" s="247"/>
      <c r="AZ289" s="148" t="str">
        <f t="shared" si="256"/>
        <v>5.167</v>
      </c>
      <c r="BA289" s="149" t="s">
        <v>391</v>
      </c>
    </row>
    <row r="290" spans="1:53" outlineLevel="1">
      <c r="A290" s="148" t="str">
        <f t="shared" si="254"/>
        <v>5.168</v>
      </c>
      <c r="B290" s="148" t="str">
        <f>INDEX('Standard cost - Testing'!$A$1:$N$497,MATCH(RIGHT($C290,4),'Standard cost - Testing'!$A$1:$A$497,0),3)</f>
        <v>LVE</v>
      </c>
      <c r="C290" s="149" t="str">
        <f>'Standard cost - Testing'!B169&amp;" - "&amp;'Standard cost - Testing'!A169</f>
        <v>H.V - H037</v>
      </c>
      <c r="D290" s="150" t="str">
        <f>IF(RIGHT(INDEX('Standard cost - Testing'!$A$1:$N$497,MATCH(RIGHT($C290,4),'Standard cost - Testing'!$A$1:$A$497,0),4),1)="]",INDEX('Standard cost - Testing'!$A$1:$N$497,MATCH(RIGHT($C290,4),'Standard cost - Testing'!$A$1:$A$497,0),4),IF(INDEX('Standard cost - Testing'!$A$1:$N$497,MATCH(RIGHT($C290,4),'Standard cost - Testing'!$A$1:$A$497,0),10)=1,INDEX('Standard cost - Testing'!$A$1:$N$497,MATCH(RIGHT($C290,4),'Standard cost - Testing'!$A$1:$A$497,0),4)&amp;" [1 part]",INDEX('Standard cost - Testing'!$A$1:$N$497,MATCH(RIGHT($C290,4),'Standard cost - Testing'!$A$1:$A$497,0),4)&amp;" ["&amp;INDEX('Standard cost - Testing'!$A$1:$N$497,MATCH(RIGHT($C290,4),'Standard cost - Testing'!$A$1:$A$497,0),10)&amp;" parts]"))</f>
        <v>Engine vibration test [1 part]</v>
      </c>
      <c r="E290" s="51" t="str">
        <f>IF('Project information'!$A$4="","",'Project information'!$A$4)</f>
        <v>China</v>
      </c>
      <c r="F290" s="149" t="str">
        <f>INDEX('Standard cost - Testing'!$A$1:$N$497,MATCH(RIGHT($C290,4),'Standard cost - Testing'!$A$1:$A$497,0),5)</f>
        <v>NISSAN</v>
      </c>
      <c r="G290" s="149">
        <f>IF($E290='Standard cost - Testing'!$F$1,INDEX('Standard cost - Testing'!$A$1:$N$497,MATCH(RIGHT($C290,4),'Standard cost - Testing'!$A$1:$A$497,0),6),INDEX('Standard cost - Testing'!$A$1:$N$497,MATCH(RIGHT($C290,4),'Standard cost - Testing'!$A$1:$A$497,0),7))</f>
        <v>0</v>
      </c>
      <c r="H290" s="46"/>
      <c r="I290" s="46"/>
      <c r="J290" s="46"/>
      <c r="K290" s="46"/>
      <c r="L290" s="46"/>
      <c r="M290" s="33">
        <f t="shared" si="247"/>
        <v>0</v>
      </c>
      <c r="N290" s="157">
        <f>IF(E290="","",IF(ISERROR(INDEX('Standard cost - Testing'!$A$1:$N$497,MATCH(RIGHT($C290,4),'Standard cost - Testing'!$A$1:$A$497,0),MATCH($E290,'Standard cost - Testing'!$K$1:$N$1,0)+10)),"NA",INDEX('Standard cost - Testing'!$A$1:$N$497,MATCH(RIGHT($C290,4),'Standard cost - Testing'!$A$1:$A$497,0),MATCH($E290,'Standard cost - Testing'!$K$1:$N$1,0)+10)))</f>
        <v>133548</v>
      </c>
      <c r="O290" s="45">
        <f>IF(OR(ISERROR($N290),$N290="",$N290="NA"),0,H290*$N290)*(1+INDEX('For Finance Control'!$B$27:$E$29,2,MATCH('Project information'!$A$4,'For Finance Control'!$B$27:$E$27,0)))</f>
        <v>0</v>
      </c>
      <c r="P290" s="45">
        <f>IF(OR(ISERROR($N290),$N290="",$N290="NA"),0,I290*$N290)*(1+INDEX('For Finance Control'!$B$27:$E$29,2,MATCH('Project information'!$A$4,'For Finance Control'!$B$27:$E$27,0)))</f>
        <v>0</v>
      </c>
      <c r="Q290" s="45">
        <f>IF(OR(ISERROR($N290),$N290="",$N290="NA"),0,J290*$N290)*(1+INDEX('For Finance Control'!$B$27:$E$29,2,MATCH('Project information'!$A$4,'For Finance Control'!$B$27:$E$27,0)))</f>
        <v>0</v>
      </c>
      <c r="R290" s="45">
        <f>IF(OR(ISERROR($N290),$N290="",$N290="NA"),0,K290*$N290)*(1+INDEX('For Finance Control'!$B$27:$E$29,2,MATCH('Project information'!$A$4,'For Finance Control'!$B$27:$E$27,0)))</f>
        <v>0</v>
      </c>
      <c r="S290" s="45">
        <f>IF(OR(ISERROR($N290),$N290="",$N290="NA"),0,L290*$N290)*(1+INDEX('For Finance Control'!$B$27:$E$29,2,MATCH('Project information'!$A$4,'For Finance Control'!$B$27:$E$27,0)))</f>
        <v>0</v>
      </c>
      <c r="T290" s="45">
        <f t="shared" si="300"/>
        <v>0</v>
      </c>
      <c r="U290" s="33" cm="1">
        <f t="array" ref="U290">IF($N290="NA","NA",$N290*INDEX('Exchange rate'!$A$1:$G$7,MATCH('Project information'!$A$13,'Exchange rate'!$A$1:$A$7,0),MATCH(LOOKUP(2,1/({"China";"Korea";"India";"Japan";"EUR";"NAO"}=$E290),{"CNY";"KRW";"INR";"JPY";"EUR";"USD"}),'Exchange rate'!$A$1:$G$1,0)))</f>
        <v>133548</v>
      </c>
      <c r="V290" s="33">
        <f t="shared" si="301"/>
        <v>0</v>
      </c>
      <c r="W290" s="33">
        <f t="shared" si="302"/>
        <v>0</v>
      </c>
      <c r="X290" s="33">
        <f t="shared" si="303"/>
        <v>0</v>
      </c>
      <c r="Y290" s="33">
        <f t="shared" si="304"/>
        <v>0</v>
      </c>
      <c r="Z290" s="33">
        <f t="shared" si="305"/>
        <v>0</v>
      </c>
      <c r="AA290" s="33">
        <f t="shared" si="306"/>
        <v>0</v>
      </c>
      <c r="AB290" s="246"/>
      <c r="AC290" s="247"/>
      <c r="AZ290" s="148" t="str">
        <f t="shared" si="256"/>
        <v>5.168</v>
      </c>
      <c r="BA290" s="149" t="s">
        <v>392</v>
      </c>
    </row>
    <row r="291" spans="1:53" ht="25" outlineLevel="1">
      <c r="A291" s="148" t="str">
        <f t="shared" si="254"/>
        <v>5.169</v>
      </c>
      <c r="B291" s="148" t="str">
        <f>INDEX('Standard cost - Testing'!$A$1:$N$497,MATCH(RIGHT($C291,4),'Standard cost - Testing'!$A$1:$A$497,0),3)</f>
        <v>LVE</v>
      </c>
      <c r="C291" s="149" t="str">
        <f>'Standard cost - Testing'!B170&amp;" - "&amp;'Standard cost - Testing'!A170</f>
        <v>H.V - H038</v>
      </c>
      <c r="D291" s="150" t="str">
        <f>IF(RIGHT(INDEX('Standard cost - Testing'!$A$1:$N$497,MATCH(RIGHT($C291,4),'Standard cost - Testing'!$A$1:$A$497,0),4),1)="]",INDEX('Standard cost - Testing'!$A$1:$N$497,MATCH(RIGHT($C291,4),'Standard cost - Testing'!$A$1:$A$497,0),4),IF(INDEX('Standard cost - Testing'!$A$1:$N$497,MATCH(RIGHT($C291,4),'Standard cost - Testing'!$A$1:$A$497,0),10)=1,INDEX('Standard cost - Testing'!$A$1:$N$497,MATCH(RIGHT($C291,4),'Standard cost - Testing'!$A$1:$A$497,0),4)&amp;" [1 part]",INDEX('Standard cost - Testing'!$A$1:$N$497,MATCH(RIGHT($C291,4),'Standard cost - Testing'!$A$1:$A$497,0),4)&amp;" ["&amp;INDEX('Standard cost - Testing'!$A$1:$N$497,MATCH(RIGHT($C291,4),'Standard cost - Testing'!$A$1:$A$497,0),10)&amp;" parts]"))</f>
        <v>Direct Insulation Durability Test DV (on shaker bench) [1 part]</v>
      </c>
      <c r="E291" s="51" t="str">
        <f>IF('Project information'!$A$4="","",'Project information'!$A$4)</f>
        <v>China</v>
      </c>
      <c r="F291" s="149" t="str">
        <f>INDEX('Standard cost - Testing'!$A$1:$N$497,MATCH(RIGHT($C291,4),'Standard cost - Testing'!$A$1:$A$497,0),5)</f>
        <v>Faurecia</v>
      </c>
      <c r="G291" s="149" t="str">
        <f>IF($E291='Standard cost - Testing'!$F$1,INDEX('Standard cost - Testing'!$A$1:$N$497,MATCH(RIGHT($C291,4),'Standard cost - Testing'!$A$1:$A$497,0),6),INDEX('Standard cost - Testing'!$A$1:$N$497,MATCH(RIGHT($C291,4),'Standard cost - Testing'!$A$1:$A$497,0),7))</f>
        <v>CHD-I-DSE-2064</v>
      </c>
      <c r="H291" s="46"/>
      <c r="I291" s="46"/>
      <c r="J291" s="46"/>
      <c r="K291" s="46"/>
      <c r="L291" s="46"/>
      <c r="M291" s="33">
        <f t="shared" si="247"/>
        <v>0</v>
      </c>
      <c r="N291" s="157">
        <f>IF(E291="","",IF(ISERROR(INDEX('Standard cost - Testing'!$A$1:$N$497,MATCH(RIGHT($C291,4),'Standard cost - Testing'!$A$1:$A$497,0),MATCH($E291,'Standard cost - Testing'!$K$1:$N$1,0)+10)),"NA",INDEX('Standard cost - Testing'!$A$1:$N$497,MATCH(RIGHT($C291,4),'Standard cost - Testing'!$A$1:$A$497,0),MATCH($E291,'Standard cost - Testing'!$K$1:$N$1,0)+10)))</f>
        <v>148249</v>
      </c>
      <c r="O291" s="45">
        <f>IF(OR(ISERROR($N291),$N291="",$N291="NA"),0,H291*$N291)*(1+INDEX('For Finance Control'!$B$27:$E$29,2,MATCH('Project information'!$A$4,'For Finance Control'!$B$27:$E$27,0)))</f>
        <v>0</v>
      </c>
      <c r="P291" s="45">
        <f>IF(OR(ISERROR($N291),$N291="",$N291="NA"),0,I291*$N291)*(1+INDEX('For Finance Control'!$B$27:$E$29,2,MATCH('Project information'!$A$4,'For Finance Control'!$B$27:$E$27,0)))</f>
        <v>0</v>
      </c>
      <c r="Q291" s="45">
        <f>IF(OR(ISERROR($N291),$N291="",$N291="NA"),0,J291*$N291)*(1+INDEX('For Finance Control'!$B$27:$E$29,2,MATCH('Project information'!$A$4,'For Finance Control'!$B$27:$E$27,0)))</f>
        <v>0</v>
      </c>
      <c r="R291" s="45">
        <f>IF(OR(ISERROR($N291),$N291="",$N291="NA"),0,K291*$N291)*(1+INDEX('For Finance Control'!$B$27:$E$29,2,MATCH('Project information'!$A$4,'For Finance Control'!$B$27:$E$27,0)))</f>
        <v>0</v>
      </c>
      <c r="S291" s="45">
        <f>IF(OR(ISERROR($N291),$N291="",$N291="NA"),0,L291*$N291)*(1+INDEX('For Finance Control'!$B$27:$E$29,2,MATCH('Project information'!$A$4,'For Finance Control'!$B$27:$E$27,0)))</f>
        <v>0</v>
      </c>
      <c r="T291" s="45">
        <f t="shared" si="300"/>
        <v>0</v>
      </c>
      <c r="U291" s="33" cm="1">
        <f t="array" ref="U291">IF($N291="NA","NA",$N291*INDEX('Exchange rate'!$A$1:$G$7,MATCH('Project information'!$A$13,'Exchange rate'!$A$1:$A$7,0),MATCH(LOOKUP(2,1/({"China";"Korea";"India";"Japan";"EUR";"NAO"}=$E291),{"CNY";"KRW";"INR";"JPY";"EUR";"USD"}),'Exchange rate'!$A$1:$G$1,0)))</f>
        <v>148249</v>
      </c>
      <c r="V291" s="33">
        <f t="shared" si="301"/>
        <v>0</v>
      </c>
      <c r="W291" s="33">
        <f t="shared" si="302"/>
        <v>0</v>
      </c>
      <c r="X291" s="33">
        <f t="shared" si="303"/>
        <v>0</v>
      </c>
      <c r="Y291" s="33">
        <f t="shared" si="304"/>
        <v>0</v>
      </c>
      <c r="Z291" s="33">
        <f t="shared" si="305"/>
        <v>0</v>
      </c>
      <c r="AA291" s="33">
        <f t="shared" si="306"/>
        <v>0</v>
      </c>
      <c r="AB291" s="246"/>
      <c r="AC291" s="247"/>
      <c r="AZ291" s="148" t="str">
        <f t="shared" si="256"/>
        <v>5.169</v>
      </c>
      <c r="BA291" s="149" t="s">
        <v>101</v>
      </c>
    </row>
    <row r="292" spans="1:53" ht="37.5" outlineLevel="1">
      <c r="A292" s="148" t="str">
        <f t="shared" si="254"/>
        <v>5.170</v>
      </c>
      <c r="B292" s="148" t="str">
        <f>INDEX('Standard cost - Testing'!$A$1:$N$497,MATCH(RIGHT($C292,4),'Standard cost - Testing'!$A$1:$A$497,0),3)</f>
        <v>LVE</v>
      </c>
      <c r="C292" s="149" t="str">
        <f>'Standard cost - Testing'!B171&amp;" - "&amp;'Standard cost - Testing'!A171</f>
        <v>H.V - H039</v>
      </c>
      <c r="D292" s="150" t="str">
        <f>IF(RIGHT(INDEX('Standard cost - Testing'!$A$1:$N$497,MATCH(RIGHT($C292,4),'Standard cost - Testing'!$A$1:$A$497,0),4),1)="]",INDEX('Standard cost - Testing'!$A$1:$N$497,MATCH(RIGHT($C292,4),'Standard cost - Testing'!$A$1:$A$497,0),4),IF(INDEX('Standard cost - Testing'!$A$1:$N$497,MATCH(RIGHT($C292,4),'Standard cost - Testing'!$A$1:$A$497,0),10)=1,INDEX('Standard cost - Testing'!$A$1:$N$497,MATCH(RIGHT($C292,4),'Standard cost - Testing'!$A$1:$A$497,0),4)&amp;" [1 part]",INDEX('Standard cost - Testing'!$A$1:$N$497,MATCH(RIGHT($C292,4),'Standard cost - Testing'!$A$1:$A$497,0),4)&amp;" ["&amp;INDEX('Standard cost - Testing'!$A$1:$N$497,MATCH(RIGHT($C292,4),'Standard cost - Testing'!$A$1:$A$497,0),10)&amp;" parts]"))</f>
        <v>Direct Insulation Durability Test PV (on shaker bench) (no design or process change) [1 part]</v>
      </c>
      <c r="E292" s="51" t="str">
        <f>IF('Project information'!$A$4="","",'Project information'!$A$4)</f>
        <v>China</v>
      </c>
      <c r="F292" s="149" t="str">
        <f>INDEX('Standard cost - Testing'!$A$1:$N$497,MATCH(RIGHT($C292,4),'Standard cost - Testing'!$A$1:$A$497,0),5)</f>
        <v>Faurecia</v>
      </c>
      <c r="G292" s="149" t="str">
        <f>IF($E292='Standard cost - Testing'!$F$1,INDEX('Standard cost - Testing'!$A$1:$N$497,MATCH(RIGHT($C292,4),'Standard cost - Testing'!$A$1:$A$497,0),6),INDEX('Standard cost - Testing'!$A$1:$N$497,MATCH(RIGHT($C292,4),'Standard cost - Testing'!$A$1:$A$497,0),7))</f>
        <v>CHD-I-DSE-2064</v>
      </c>
      <c r="H292" s="46"/>
      <c r="I292" s="46"/>
      <c r="J292" s="46"/>
      <c r="K292" s="46"/>
      <c r="L292" s="46"/>
      <c r="M292" s="33">
        <f t="shared" si="247"/>
        <v>0</v>
      </c>
      <c r="N292" s="157">
        <f>IF(E292="","",IF(ISERROR(INDEX('Standard cost - Testing'!$A$1:$N$497,MATCH(RIGHT($C292,4),'Standard cost - Testing'!$A$1:$A$497,0),MATCH($E292,'Standard cost - Testing'!$K$1:$N$1,0)+10)),"NA",INDEX('Standard cost - Testing'!$A$1:$N$497,MATCH(RIGHT($C292,4),'Standard cost - Testing'!$A$1:$A$497,0),MATCH($E292,'Standard cost - Testing'!$K$1:$N$1,0)+10)))</f>
        <v>152444</v>
      </c>
      <c r="O292" s="45">
        <f>IF(OR(ISERROR($N292),$N292="",$N292="NA"),0,H292*$N292)*(1+INDEX('For Finance Control'!$B$27:$E$29,2,MATCH('Project information'!$A$4,'For Finance Control'!$B$27:$E$27,0)))</f>
        <v>0</v>
      </c>
      <c r="P292" s="45">
        <f>IF(OR(ISERROR($N292),$N292="",$N292="NA"),0,I292*$N292)*(1+INDEX('For Finance Control'!$B$27:$E$29,2,MATCH('Project information'!$A$4,'For Finance Control'!$B$27:$E$27,0)))</f>
        <v>0</v>
      </c>
      <c r="Q292" s="45">
        <f>IF(OR(ISERROR($N292),$N292="",$N292="NA"),0,J292*$N292)*(1+INDEX('For Finance Control'!$B$27:$E$29,2,MATCH('Project information'!$A$4,'For Finance Control'!$B$27:$E$27,0)))</f>
        <v>0</v>
      </c>
      <c r="R292" s="45">
        <f>IF(OR(ISERROR($N292),$N292="",$N292="NA"),0,K292*$N292)*(1+INDEX('For Finance Control'!$B$27:$E$29,2,MATCH('Project information'!$A$4,'For Finance Control'!$B$27:$E$27,0)))</f>
        <v>0</v>
      </c>
      <c r="S292" s="45">
        <f>IF(OR(ISERROR($N292),$N292="",$N292="NA"),0,L292*$N292)*(1+INDEX('For Finance Control'!$B$27:$E$29,2,MATCH('Project information'!$A$4,'For Finance Control'!$B$27:$E$27,0)))</f>
        <v>0</v>
      </c>
      <c r="T292" s="45">
        <f t="shared" si="300"/>
        <v>0</v>
      </c>
      <c r="U292" s="33" cm="1">
        <f t="array" ref="U292">IF($N292="NA","NA",$N292*INDEX('Exchange rate'!$A$1:$G$7,MATCH('Project information'!$A$13,'Exchange rate'!$A$1:$A$7,0),MATCH(LOOKUP(2,1/({"China";"Korea";"India";"Japan";"EUR";"NAO"}=$E292),{"CNY";"KRW";"INR";"JPY";"EUR";"USD"}),'Exchange rate'!$A$1:$G$1,0)))</f>
        <v>152444</v>
      </c>
      <c r="V292" s="33">
        <f t="shared" si="301"/>
        <v>0</v>
      </c>
      <c r="W292" s="33">
        <f t="shared" si="302"/>
        <v>0</v>
      </c>
      <c r="X292" s="33">
        <f t="shared" si="303"/>
        <v>0</v>
      </c>
      <c r="Y292" s="33">
        <f t="shared" si="304"/>
        <v>0</v>
      </c>
      <c r="Z292" s="33">
        <f t="shared" si="305"/>
        <v>0</v>
      </c>
      <c r="AA292" s="33">
        <f t="shared" si="306"/>
        <v>0</v>
      </c>
      <c r="AB292" s="246"/>
      <c r="AC292" s="247"/>
      <c r="AZ292" s="148" t="str">
        <f t="shared" si="256"/>
        <v>5.170</v>
      </c>
      <c r="BA292" s="149" t="s">
        <v>393</v>
      </c>
    </row>
    <row r="293" spans="1:53" ht="25" outlineLevel="1">
      <c r="A293" s="148" t="str">
        <f t="shared" si="254"/>
        <v>5.171</v>
      </c>
      <c r="B293" s="148" t="str">
        <f>INDEX('Standard cost - Testing'!$A$1:$N$497,MATCH(RIGHT($C293,4),'Standard cost - Testing'!$A$1:$A$497,0),3)</f>
        <v>CVE</v>
      </c>
      <c r="C293" s="149" t="str">
        <f>'Standard cost - Testing'!B172&amp;" - "&amp;'Standard cost - Testing'!A172</f>
        <v>H.V - H040</v>
      </c>
      <c r="D293" s="150" t="str">
        <f>IF(RIGHT(INDEX('Standard cost - Testing'!$A$1:$N$497,MATCH(RIGHT($C293,4),'Standard cost - Testing'!$A$1:$A$497,0),4),1)="]",INDEX('Standard cost - Testing'!$A$1:$N$497,MATCH(RIGHT($C293,4),'Standard cost - Testing'!$A$1:$A$497,0),4),IF(INDEX('Standard cost - Testing'!$A$1:$N$497,MATCH(RIGHT($C293,4),'Standard cost - Testing'!$A$1:$A$497,0),10)=1,INDEX('Standard cost - Testing'!$A$1:$N$497,MATCH(RIGHT($C293,4),'Standard cost - Testing'!$A$1:$A$497,0),4)&amp;" [1 part]",INDEX('Standard cost - Testing'!$A$1:$N$497,MATCH(RIGHT($C293,4),'Standard cost - Testing'!$A$1:$A$497,0),4)&amp;" ["&amp;INDEX('Standard cost - Testing'!$A$1:$N$497,MATCH(RIGHT($C293,4),'Standard cost - Testing'!$A$1:$A$497,0),10)&amp;" parts]"))</f>
        <v>Canning validation section 1 - Hot shaker [2 parts]</v>
      </c>
      <c r="E293" s="51" t="str">
        <f>IF('Project information'!$A$4="","",'Project information'!$A$4)</f>
        <v>China</v>
      </c>
      <c r="F293" s="149" t="str">
        <f>INDEX('Standard cost - Testing'!$A$1:$N$497,MATCH(RIGHT($C293,4),'Standard cost - Testing'!$A$1:$A$497,0),5)</f>
        <v>Faurecia</v>
      </c>
      <c r="G293" s="149" t="str">
        <f>IF($E293='Standard cost - Testing'!$F$1,INDEX('Standard cost - Testing'!$A$1:$N$497,MATCH(RIGHT($C293,4),'Standard cost - Testing'!$A$1:$A$497,0),6),INDEX('Standard cost - Testing'!$A$1:$N$497,MATCH(RIGHT($C293,4),'Standard cost - Testing'!$A$1:$A$497,0),7))</f>
        <v>CHD-I-DSE-2060</v>
      </c>
      <c r="H293" s="46"/>
      <c r="I293" s="46"/>
      <c r="J293" s="46"/>
      <c r="K293" s="46"/>
      <c r="L293" s="46"/>
      <c r="M293" s="33">
        <f t="shared" si="247"/>
        <v>0</v>
      </c>
      <c r="N293" s="157">
        <f>IF(E293="","",IF(ISERROR(INDEX('Standard cost - Testing'!$A$1:$N$497,MATCH(RIGHT($C293,4),'Standard cost - Testing'!$A$1:$A$497,0),MATCH($E293,'Standard cost - Testing'!$K$1:$N$1,0)+10)),"NA",INDEX('Standard cost - Testing'!$A$1:$N$497,MATCH(RIGHT($C293,4),'Standard cost - Testing'!$A$1:$A$497,0),MATCH($E293,'Standard cost - Testing'!$K$1:$N$1,0)+10)))</f>
        <v>76124</v>
      </c>
      <c r="O293" s="45">
        <f>IF(OR(ISERROR($N293),$N293="",$N293="NA"),0,H293*$N293)*(1+INDEX('For Finance Control'!$B$27:$E$29,2,MATCH('Project information'!$A$4,'For Finance Control'!$B$27:$E$27,0)))</f>
        <v>0</v>
      </c>
      <c r="P293" s="45">
        <f>IF(OR(ISERROR($N293),$N293="",$N293="NA"),0,I293*$N293)*(1+INDEX('For Finance Control'!$B$27:$E$29,2,MATCH('Project information'!$A$4,'For Finance Control'!$B$27:$E$27,0)))</f>
        <v>0</v>
      </c>
      <c r="Q293" s="45">
        <f>IF(OR(ISERROR($N293),$N293="",$N293="NA"),0,J293*$N293)*(1+INDEX('For Finance Control'!$B$27:$E$29,2,MATCH('Project information'!$A$4,'For Finance Control'!$B$27:$E$27,0)))</f>
        <v>0</v>
      </c>
      <c r="R293" s="45">
        <f>IF(OR(ISERROR($N293),$N293="",$N293="NA"),0,K293*$N293)*(1+INDEX('For Finance Control'!$B$27:$E$29,2,MATCH('Project information'!$A$4,'For Finance Control'!$B$27:$E$27,0)))</f>
        <v>0</v>
      </c>
      <c r="S293" s="45">
        <f>IF(OR(ISERROR($N293),$N293="",$N293="NA"),0,L293*$N293)*(1+INDEX('For Finance Control'!$B$27:$E$29,2,MATCH('Project information'!$A$4,'For Finance Control'!$B$27:$E$27,0)))</f>
        <v>0</v>
      </c>
      <c r="T293" s="45">
        <f t="shared" si="300"/>
        <v>0</v>
      </c>
      <c r="U293" s="33" cm="1">
        <f t="array" ref="U293">IF($N293="NA","NA",$N293*INDEX('Exchange rate'!$A$1:$G$7,MATCH('Project information'!$A$13,'Exchange rate'!$A$1:$A$7,0),MATCH(LOOKUP(2,1/({"China";"Korea";"India";"Japan";"EUR";"NAO"}=$E293),{"CNY";"KRW";"INR";"JPY";"EUR";"USD"}),'Exchange rate'!$A$1:$G$1,0)))</f>
        <v>76124</v>
      </c>
      <c r="V293" s="33">
        <f t="shared" si="301"/>
        <v>0</v>
      </c>
      <c r="W293" s="33">
        <f t="shared" si="302"/>
        <v>0</v>
      </c>
      <c r="X293" s="33">
        <f t="shared" si="303"/>
        <v>0</v>
      </c>
      <c r="Y293" s="33">
        <f t="shared" si="304"/>
        <v>0</v>
      </c>
      <c r="Z293" s="33">
        <f t="shared" si="305"/>
        <v>0</v>
      </c>
      <c r="AA293" s="33">
        <f t="shared" si="306"/>
        <v>0</v>
      </c>
      <c r="AB293" s="246"/>
      <c r="AC293" s="247"/>
      <c r="AZ293" s="148" t="str">
        <f t="shared" si="256"/>
        <v>5.171</v>
      </c>
      <c r="BA293" s="149" t="s">
        <v>393</v>
      </c>
    </row>
    <row r="294" spans="1:53" ht="25" outlineLevel="1">
      <c r="A294" s="148" t="str">
        <f t="shared" si="254"/>
        <v>5.172</v>
      </c>
      <c r="B294" s="148" t="str">
        <f>INDEX('Standard cost - Testing'!$A$1:$N$497,MATCH(RIGHT($C294,4),'Standard cost - Testing'!$A$1:$A$497,0),3)</f>
        <v>CVE</v>
      </c>
      <c r="C294" s="149" t="str">
        <f>'Standard cost - Testing'!B173&amp;" - "&amp;'Standard cost - Testing'!A173</f>
        <v>H.V - H041</v>
      </c>
      <c r="D294" s="150" t="str">
        <f>IF(RIGHT(INDEX('Standard cost - Testing'!$A$1:$N$497,MATCH(RIGHT($C294,4),'Standard cost - Testing'!$A$1:$A$497,0),4),1)="]",INDEX('Standard cost - Testing'!$A$1:$N$497,MATCH(RIGHT($C294,4),'Standard cost - Testing'!$A$1:$A$497,0),4),IF(INDEX('Standard cost - Testing'!$A$1:$N$497,MATCH(RIGHT($C294,4),'Standard cost - Testing'!$A$1:$A$497,0),10)=1,INDEX('Standard cost - Testing'!$A$1:$N$497,MATCH(RIGHT($C294,4),'Standard cost - Testing'!$A$1:$A$497,0),4)&amp;" [1 part]",INDEX('Standard cost - Testing'!$A$1:$N$497,MATCH(RIGHT($C294,4),'Standard cost - Testing'!$A$1:$A$497,0),4)&amp;" ["&amp;INDEX('Standard cost - Testing'!$A$1:$N$497,MATCH(RIGHT($C294,4),'Standard cost - Testing'!$A$1:$A$497,0),10)&amp;" parts]"))</f>
        <v>Full system hot shake test  (75h for 1 axis) [2 parts]</v>
      </c>
      <c r="E294" s="51" t="str">
        <f>IF('Project information'!$A$4="","",'Project information'!$A$4)</f>
        <v>China</v>
      </c>
      <c r="F294" s="149" t="str">
        <f>INDEX('Standard cost - Testing'!$A$1:$N$497,MATCH(RIGHT($C294,4),'Standard cost - Testing'!$A$1:$A$497,0),5)</f>
        <v>Weichai</v>
      </c>
      <c r="G294" s="149">
        <f>IF($E294='Standard cost - Testing'!$F$1,INDEX('Standard cost - Testing'!$A$1:$N$497,MATCH(RIGHT($C294,4),'Standard cost - Testing'!$A$1:$A$497,0),6),INDEX('Standard cost - Testing'!$A$1:$N$497,MATCH(RIGHT($C294,4),'Standard cost - Testing'!$A$1:$A$497,0),7))</f>
        <v>0</v>
      </c>
      <c r="H294" s="46"/>
      <c r="I294" s="46"/>
      <c r="J294" s="46"/>
      <c r="K294" s="46"/>
      <c r="L294" s="46"/>
      <c r="M294" s="33">
        <f t="shared" si="247"/>
        <v>0</v>
      </c>
      <c r="N294" s="157">
        <f>IF(E294="","",IF(ISERROR(INDEX('Standard cost - Testing'!$A$1:$N$497,MATCH(RIGHT($C294,4),'Standard cost - Testing'!$A$1:$A$497,0),MATCH($E294,'Standard cost - Testing'!$K$1:$N$1,0)+10)),"NA",INDEX('Standard cost - Testing'!$A$1:$N$497,MATCH(RIGHT($C294,4),'Standard cost - Testing'!$A$1:$A$497,0),MATCH($E294,'Standard cost - Testing'!$K$1:$N$1,0)+10)))</f>
        <v>293632</v>
      </c>
      <c r="O294" s="45">
        <f>IF(OR(ISERROR($N294),$N294="",$N294="NA"),0,H294*$N294)*(1+INDEX('For Finance Control'!$B$27:$E$29,2,MATCH('Project information'!$A$4,'For Finance Control'!$B$27:$E$27,0)))</f>
        <v>0</v>
      </c>
      <c r="P294" s="45">
        <f>IF(OR(ISERROR($N294),$N294="",$N294="NA"),0,I294*$N294)*(1+INDEX('For Finance Control'!$B$27:$E$29,2,MATCH('Project information'!$A$4,'For Finance Control'!$B$27:$E$27,0)))</f>
        <v>0</v>
      </c>
      <c r="Q294" s="45">
        <f>IF(OR(ISERROR($N294),$N294="",$N294="NA"),0,J294*$N294)*(1+INDEX('For Finance Control'!$B$27:$E$29,2,MATCH('Project information'!$A$4,'For Finance Control'!$B$27:$E$27,0)))</f>
        <v>0</v>
      </c>
      <c r="R294" s="45">
        <f>IF(OR(ISERROR($N294),$N294="",$N294="NA"),0,K294*$N294)*(1+INDEX('For Finance Control'!$B$27:$E$29,2,MATCH('Project information'!$A$4,'For Finance Control'!$B$27:$E$27,0)))</f>
        <v>0</v>
      </c>
      <c r="S294" s="45">
        <f>IF(OR(ISERROR($N294),$N294="",$N294="NA"),0,L294*$N294)*(1+INDEX('For Finance Control'!$B$27:$E$29,2,MATCH('Project information'!$A$4,'For Finance Control'!$B$27:$E$27,0)))</f>
        <v>0</v>
      </c>
      <c r="T294" s="45">
        <f t="shared" si="300"/>
        <v>0</v>
      </c>
      <c r="U294" s="33" cm="1">
        <f t="array" ref="U294">IF($N294="NA","NA",$N294*INDEX('Exchange rate'!$A$1:$G$7,MATCH('Project information'!$A$13,'Exchange rate'!$A$1:$A$7,0),MATCH(LOOKUP(2,1/({"China";"Korea";"India";"Japan";"EUR";"NAO"}=$E294),{"CNY";"KRW";"INR";"JPY";"EUR";"USD"}),'Exchange rate'!$A$1:$G$1,0)))</f>
        <v>293632</v>
      </c>
      <c r="V294" s="33">
        <f t="shared" si="301"/>
        <v>0</v>
      </c>
      <c r="W294" s="33">
        <f t="shared" si="302"/>
        <v>0</v>
      </c>
      <c r="X294" s="33">
        <f t="shared" si="303"/>
        <v>0</v>
      </c>
      <c r="Y294" s="33">
        <f t="shared" si="304"/>
        <v>0</v>
      </c>
      <c r="Z294" s="33">
        <f t="shared" si="305"/>
        <v>0</v>
      </c>
      <c r="AA294" s="33">
        <f t="shared" si="306"/>
        <v>0</v>
      </c>
      <c r="AB294" s="246"/>
      <c r="AC294" s="247"/>
      <c r="AZ294" s="148" t="str">
        <f t="shared" si="256"/>
        <v>5.172</v>
      </c>
      <c r="BA294" s="149" t="s">
        <v>394</v>
      </c>
    </row>
    <row r="295" spans="1:53" ht="25" outlineLevel="1">
      <c r="A295" s="148" t="str">
        <f t="shared" si="254"/>
        <v>5.173</v>
      </c>
      <c r="B295" s="148" t="str">
        <f>INDEX('Standard cost - Testing'!$A$1:$N$497,MATCH(RIGHT($C295,4),'Standard cost - Testing'!$A$1:$A$497,0),3)</f>
        <v>CVE</v>
      </c>
      <c r="C295" s="149" t="str">
        <f>'Standard cost - Testing'!B174&amp;" - "&amp;'Standard cost - Testing'!A174</f>
        <v>H.V - H042</v>
      </c>
      <c r="D295" s="150" t="str">
        <f>IF(RIGHT(INDEX('Standard cost - Testing'!$A$1:$N$497,MATCH(RIGHT($C295,4),'Standard cost - Testing'!$A$1:$A$497,0),4),1)="]",INDEX('Standard cost - Testing'!$A$1:$N$497,MATCH(RIGHT($C295,4),'Standard cost - Testing'!$A$1:$A$497,0),4),IF(INDEX('Standard cost - Testing'!$A$1:$N$497,MATCH(RIGHT($C295,4),'Standard cost - Testing'!$A$1:$A$497,0),10)=1,INDEX('Standard cost - Testing'!$A$1:$N$497,MATCH(RIGHT($C295,4),'Standard cost - Testing'!$A$1:$A$497,0),4)&amp;" [1 part]",INDEX('Standard cost - Testing'!$A$1:$N$497,MATCH(RIGHT($C295,4),'Standard cost - Testing'!$A$1:$A$497,0),4)&amp;" ["&amp;INDEX('Standard cost - Testing'!$A$1:$N$497,MATCH(RIGHT($C295,4),'Standard cost - Testing'!$A$1:$A$497,0),10)&amp;" parts]"))</f>
        <v>CVE assembly hot vibration test(3 samples) [3 parts]</v>
      </c>
      <c r="E295" s="51" t="str">
        <f>IF('Project information'!$A$4="","",'Project information'!$A$4)</f>
        <v>China</v>
      </c>
      <c r="F295" s="149" t="str">
        <f>INDEX('Standard cost - Testing'!$A$1:$N$497,MATCH(RIGHT($C295,4),'Standard cost - Testing'!$A$1:$A$497,0),5)</f>
        <v>Faurecia</v>
      </c>
      <c r="G295" s="149" t="str">
        <f>IF($E295='Standard cost - Testing'!$F$1,INDEX('Standard cost - Testing'!$A$1:$N$497,MATCH(RIGHT($C295,4),'Standard cost - Testing'!$A$1:$A$497,0),6),INDEX('Standard cost - Testing'!$A$1:$N$497,MATCH(RIGHT($C295,4),'Standard cost - Testing'!$A$1:$A$497,0),7))</f>
        <v>CHD-I-DSE-2058</v>
      </c>
      <c r="H295" s="46"/>
      <c r="I295" s="46"/>
      <c r="J295" s="46"/>
      <c r="K295" s="46"/>
      <c r="L295" s="46"/>
      <c r="M295" s="33">
        <f t="shared" ref="M295:M357" si="307">SUM(H295:L295)</f>
        <v>0</v>
      </c>
      <c r="N295" s="157">
        <f>IF(E295="","",IF(ISERROR(INDEX('Standard cost - Testing'!$A$1:$N$497,MATCH(RIGHT($C295,4),'Standard cost - Testing'!$A$1:$A$497,0),MATCH($E295,'Standard cost - Testing'!$K$1:$N$1,0)+10)),"NA",INDEX('Standard cost - Testing'!$A$1:$N$497,MATCH(RIGHT($C295,4),'Standard cost - Testing'!$A$1:$A$497,0),MATCH($E295,'Standard cost - Testing'!$K$1:$N$1,0)+10)))</f>
        <v>425246</v>
      </c>
      <c r="O295" s="45">
        <f>IF(OR(ISERROR($N295),$N295="",$N295="NA"),0,H295*$N295)*(1+INDEX('For Finance Control'!$B$27:$E$29,2,MATCH('Project information'!$A$4,'For Finance Control'!$B$27:$E$27,0)))</f>
        <v>0</v>
      </c>
      <c r="P295" s="45">
        <f>IF(OR(ISERROR($N295),$N295="",$N295="NA"),0,I295*$N295)*(1+INDEX('For Finance Control'!$B$27:$E$29,2,MATCH('Project information'!$A$4,'For Finance Control'!$B$27:$E$27,0)))</f>
        <v>0</v>
      </c>
      <c r="Q295" s="45">
        <f>IF(OR(ISERROR($N295),$N295="",$N295="NA"),0,J295*$N295)*(1+INDEX('For Finance Control'!$B$27:$E$29,2,MATCH('Project information'!$A$4,'For Finance Control'!$B$27:$E$27,0)))</f>
        <v>0</v>
      </c>
      <c r="R295" s="45">
        <f>IF(OR(ISERROR($N295),$N295="",$N295="NA"),0,K295*$N295)*(1+INDEX('For Finance Control'!$B$27:$E$29,2,MATCH('Project information'!$A$4,'For Finance Control'!$B$27:$E$27,0)))</f>
        <v>0</v>
      </c>
      <c r="S295" s="45">
        <f>IF(OR(ISERROR($N295),$N295="",$N295="NA"),0,L295*$N295)*(1+INDEX('For Finance Control'!$B$27:$E$29,2,MATCH('Project information'!$A$4,'For Finance Control'!$B$27:$E$27,0)))</f>
        <v>0</v>
      </c>
      <c r="T295" s="45">
        <f t="shared" si="300"/>
        <v>0</v>
      </c>
      <c r="U295" s="33" cm="1">
        <f t="array" ref="U295">IF($N295="NA","NA",$N295*INDEX('Exchange rate'!$A$1:$G$7,MATCH('Project information'!$A$13,'Exchange rate'!$A$1:$A$7,0),MATCH(LOOKUP(2,1/({"China";"Korea";"India";"Japan";"EUR";"NAO"}=$E295),{"CNY";"KRW";"INR";"JPY";"EUR";"USD"}),'Exchange rate'!$A$1:$G$1,0)))</f>
        <v>425246</v>
      </c>
      <c r="V295" s="33">
        <f t="shared" si="301"/>
        <v>0</v>
      </c>
      <c r="W295" s="33">
        <f t="shared" si="302"/>
        <v>0</v>
      </c>
      <c r="X295" s="33">
        <f t="shared" si="303"/>
        <v>0</v>
      </c>
      <c r="Y295" s="33">
        <f t="shared" si="304"/>
        <v>0</v>
      </c>
      <c r="Z295" s="33">
        <f t="shared" si="305"/>
        <v>0</v>
      </c>
      <c r="AA295" s="33">
        <f t="shared" si="306"/>
        <v>0</v>
      </c>
      <c r="AB295" s="246"/>
      <c r="AC295" s="247"/>
      <c r="AZ295" s="148" t="str">
        <f t="shared" si="256"/>
        <v>5.173</v>
      </c>
      <c r="BA295" s="149" t="s">
        <v>101</v>
      </c>
    </row>
    <row r="296" spans="1:53" ht="25" outlineLevel="1">
      <c r="A296" s="148" t="str">
        <f t="shared" ref="A296:A358" si="308">$A$122&amp;"."&amp;ROW(A296)-ROW($A$122)</f>
        <v>5.174</v>
      </c>
      <c r="B296" s="148" t="str">
        <f>INDEX('Standard cost - Testing'!$A$1:$N$497,MATCH(RIGHT($C296,4),'Standard cost - Testing'!$A$1:$A$497,0),3)</f>
        <v>CVE</v>
      </c>
      <c r="C296" s="149" t="str">
        <f>'Standard cost - Testing'!B175&amp;" - "&amp;'Standard cost - Testing'!A175</f>
        <v>H.V - H043</v>
      </c>
      <c r="D296" s="150" t="str">
        <f>IF(RIGHT(INDEX('Standard cost - Testing'!$A$1:$N$497,MATCH(RIGHT($C296,4),'Standard cost - Testing'!$A$1:$A$497,0),4),1)="]",INDEX('Standard cost - Testing'!$A$1:$N$497,MATCH(RIGHT($C296,4),'Standard cost - Testing'!$A$1:$A$497,0),4),IF(INDEX('Standard cost - Testing'!$A$1:$N$497,MATCH(RIGHT($C296,4),'Standard cost - Testing'!$A$1:$A$497,0),10)=1,INDEX('Standard cost - Testing'!$A$1:$N$497,MATCH(RIGHT($C296,4),'Standard cost - Testing'!$A$1:$A$497,0),4)&amp;" [1 part]",INDEX('Standard cost - Testing'!$A$1:$N$497,MATCH(RIGHT($C296,4),'Standard cost - Testing'!$A$1:$A$497,0),4)&amp;" ["&amp;INDEX('Standard cost - Testing'!$A$1:$N$497,MATCH(RIGHT($C296,4),'Standard cost - Testing'!$A$1:$A$497,0),10)&amp;" parts]"))</f>
        <v>Hot shaker for canning validation (50h for 1 sample) [1 part]</v>
      </c>
      <c r="E296" s="51" t="str">
        <f>IF('Project information'!$A$4="","",'Project information'!$A$4)</f>
        <v>China</v>
      </c>
      <c r="F296" s="149" t="str">
        <f>INDEX('Standard cost - Testing'!$A$1:$N$497,MATCH(RIGHT($C296,4),'Standard cost - Testing'!$A$1:$A$497,0),5)</f>
        <v>Weichai</v>
      </c>
      <c r="G296" s="149">
        <f>IF($E296='Standard cost - Testing'!$F$1,INDEX('Standard cost - Testing'!$A$1:$N$497,MATCH(RIGHT($C296,4),'Standard cost - Testing'!$A$1:$A$497,0),6),INDEX('Standard cost - Testing'!$A$1:$N$497,MATCH(RIGHT($C296,4),'Standard cost - Testing'!$A$1:$A$497,0),7))</f>
        <v>0</v>
      </c>
      <c r="H296" s="46"/>
      <c r="I296" s="46"/>
      <c r="J296" s="46"/>
      <c r="K296" s="46"/>
      <c r="L296" s="46"/>
      <c r="M296" s="33">
        <f t="shared" si="307"/>
        <v>0</v>
      </c>
      <c r="N296" s="157">
        <f>IF(E296="","",IF(ISERROR(INDEX('Standard cost - Testing'!$A$1:$N$497,MATCH(RIGHT($C296,4),'Standard cost - Testing'!$A$1:$A$497,0),MATCH($E296,'Standard cost - Testing'!$K$1:$N$1,0)+10)),"NA",INDEX('Standard cost - Testing'!$A$1:$N$497,MATCH(RIGHT($C296,4),'Standard cost - Testing'!$A$1:$A$497,0),MATCH($E296,'Standard cost - Testing'!$K$1:$N$1,0)+10)))</f>
        <v>51038</v>
      </c>
      <c r="O296" s="45">
        <f>IF(OR(ISERROR($N296),$N296="",$N296="NA"),0,H296*$N296)*(1+INDEX('For Finance Control'!$B$27:$E$29,2,MATCH('Project information'!$A$4,'For Finance Control'!$B$27:$E$27,0)))</f>
        <v>0</v>
      </c>
      <c r="P296" s="45">
        <f>IF(OR(ISERROR($N296),$N296="",$N296="NA"),0,I296*$N296)*(1+INDEX('For Finance Control'!$B$27:$E$29,2,MATCH('Project information'!$A$4,'For Finance Control'!$B$27:$E$27,0)))</f>
        <v>0</v>
      </c>
      <c r="Q296" s="45">
        <f>IF(OR(ISERROR($N296),$N296="",$N296="NA"),0,J296*$N296)*(1+INDEX('For Finance Control'!$B$27:$E$29,2,MATCH('Project information'!$A$4,'For Finance Control'!$B$27:$E$27,0)))</f>
        <v>0</v>
      </c>
      <c r="R296" s="45">
        <f>IF(OR(ISERROR($N296),$N296="",$N296="NA"),0,K296*$N296)*(1+INDEX('For Finance Control'!$B$27:$E$29,2,MATCH('Project information'!$A$4,'For Finance Control'!$B$27:$E$27,0)))</f>
        <v>0</v>
      </c>
      <c r="S296" s="45">
        <f>IF(OR(ISERROR($N296),$N296="",$N296="NA"),0,L296*$N296)*(1+INDEX('For Finance Control'!$B$27:$E$29,2,MATCH('Project information'!$A$4,'For Finance Control'!$B$27:$E$27,0)))</f>
        <v>0</v>
      </c>
      <c r="T296" s="45">
        <f t="shared" si="300"/>
        <v>0</v>
      </c>
      <c r="U296" s="33" cm="1">
        <f t="array" ref="U296">IF($N296="NA","NA",$N296*INDEX('Exchange rate'!$A$1:$G$7,MATCH('Project information'!$A$13,'Exchange rate'!$A$1:$A$7,0),MATCH(LOOKUP(2,1/({"China";"Korea";"India";"Japan";"EUR";"NAO"}=$E296),{"CNY";"KRW";"INR";"JPY";"EUR";"USD"}),'Exchange rate'!$A$1:$G$1,0)))</f>
        <v>51038</v>
      </c>
      <c r="V296" s="33">
        <f t="shared" si="301"/>
        <v>0</v>
      </c>
      <c r="W296" s="33">
        <f t="shared" si="302"/>
        <v>0</v>
      </c>
      <c r="X296" s="33">
        <f t="shared" si="303"/>
        <v>0</v>
      </c>
      <c r="Y296" s="33">
        <f t="shared" si="304"/>
        <v>0</v>
      </c>
      <c r="Z296" s="33">
        <f t="shared" si="305"/>
        <v>0</v>
      </c>
      <c r="AA296" s="33">
        <f t="shared" si="306"/>
        <v>0</v>
      </c>
      <c r="AB296" s="246"/>
      <c r="AC296" s="247"/>
      <c r="AZ296" s="148" t="str">
        <f t="shared" ref="AZ296:AZ359" si="309">$A$122&amp;"."&amp;ROW(AZ296)-ROW($A$122)</f>
        <v>5.174</v>
      </c>
      <c r="BA296" s="149" t="s">
        <v>395</v>
      </c>
    </row>
    <row r="297" spans="1:53" ht="37.5" outlineLevel="1">
      <c r="A297" s="148" t="str">
        <f t="shared" si="308"/>
        <v>5.175</v>
      </c>
      <c r="B297" s="148" t="str">
        <f>INDEX('Standard cost - Testing'!$A$1:$N$497,MATCH(RIGHT($C297,4),'Standard cost - Testing'!$A$1:$A$497,0),3)</f>
        <v>CVE</v>
      </c>
      <c r="C297" s="149" t="str">
        <f>'Standard cost - Testing'!B176&amp;" - "&amp;'Standard cost - Testing'!A176</f>
        <v>H.V - H044</v>
      </c>
      <c r="D297" s="150" t="str">
        <f>IF(RIGHT(INDEX('Standard cost - Testing'!$A$1:$N$497,MATCH(RIGHT($C297,4),'Standard cost - Testing'!$A$1:$A$497,0),4),1)="]",INDEX('Standard cost - Testing'!$A$1:$N$497,MATCH(RIGHT($C297,4),'Standard cost - Testing'!$A$1:$A$497,0),4),IF(INDEX('Standard cost - Testing'!$A$1:$N$497,MATCH(RIGHT($C297,4),'Standard cost - Testing'!$A$1:$A$497,0),10)=1,INDEX('Standard cost - Testing'!$A$1:$N$497,MATCH(RIGHT($C297,4),'Standard cost - Testing'!$A$1:$A$497,0),4)&amp;" [1 part]",INDEX('Standard cost - Testing'!$A$1:$N$497,MATCH(RIGHT($C297,4),'Standard cost - Testing'!$A$1:$A$497,0),4)&amp;" ["&amp;INDEX('Standard cost - Testing'!$A$1:$N$497,MATCH(RIGHT($C297,4),'Standard cost - Testing'!$A$1:$A$497,0),10)&amp;" parts]"))</f>
        <v>Hot shaker for canning validation (100h thermal + 15 h hot shaker for 1 sample) [2 parts]</v>
      </c>
      <c r="E297" s="51" t="str">
        <f>IF('Project information'!$A$4="","",'Project information'!$A$4)</f>
        <v>China</v>
      </c>
      <c r="F297" s="149" t="str">
        <f>INDEX('Standard cost - Testing'!$A$1:$N$497,MATCH(RIGHT($C297,4),'Standard cost - Testing'!$A$1:$A$497,0),5)</f>
        <v>Weichai</v>
      </c>
      <c r="G297" s="149">
        <f>IF($E297='Standard cost - Testing'!$F$1,INDEX('Standard cost - Testing'!$A$1:$N$497,MATCH(RIGHT($C297,4),'Standard cost - Testing'!$A$1:$A$497,0),6),INDEX('Standard cost - Testing'!$A$1:$N$497,MATCH(RIGHT($C297,4),'Standard cost - Testing'!$A$1:$A$497,0),7))</f>
        <v>0</v>
      </c>
      <c r="H297" s="46"/>
      <c r="I297" s="46"/>
      <c r="J297" s="46"/>
      <c r="K297" s="46"/>
      <c r="L297" s="46"/>
      <c r="M297" s="33">
        <f t="shared" si="307"/>
        <v>0</v>
      </c>
      <c r="N297" s="157">
        <f>IF(E297="","",IF(ISERROR(INDEX('Standard cost - Testing'!$A$1:$N$497,MATCH(RIGHT($C297,4),'Standard cost - Testing'!$A$1:$A$497,0),MATCH($E297,'Standard cost - Testing'!$K$1:$N$1,0)+10)),"NA",INDEX('Standard cost - Testing'!$A$1:$N$497,MATCH(RIGHT($C297,4),'Standard cost - Testing'!$A$1:$A$497,0),MATCH($E297,'Standard cost - Testing'!$K$1:$N$1,0)+10)))</f>
        <v>147472</v>
      </c>
      <c r="O297" s="45">
        <f>IF(OR(ISERROR($N297),$N297="",$N297="NA"),0,H297*$N297)*(1+INDEX('For Finance Control'!$B$27:$E$29,2,MATCH('Project information'!$A$4,'For Finance Control'!$B$27:$E$27,0)))</f>
        <v>0</v>
      </c>
      <c r="P297" s="45">
        <f>IF(OR(ISERROR($N297),$N297="",$N297="NA"),0,I297*$N297)*(1+INDEX('For Finance Control'!$B$27:$E$29,2,MATCH('Project information'!$A$4,'For Finance Control'!$B$27:$E$27,0)))</f>
        <v>0</v>
      </c>
      <c r="Q297" s="45">
        <f>IF(OR(ISERROR($N297),$N297="",$N297="NA"),0,J297*$N297)*(1+INDEX('For Finance Control'!$B$27:$E$29,2,MATCH('Project information'!$A$4,'For Finance Control'!$B$27:$E$27,0)))</f>
        <v>0</v>
      </c>
      <c r="R297" s="45">
        <f>IF(OR(ISERROR($N297),$N297="",$N297="NA"),0,K297*$N297)*(1+INDEX('For Finance Control'!$B$27:$E$29,2,MATCH('Project information'!$A$4,'For Finance Control'!$B$27:$E$27,0)))</f>
        <v>0</v>
      </c>
      <c r="S297" s="45">
        <f>IF(OR(ISERROR($N297),$N297="",$N297="NA"),0,L297*$N297)*(1+INDEX('For Finance Control'!$B$27:$E$29,2,MATCH('Project information'!$A$4,'For Finance Control'!$B$27:$E$27,0)))</f>
        <v>0</v>
      </c>
      <c r="T297" s="45">
        <f t="shared" si="300"/>
        <v>0</v>
      </c>
      <c r="U297" s="33" cm="1">
        <f t="array" ref="U297">IF($N297="NA","NA",$N297*INDEX('Exchange rate'!$A$1:$G$7,MATCH('Project information'!$A$13,'Exchange rate'!$A$1:$A$7,0),MATCH(LOOKUP(2,1/({"China";"Korea";"India";"Japan";"EUR";"NAO"}=$E297),{"CNY";"KRW";"INR";"JPY";"EUR";"USD"}),'Exchange rate'!$A$1:$G$1,0)))</f>
        <v>147472</v>
      </c>
      <c r="V297" s="33">
        <f t="shared" si="301"/>
        <v>0</v>
      </c>
      <c r="W297" s="33">
        <f t="shared" si="302"/>
        <v>0</v>
      </c>
      <c r="X297" s="33">
        <f t="shared" si="303"/>
        <v>0</v>
      </c>
      <c r="Y297" s="33">
        <f t="shared" si="304"/>
        <v>0</v>
      </c>
      <c r="Z297" s="33">
        <f t="shared" si="305"/>
        <v>0</v>
      </c>
      <c r="AA297" s="33">
        <f t="shared" si="306"/>
        <v>0</v>
      </c>
      <c r="AB297" s="246"/>
      <c r="AC297" s="247"/>
      <c r="AZ297" s="148" t="str">
        <f t="shared" si="309"/>
        <v>5.175</v>
      </c>
      <c r="BA297" s="149" t="s">
        <v>101</v>
      </c>
    </row>
    <row r="298" spans="1:53" outlineLevel="1">
      <c r="A298" s="148" t="str">
        <f t="shared" si="308"/>
        <v>5.176</v>
      </c>
      <c r="B298" s="148" t="str">
        <f>INDEX('Standard cost - Testing'!$A$1:$N$497,MATCH(RIGHT($C298,4),'Standard cost - Testing'!$A$1:$A$497,0),3)</f>
        <v>CVE</v>
      </c>
      <c r="C298" s="149" t="str">
        <f>'Standard cost - Testing'!B177&amp;" - "&amp;'Standard cost - Testing'!A177</f>
        <v>H.V - H045</v>
      </c>
      <c r="D298" s="150" t="str">
        <f>IF(RIGHT(INDEX('Standard cost - Testing'!$A$1:$N$497,MATCH(RIGHT($C298,4),'Standard cost - Testing'!$A$1:$A$497,0),4),1)="]",INDEX('Standard cost - Testing'!$A$1:$N$497,MATCH(RIGHT($C298,4),'Standard cost - Testing'!$A$1:$A$497,0),4),IF(INDEX('Standard cost - Testing'!$A$1:$N$497,MATCH(RIGHT($C298,4),'Standard cost - Testing'!$A$1:$A$497,0),10)=1,INDEX('Standard cost - Testing'!$A$1:$N$497,MATCH(RIGHT($C298,4),'Standard cost - Testing'!$A$1:$A$497,0),4)&amp;" [1 part]",INDEX('Standard cost - Testing'!$A$1:$N$497,MATCH(RIGHT($C298,4),'Standard cost - Testing'!$A$1:$A$497,0),4)&amp;" ["&amp;INDEX('Standard cost - Testing'!$A$1:$N$497,MATCH(RIGHT($C298,4),'Standard cost - Testing'!$A$1:$A$497,0),10)&amp;" parts]"))</f>
        <v>Hot shaker - random [2 parts]</v>
      </c>
      <c r="E298" s="51" t="str">
        <f>IF('Project information'!$A$4="","",'Project information'!$A$4)</f>
        <v>China</v>
      </c>
      <c r="F298" s="149" t="str">
        <f>INDEX('Standard cost - Testing'!$A$1:$N$497,MATCH(RIGHT($C298,4),'Standard cost - Testing'!$A$1:$A$497,0),5)</f>
        <v>Weichai</v>
      </c>
      <c r="G298" s="149">
        <f>IF($E298='Standard cost - Testing'!$F$1,INDEX('Standard cost - Testing'!$A$1:$N$497,MATCH(RIGHT($C298,4),'Standard cost - Testing'!$A$1:$A$497,0),6),INDEX('Standard cost - Testing'!$A$1:$N$497,MATCH(RIGHT($C298,4),'Standard cost - Testing'!$A$1:$A$497,0),7))</f>
        <v>0</v>
      </c>
      <c r="H298" s="46"/>
      <c r="I298" s="46"/>
      <c r="J298" s="46"/>
      <c r="K298" s="46"/>
      <c r="L298" s="46"/>
      <c r="M298" s="33">
        <f t="shared" si="307"/>
        <v>0</v>
      </c>
      <c r="N298" s="157">
        <f>IF(E298="","",IF(ISERROR(INDEX('Standard cost - Testing'!$A$1:$N$497,MATCH(RIGHT($C298,4),'Standard cost - Testing'!$A$1:$A$497,0),MATCH($E298,'Standard cost - Testing'!$K$1:$N$1,0)+10)),"NA",INDEX('Standard cost - Testing'!$A$1:$N$497,MATCH(RIGHT($C298,4),'Standard cost - Testing'!$A$1:$A$497,0),MATCH($E298,'Standard cost - Testing'!$K$1:$N$1,0)+10)))</f>
        <v>86298</v>
      </c>
      <c r="O298" s="45">
        <f>IF(OR(ISERROR($N298),$N298="",$N298="NA"),0,H298*$N298)*(1+INDEX('For Finance Control'!$B$27:$E$29,2,MATCH('Project information'!$A$4,'For Finance Control'!$B$27:$E$27,0)))</f>
        <v>0</v>
      </c>
      <c r="P298" s="45">
        <f>IF(OR(ISERROR($N298),$N298="",$N298="NA"),0,I298*$N298)*(1+INDEX('For Finance Control'!$B$27:$E$29,2,MATCH('Project information'!$A$4,'For Finance Control'!$B$27:$E$27,0)))</f>
        <v>0</v>
      </c>
      <c r="Q298" s="45">
        <f>IF(OR(ISERROR($N298),$N298="",$N298="NA"),0,J298*$N298)*(1+INDEX('For Finance Control'!$B$27:$E$29,2,MATCH('Project information'!$A$4,'For Finance Control'!$B$27:$E$27,0)))</f>
        <v>0</v>
      </c>
      <c r="R298" s="45">
        <f>IF(OR(ISERROR($N298),$N298="",$N298="NA"),0,K298*$N298)*(1+INDEX('For Finance Control'!$B$27:$E$29,2,MATCH('Project information'!$A$4,'For Finance Control'!$B$27:$E$27,0)))</f>
        <v>0</v>
      </c>
      <c r="S298" s="45">
        <f>IF(OR(ISERROR($N298),$N298="",$N298="NA"),0,L298*$N298)*(1+INDEX('For Finance Control'!$B$27:$E$29,2,MATCH('Project information'!$A$4,'For Finance Control'!$B$27:$E$27,0)))</f>
        <v>0</v>
      </c>
      <c r="T298" s="45">
        <f t="shared" si="300"/>
        <v>0</v>
      </c>
      <c r="U298" s="33" cm="1">
        <f t="array" ref="U298">IF($N298="NA","NA",$N298*INDEX('Exchange rate'!$A$1:$G$7,MATCH('Project information'!$A$13,'Exchange rate'!$A$1:$A$7,0),MATCH(LOOKUP(2,1/({"China";"Korea";"India";"Japan";"EUR";"NAO"}=$E298),{"CNY";"KRW";"INR";"JPY";"EUR";"USD"}),'Exchange rate'!$A$1:$G$1,0)))</f>
        <v>86298</v>
      </c>
      <c r="V298" s="33">
        <f t="shared" si="301"/>
        <v>0</v>
      </c>
      <c r="W298" s="33">
        <f t="shared" si="302"/>
        <v>0</v>
      </c>
      <c r="X298" s="33">
        <f t="shared" si="303"/>
        <v>0</v>
      </c>
      <c r="Y298" s="33">
        <f t="shared" si="304"/>
        <v>0</v>
      </c>
      <c r="Z298" s="33">
        <f t="shared" si="305"/>
        <v>0</v>
      </c>
      <c r="AA298" s="33">
        <f t="shared" si="306"/>
        <v>0</v>
      </c>
      <c r="AB298" s="246"/>
      <c r="AC298" s="247"/>
      <c r="AZ298" s="148" t="str">
        <f t="shared" si="309"/>
        <v>5.176</v>
      </c>
      <c r="BA298" s="149" t="s">
        <v>101</v>
      </c>
    </row>
    <row r="299" spans="1:53" ht="25" outlineLevel="1">
      <c r="A299" s="148" t="str">
        <f t="shared" si="308"/>
        <v>5.177</v>
      </c>
      <c r="B299" s="148" t="str">
        <f>INDEX('Standard cost - Testing'!$A$1:$N$497,MATCH(RIGHT($C299,4),'Standard cost - Testing'!$A$1:$A$497,0),3)</f>
        <v>LVE</v>
      </c>
      <c r="C299" s="149" t="str">
        <f>'Standard cost - Testing'!B178&amp;" - "&amp;'Standard cost - Testing'!A178</f>
        <v>H.V - H052</v>
      </c>
      <c r="D299" s="150" t="str">
        <f>IF(RIGHT(INDEX('Standard cost - Testing'!$A$1:$N$497,MATCH(RIGHT($C299,4),'Standard cost - Testing'!$A$1:$A$497,0),4),1)="]",INDEX('Standard cost - Testing'!$A$1:$N$497,MATCH(RIGHT($C299,4),'Standard cost - Testing'!$A$1:$A$497,0),4),IF(INDEX('Standard cost - Testing'!$A$1:$N$497,MATCH(RIGHT($C299,4),'Standard cost - Testing'!$A$1:$A$497,0),10)=1,INDEX('Standard cost - Testing'!$A$1:$N$497,MATCH(RIGHT($C299,4),'Standard cost - Testing'!$A$1:$A$497,0),4)&amp;" [1 part]",INDEX('Standard cost - Testing'!$A$1:$N$497,MATCH(RIGHT($C299,4),'Standard cost - Testing'!$A$1:$A$497,0),4)&amp;" ["&amp;INDEX('Standard cost - Testing'!$A$1:$N$497,MATCH(RIGHT($C299,4),'Standard cost - Testing'!$A$1:$A$497,0),10)&amp;" parts]"))</f>
        <v>Canning validation [3 parts]</v>
      </c>
      <c r="E299" s="51" t="str">
        <f>IF('Project information'!$A$4="","",'Project information'!$A$4)</f>
        <v>China</v>
      </c>
      <c r="F299" s="149" t="str">
        <f>INDEX('Standard cost - Testing'!$A$1:$N$497,MATCH(RIGHT($C299,4),'Standard cost - Testing'!$A$1:$A$497,0),5)</f>
        <v>Benz</v>
      </c>
      <c r="G299" s="149" t="str">
        <f>IF($E299='Standard cost - Testing'!$F$1,INDEX('Standard cost - Testing'!$A$1:$N$497,MATCH(RIGHT($C299,4),'Standard cost - Testing'!$A$1:$A$497,0),6),INDEX('Standard cost - Testing'!$A$1:$N$497,MATCH(RIGHT($C299,4),'Standard cost - Testing'!$A$1:$A$497,0),7))</f>
        <v>A0010097999_ZGS003_071217</v>
      </c>
      <c r="H299" s="46"/>
      <c r="I299" s="46"/>
      <c r="J299" s="46"/>
      <c r="K299" s="46"/>
      <c r="L299" s="46"/>
      <c r="M299" s="33">
        <f t="shared" si="307"/>
        <v>0</v>
      </c>
      <c r="N299" s="157">
        <f>IF(E299="","",IF(ISERROR(INDEX('Standard cost - Testing'!$A$1:$N$497,MATCH(RIGHT($C299,4),'Standard cost - Testing'!$A$1:$A$497,0),MATCH($E299,'Standard cost - Testing'!$K$1:$N$1,0)+10)),"NA",INDEX('Standard cost - Testing'!$A$1:$N$497,MATCH(RIGHT($C299,4),'Standard cost - Testing'!$A$1:$A$497,0),MATCH($E299,'Standard cost - Testing'!$K$1:$N$1,0)+10)))</f>
        <v>485449</v>
      </c>
      <c r="O299" s="45">
        <f>IF(OR(ISERROR($N299),$N299="",$N299="NA"),0,H299*$N299)*(1+INDEX('For Finance Control'!$B$27:$E$29,2,MATCH('Project information'!$A$4,'For Finance Control'!$B$27:$E$27,0)))</f>
        <v>0</v>
      </c>
      <c r="P299" s="45">
        <f>IF(OR(ISERROR($N299),$N299="",$N299="NA"),0,I299*$N299)*(1+INDEX('For Finance Control'!$B$27:$E$29,2,MATCH('Project information'!$A$4,'For Finance Control'!$B$27:$E$27,0)))</f>
        <v>0</v>
      </c>
      <c r="Q299" s="45">
        <f>IF(OR(ISERROR($N299),$N299="",$N299="NA"),0,J299*$N299)*(1+INDEX('For Finance Control'!$B$27:$E$29,2,MATCH('Project information'!$A$4,'For Finance Control'!$B$27:$E$27,0)))</f>
        <v>0</v>
      </c>
      <c r="R299" s="45">
        <f>IF(OR(ISERROR($N299),$N299="",$N299="NA"),0,K299*$N299)*(1+INDEX('For Finance Control'!$B$27:$E$29,2,MATCH('Project information'!$A$4,'For Finance Control'!$B$27:$E$27,0)))</f>
        <v>0</v>
      </c>
      <c r="S299" s="45">
        <f>IF(OR(ISERROR($N299),$N299="",$N299="NA"),0,L299*$N299)*(1+INDEX('For Finance Control'!$B$27:$E$29,2,MATCH('Project information'!$A$4,'For Finance Control'!$B$27:$E$27,0)))</f>
        <v>0</v>
      </c>
      <c r="T299" s="45">
        <f t="shared" si="300"/>
        <v>0</v>
      </c>
      <c r="U299" s="33" cm="1">
        <f t="array" ref="U299">IF($N299="NA","NA",$N299*INDEX('Exchange rate'!$A$1:$G$7,MATCH('Project information'!$A$13,'Exchange rate'!$A$1:$A$7,0),MATCH(LOOKUP(2,1/({"China";"Korea";"India";"Japan";"EUR";"NAO"}=$E299),{"CNY";"KRW";"INR";"JPY";"EUR";"USD"}),'Exchange rate'!$A$1:$G$1,0)))</f>
        <v>485449</v>
      </c>
      <c r="V299" s="33">
        <f t="shared" si="301"/>
        <v>0</v>
      </c>
      <c r="W299" s="33">
        <f t="shared" si="302"/>
        <v>0</v>
      </c>
      <c r="X299" s="33">
        <f t="shared" si="303"/>
        <v>0</v>
      </c>
      <c r="Y299" s="33">
        <f t="shared" si="304"/>
        <v>0</v>
      </c>
      <c r="Z299" s="33">
        <f t="shared" si="305"/>
        <v>0</v>
      </c>
      <c r="AA299" s="33">
        <f t="shared" si="306"/>
        <v>0</v>
      </c>
      <c r="AB299" s="246"/>
      <c r="AC299" s="247"/>
      <c r="AZ299" s="148" t="str">
        <f t="shared" si="309"/>
        <v>5.177</v>
      </c>
      <c r="BA299" s="149" t="s">
        <v>101</v>
      </c>
    </row>
    <row r="300" spans="1:53" ht="25" outlineLevel="1">
      <c r="A300" s="148" t="str">
        <f t="shared" si="308"/>
        <v>5.178</v>
      </c>
      <c r="B300" s="148" t="str">
        <f>INDEX('Standard cost - Testing'!$A$1:$N$497,MATCH(RIGHT($C300,4),'Standard cost - Testing'!$A$1:$A$497,0),3)</f>
        <v>CVE</v>
      </c>
      <c r="C300" s="149" t="str">
        <f>'Standard cost - Testing'!B179&amp;" - "&amp;'Standard cost - Testing'!A179</f>
        <v>H.V - H053</v>
      </c>
      <c r="D300" s="150" t="str">
        <f>IF(RIGHT(INDEX('Standard cost - Testing'!$A$1:$N$497,MATCH(RIGHT($C300,4),'Standard cost - Testing'!$A$1:$A$497,0),4),1)="]",INDEX('Standard cost - Testing'!$A$1:$N$497,MATCH(RIGHT($C300,4),'Standard cost - Testing'!$A$1:$A$497,0),4),IF(INDEX('Standard cost - Testing'!$A$1:$N$497,MATCH(RIGHT($C300,4),'Standard cost - Testing'!$A$1:$A$497,0),10)=1,INDEX('Standard cost - Testing'!$A$1:$N$497,MATCH(RIGHT($C300,4),'Standard cost - Testing'!$A$1:$A$497,0),4)&amp;" [1 part]",INDEX('Standard cost - Testing'!$A$1:$N$497,MATCH(RIGHT($C300,4),'Standard cost - Testing'!$A$1:$A$497,0),4)&amp;" ["&amp;INDEX('Standard cost - Testing'!$A$1:$N$497,MATCH(RIGHT($C300,4),'Standard cost - Testing'!$A$1:$A$497,0),10)&amp;" parts]"))</f>
        <v>Full system hot shake test (50h for 1 axis) [2 parts]</v>
      </c>
      <c r="E300" s="51" t="str">
        <f>IF('Project information'!$A$4="","",'Project information'!$A$4)</f>
        <v>China</v>
      </c>
      <c r="F300" s="149" t="str">
        <f>INDEX('Standard cost - Testing'!$A$1:$N$497,MATCH(RIGHT($C300,4),'Standard cost - Testing'!$A$1:$A$497,0),5)</f>
        <v>Weichai</v>
      </c>
      <c r="G300" s="149">
        <f>IF($E300='Standard cost - Testing'!$F$1,INDEX('Standard cost - Testing'!$A$1:$N$497,MATCH(RIGHT($C300,4),'Standard cost - Testing'!$A$1:$A$497,0),6),INDEX('Standard cost - Testing'!$A$1:$N$497,MATCH(RIGHT($C300,4),'Standard cost - Testing'!$A$1:$A$497,0),7))</f>
        <v>0</v>
      </c>
      <c r="H300" s="46"/>
      <c r="I300" s="46"/>
      <c r="J300" s="46"/>
      <c r="K300" s="46"/>
      <c r="L300" s="46"/>
      <c r="M300" s="33">
        <f t="shared" ref="M300" si="310">SUM(H300:L300)</f>
        <v>0</v>
      </c>
      <c r="N300" s="157">
        <f>IF(E300="","",IF(ISERROR(INDEX('Standard cost - Testing'!$A$1:$N$497,MATCH(RIGHT($C300,4),'Standard cost - Testing'!$A$1:$A$497,0),MATCH($E300,'Standard cost - Testing'!$K$1:$N$1,0)+10)),"NA",INDEX('Standard cost - Testing'!$A$1:$N$497,MATCH(RIGHT($C300,4),'Standard cost - Testing'!$A$1:$A$497,0),MATCH($E300,'Standard cost - Testing'!$K$1:$N$1,0)+10)))</f>
        <v>220162</v>
      </c>
      <c r="O300" s="45">
        <f>IF(OR(ISERROR($N300),$N300="",$N300="NA"),0,H300*$N300)*(1+INDEX('For Finance Control'!$B$27:$E$29,2,MATCH('Project information'!$A$4,'For Finance Control'!$B$27:$E$27,0)))</f>
        <v>0</v>
      </c>
      <c r="P300" s="45">
        <f>IF(OR(ISERROR($N300),$N300="",$N300="NA"),0,I300*$N300)*(1+INDEX('For Finance Control'!$B$27:$E$29,2,MATCH('Project information'!$A$4,'For Finance Control'!$B$27:$E$27,0)))</f>
        <v>0</v>
      </c>
      <c r="Q300" s="45">
        <f>IF(OR(ISERROR($N300),$N300="",$N300="NA"),0,J300*$N300)*(1+INDEX('For Finance Control'!$B$27:$E$29,2,MATCH('Project information'!$A$4,'For Finance Control'!$B$27:$E$27,0)))</f>
        <v>0</v>
      </c>
      <c r="R300" s="45">
        <f>IF(OR(ISERROR($N300),$N300="",$N300="NA"),0,K300*$N300)*(1+INDEX('For Finance Control'!$B$27:$E$29,2,MATCH('Project information'!$A$4,'For Finance Control'!$B$27:$E$27,0)))</f>
        <v>0</v>
      </c>
      <c r="S300" s="45">
        <f>IF(OR(ISERROR($N300),$N300="",$N300="NA"),0,L300*$N300)*(1+INDEX('For Finance Control'!$B$27:$E$29,2,MATCH('Project information'!$A$4,'For Finance Control'!$B$27:$E$27,0)))</f>
        <v>0</v>
      </c>
      <c r="T300" s="45">
        <f t="shared" ref="T300" si="311">SUM(O300:S300)</f>
        <v>0</v>
      </c>
      <c r="U300" s="33" cm="1">
        <f t="array" ref="U300">IF($N300="NA","NA",$N300*INDEX('Exchange rate'!$A$1:$G$7,MATCH('Project information'!$A$13,'Exchange rate'!$A$1:$A$7,0),MATCH(LOOKUP(2,1/({"China";"Korea";"India";"Japan";"EUR";"NAO"}=$E300),{"CNY";"KRW";"INR";"JPY";"EUR";"USD"}),'Exchange rate'!$A$1:$G$1,0)))</f>
        <v>220162</v>
      </c>
      <c r="V300" s="33">
        <f t="shared" ref="V300" si="312">IF(OR(ISERROR($U300),$U300="",$U300="NA"),0,H300*$U300)</f>
        <v>0</v>
      </c>
      <c r="W300" s="33">
        <f t="shared" ref="W300" si="313">IF(OR(ISERROR($U300),$U300="",$U300="NA"),0,I300*$U300)</f>
        <v>0</v>
      </c>
      <c r="X300" s="33">
        <f t="shared" ref="X300" si="314">IF(OR(ISERROR($U300),$U300="",$U300="NA"),0,J300*$U300)</f>
        <v>0</v>
      </c>
      <c r="Y300" s="33">
        <f t="shared" ref="Y300" si="315">IF(OR(ISERROR($U300),$U300="",$U300="NA"),0,K300*$U300)</f>
        <v>0</v>
      </c>
      <c r="Z300" s="33">
        <f t="shared" ref="Z300" si="316">IF(OR(ISERROR($U300),$U300="",$U300="NA"),0,L300*$U300)</f>
        <v>0</v>
      </c>
      <c r="AA300" s="33">
        <f t="shared" ref="AA300" si="317">SUM(V300:Z300)</f>
        <v>0</v>
      </c>
      <c r="AB300" s="246"/>
      <c r="AC300" s="247"/>
      <c r="AZ300" s="148" t="str">
        <f t="shared" si="309"/>
        <v>5.178</v>
      </c>
      <c r="BA300" s="149" t="s">
        <v>396</v>
      </c>
    </row>
    <row r="301" spans="1:53" ht="25" outlineLevel="1">
      <c r="A301" s="148" t="str">
        <f t="shared" si="308"/>
        <v>5.179</v>
      </c>
      <c r="B301" s="148" t="str">
        <f>INDEX('Standard cost - Testing'!$A$1:$N$497,MATCH(RIGHT($C301,4),'Standard cost - Testing'!$A$1:$A$497,0),3)</f>
        <v>CVE</v>
      </c>
      <c r="C301" s="149" t="str">
        <f>'Standard cost - Testing'!B180&amp;" - "&amp;'Standard cost - Testing'!A180</f>
        <v>H.V - H054</v>
      </c>
      <c r="D301" s="150" t="str">
        <f>IF(RIGHT(INDEX('Standard cost - Testing'!$A$1:$N$497,MATCH(RIGHT($C301,4),'Standard cost - Testing'!$A$1:$A$497,0),4),1)="]",INDEX('Standard cost - Testing'!$A$1:$N$497,MATCH(RIGHT($C301,4),'Standard cost - Testing'!$A$1:$A$497,0),4),IF(INDEX('Standard cost - Testing'!$A$1:$N$497,MATCH(RIGHT($C301,4),'Standard cost - Testing'!$A$1:$A$497,0),10)=1,INDEX('Standard cost - Testing'!$A$1:$N$497,MATCH(RIGHT($C301,4),'Standard cost - Testing'!$A$1:$A$497,0),4)&amp;" [1 part]",INDEX('Standard cost - Testing'!$A$1:$N$497,MATCH(RIGHT($C301,4),'Standard cost - Testing'!$A$1:$A$497,0),4)&amp;" ["&amp;INDEX('Standard cost - Testing'!$A$1:$N$497,MATCH(RIGHT($C301,4),'Standard cost - Testing'!$A$1:$A$497,0),10)&amp;" parts]"))</f>
        <v>CVE assembly hot vibration test(1 sample) [1 part]</v>
      </c>
      <c r="E301" s="51" t="str">
        <f>IF('Project information'!$A$4="","",'Project information'!$A$4)</f>
        <v>China</v>
      </c>
      <c r="F301" s="149" t="str">
        <f>INDEX('Standard cost - Testing'!$A$1:$N$497,MATCH(RIGHT($C301,4),'Standard cost - Testing'!$A$1:$A$497,0),5)</f>
        <v>Faurecia</v>
      </c>
      <c r="G301" s="149" t="str">
        <f>IF($E301='Standard cost - Testing'!$F$1,INDEX('Standard cost - Testing'!$A$1:$N$497,MATCH(RIGHT($C301,4),'Standard cost - Testing'!$A$1:$A$497,0),6),INDEX('Standard cost - Testing'!$A$1:$N$497,MATCH(RIGHT($C301,4),'Standard cost - Testing'!$A$1:$A$497,0),7))</f>
        <v>CHD-I-DSE-2058</v>
      </c>
      <c r="H301" s="46"/>
      <c r="I301" s="46"/>
      <c r="J301" s="46"/>
      <c r="K301" s="46"/>
      <c r="L301" s="46"/>
      <c r="M301" s="33">
        <f t="shared" si="307"/>
        <v>0</v>
      </c>
      <c r="N301" s="157">
        <f>IF(E301="","",IF(ISERROR(INDEX('Standard cost - Testing'!$A$1:$N$497,MATCH(RIGHT($C301,4),'Standard cost - Testing'!$A$1:$A$497,0),MATCH($E301,'Standard cost - Testing'!$K$1:$N$1,0)+10)),"NA",INDEX('Standard cost - Testing'!$A$1:$N$497,MATCH(RIGHT($C301,4),'Standard cost - Testing'!$A$1:$A$497,0),MATCH($E301,'Standard cost - Testing'!$K$1:$N$1,0)+10)))</f>
        <v>164915</v>
      </c>
      <c r="O301" s="45">
        <f>IF(OR(ISERROR($N301),$N301="",$N301="NA"),0,H301*$N301)*(1+INDEX('For Finance Control'!$B$27:$E$29,2,MATCH('Project information'!$A$4,'For Finance Control'!$B$27:$E$27,0)))</f>
        <v>0</v>
      </c>
      <c r="P301" s="45">
        <f>IF(OR(ISERROR($N301),$N301="",$N301="NA"),0,I301*$N301)*(1+INDEX('For Finance Control'!$B$27:$E$29,2,MATCH('Project information'!$A$4,'For Finance Control'!$B$27:$E$27,0)))</f>
        <v>0</v>
      </c>
      <c r="Q301" s="45">
        <f>IF(OR(ISERROR($N301),$N301="",$N301="NA"),0,J301*$N301)*(1+INDEX('For Finance Control'!$B$27:$E$29,2,MATCH('Project information'!$A$4,'For Finance Control'!$B$27:$E$27,0)))</f>
        <v>0</v>
      </c>
      <c r="R301" s="45">
        <f>IF(OR(ISERROR($N301),$N301="",$N301="NA"),0,K301*$N301)*(1+INDEX('For Finance Control'!$B$27:$E$29,2,MATCH('Project information'!$A$4,'For Finance Control'!$B$27:$E$27,0)))</f>
        <v>0</v>
      </c>
      <c r="S301" s="45">
        <f>IF(OR(ISERROR($N301),$N301="",$N301="NA"),0,L301*$N301)*(1+INDEX('For Finance Control'!$B$27:$E$29,2,MATCH('Project information'!$A$4,'For Finance Control'!$B$27:$E$27,0)))</f>
        <v>0</v>
      </c>
      <c r="T301" s="45">
        <f t="shared" si="300"/>
        <v>0</v>
      </c>
      <c r="U301" s="33" cm="1">
        <f t="array" ref="U301">IF($N301="NA","NA",$N301*INDEX('Exchange rate'!$A$1:$G$7,MATCH('Project information'!$A$13,'Exchange rate'!$A$1:$A$7,0),MATCH(LOOKUP(2,1/({"China";"Korea";"India";"Japan";"EUR";"NAO"}=$E301),{"CNY";"KRW";"INR";"JPY";"EUR";"USD"}),'Exchange rate'!$A$1:$G$1,0)))</f>
        <v>164915</v>
      </c>
      <c r="V301" s="33">
        <f t="shared" si="301"/>
        <v>0</v>
      </c>
      <c r="W301" s="33">
        <f t="shared" si="302"/>
        <v>0</v>
      </c>
      <c r="X301" s="33">
        <f t="shared" si="303"/>
        <v>0</v>
      </c>
      <c r="Y301" s="33">
        <f t="shared" si="304"/>
        <v>0</v>
      </c>
      <c r="Z301" s="33">
        <f t="shared" si="305"/>
        <v>0</v>
      </c>
      <c r="AA301" s="33">
        <f t="shared" si="306"/>
        <v>0</v>
      </c>
      <c r="AB301" s="246"/>
      <c r="AC301" s="247"/>
      <c r="AZ301" s="148" t="str">
        <f t="shared" si="309"/>
        <v>5.179</v>
      </c>
      <c r="BA301" s="149" t="s">
        <v>101</v>
      </c>
    </row>
    <row r="302" spans="1:53" ht="25" outlineLevel="1">
      <c r="A302" s="148" t="str">
        <f t="shared" si="308"/>
        <v>5.180</v>
      </c>
      <c r="B302" s="148" t="str">
        <f>INDEX('Standard cost - Testing'!$A$1:$N$497,MATCH(RIGHT($C302,4),'Standard cost - Testing'!$A$1:$A$497,0),3)</f>
        <v>CVE</v>
      </c>
      <c r="C302" s="149" t="str">
        <f>'Standard cost - Testing'!B181&amp;" - "&amp;'Standard cost - Testing'!A181</f>
        <v>H.V - H055</v>
      </c>
      <c r="D302" s="150" t="str">
        <f>IF(RIGHT(INDEX('Standard cost - Testing'!$A$1:$N$497,MATCH(RIGHT($C302,4),'Standard cost - Testing'!$A$1:$A$497,0),4),1)="]",INDEX('Standard cost - Testing'!$A$1:$N$497,MATCH(RIGHT($C302,4),'Standard cost - Testing'!$A$1:$A$497,0),4),IF(INDEX('Standard cost - Testing'!$A$1:$N$497,MATCH(RIGHT($C302,4),'Standard cost - Testing'!$A$1:$A$497,0),10)=1,INDEX('Standard cost - Testing'!$A$1:$N$497,MATCH(RIGHT($C302,4),'Standard cost - Testing'!$A$1:$A$497,0),4)&amp;" [1 part]",INDEX('Standard cost - Testing'!$A$1:$N$497,MATCH(RIGHT($C302,4),'Standard cost - Testing'!$A$1:$A$497,0),4)&amp;" ["&amp;INDEX('Standard cost - Testing'!$A$1:$N$497,MATCH(RIGHT($C302,4),'Standard cost - Testing'!$A$1:$A$497,0),10)&amp;" parts]"))</f>
        <v>CVE assembly hot vibration test (1 sample sweeping) [1 part]</v>
      </c>
      <c r="E302" s="51" t="str">
        <f>IF('Project information'!$A$4="","",'Project information'!$A$4)</f>
        <v>China</v>
      </c>
      <c r="F302" s="149" t="str">
        <f>INDEX('Standard cost - Testing'!$A$1:$N$497,MATCH(RIGHT($C302,4),'Standard cost - Testing'!$A$1:$A$497,0),5)</f>
        <v>Faurecia</v>
      </c>
      <c r="G302" s="149" t="str">
        <f>IF($E302='Standard cost - Testing'!$F$1,INDEX('Standard cost - Testing'!$A$1:$N$497,MATCH(RIGHT($C302,4),'Standard cost - Testing'!$A$1:$A$497,0),6),INDEX('Standard cost - Testing'!$A$1:$N$497,MATCH(RIGHT($C302,4),'Standard cost - Testing'!$A$1:$A$497,0),7))</f>
        <v>CHD-I-DSE-2058</v>
      </c>
      <c r="H302" s="46"/>
      <c r="I302" s="46"/>
      <c r="J302" s="46"/>
      <c r="K302" s="46"/>
      <c r="L302" s="46"/>
      <c r="M302" s="33">
        <f t="shared" si="307"/>
        <v>0</v>
      </c>
      <c r="N302" s="157">
        <f>IF(E302="","",IF(ISERROR(INDEX('Standard cost - Testing'!$A$1:$N$497,MATCH(RIGHT($C302,4),'Standard cost - Testing'!$A$1:$A$497,0),MATCH($E302,'Standard cost - Testing'!$K$1:$N$1,0)+10)),"NA",INDEX('Standard cost - Testing'!$A$1:$N$497,MATCH(RIGHT($C302,4),'Standard cost - Testing'!$A$1:$A$497,0),MATCH($E302,'Standard cost - Testing'!$K$1:$N$1,0)+10)))</f>
        <v>83394</v>
      </c>
      <c r="O302" s="45">
        <f>IF(OR(ISERROR($N302),$N302="",$N302="NA"),0,H302*$N302)*(1+INDEX('For Finance Control'!$B$27:$E$29,2,MATCH('Project information'!$A$4,'For Finance Control'!$B$27:$E$27,0)))</f>
        <v>0</v>
      </c>
      <c r="P302" s="45">
        <f>IF(OR(ISERROR($N302),$N302="",$N302="NA"),0,I302*$N302)*(1+INDEX('For Finance Control'!$B$27:$E$29,2,MATCH('Project information'!$A$4,'For Finance Control'!$B$27:$E$27,0)))</f>
        <v>0</v>
      </c>
      <c r="Q302" s="45">
        <f>IF(OR(ISERROR($N302),$N302="",$N302="NA"),0,J302*$N302)*(1+INDEX('For Finance Control'!$B$27:$E$29,2,MATCH('Project information'!$A$4,'For Finance Control'!$B$27:$E$27,0)))</f>
        <v>0</v>
      </c>
      <c r="R302" s="45">
        <f>IF(OR(ISERROR($N302),$N302="",$N302="NA"),0,K302*$N302)*(1+INDEX('For Finance Control'!$B$27:$E$29,2,MATCH('Project information'!$A$4,'For Finance Control'!$B$27:$E$27,0)))</f>
        <v>0</v>
      </c>
      <c r="S302" s="45">
        <f>IF(OR(ISERROR($N302),$N302="",$N302="NA"),0,L302*$N302)*(1+INDEX('For Finance Control'!$B$27:$E$29,2,MATCH('Project information'!$A$4,'For Finance Control'!$B$27:$E$27,0)))</f>
        <v>0</v>
      </c>
      <c r="T302" s="45">
        <f t="shared" si="300"/>
        <v>0</v>
      </c>
      <c r="U302" s="33" cm="1">
        <f t="array" ref="U302">IF($N302="NA","NA",$N302*INDEX('Exchange rate'!$A$1:$G$7,MATCH('Project information'!$A$13,'Exchange rate'!$A$1:$A$7,0),MATCH(LOOKUP(2,1/({"China";"Korea";"India";"Japan";"EUR";"NAO"}=$E302),{"CNY";"KRW";"INR";"JPY";"EUR";"USD"}),'Exchange rate'!$A$1:$G$1,0)))</f>
        <v>83394</v>
      </c>
      <c r="V302" s="33">
        <f t="shared" si="301"/>
        <v>0</v>
      </c>
      <c r="W302" s="33">
        <f t="shared" si="302"/>
        <v>0</v>
      </c>
      <c r="X302" s="33">
        <f t="shared" si="303"/>
        <v>0</v>
      </c>
      <c r="Y302" s="33">
        <f t="shared" si="304"/>
        <v>0</v>
      </c>
      <c r="Z302" s="33">
        <f t="shared" si="305"/>
        <v>0</v>
      </c>
      <c r="AA302" s="33">
        <f t="shared" si="306"/>
        <v>0</v>
      </c>
      <c r="AB302" s="246"/>
      <c r="AC302" s="247"/>
      <c r="AZ302" s="148" t="str">
        <f t="shared" si="309"/>
        <v>5.180</v>
      </c>
      <c r="BA302" s="149" t="s">
        <v>397</v>
      </c>
    </row>
    <row r="303" spans="1:53" outlineLevel="1">
      <c r="A303" s="148" t="str">
        <f t="shared" si="308"/>
        <v>5.181</v>
      </c>
      <c r="B303" s="148" t="str">
        <f>INDEX('Standard cost - Testing'!$A$1:$N$497,MATCH(RIGHT($C303,4),'Standard cost - Testing'!$A$1:$A$497,0),3)</f>
        <v>Common</v>
      </c>
      <c r="C303" s="149" t="str">
        <f>'Standard cost - Testing'!B182&amp;" - "&amp;'Standard cost - Testing'!A182</f>
        <v>Material - M001</v>
      </c>
      <c r="D303" s="150" t="str">
        <f>IF(RIGHT(INDEX('Standard cost - Testing'!$A$1:$N$497,MATCH(RIGHT($C303,4),'Standard cost - Testing'!$A$1:$A$497,0),4),1)="]",INDEX('Standard cost - Testing'!$A$1:$N$497,MATCH(RIGHT($C303,4),'Standard cost - Testing'!$A$1:$A$497,0),4),IF(INDEX('Standard cost - Testing'!$A$1:$N$497,MATCH(RIGHT($C303,4),'Standard cost - Testing'!$A$1:$A$497,0),10)=1,INDEX('Standard cost - Testing'!$A$1:$N$497,MATCH(RIGHT($C303,4),'Standard cost - Testing'!$A$1:$A$497,0),4)&amp;" [1 part]",INDEX('Standard cost - Testing'!$A$1:$N$497,MATCH(RIGHT($C303,4),'Standard cost - Testing'!$A$1:$A$497,0),4)&amp;" ["&amp;INDEX('Standard cost - Testing'!$A$1:$N$497,MATCH(RIGHT($C303,4),'Standard cost - Testing'!$A$1:$A$497,0),10)&amp;" parts]"))</f>
        <v>Post Analysis HE / CE (L + DP) [1 part]</v>
      </c>
      <c r="E303" s="51" t="str">
        <f>IF('Project information'!$A$4="","",'Project information'!$A$4)</f>
        <v>China</v>
      </c>
      <c r="F303" s="149" t="str">
        <f>INDEX('Standard cost - Testing'!$A$1:$N$497,MATCH(RIGHT($C303,4),'Standard cost - Testing'!$A$1:$A$497,0),5)</f>
        <v>Faurecia</v>
      </c>
      <c r="G303" s="149" t="str">
        <f>IF($E303='Standard cost - Testing'!$F$1,INDEX('Standard cost - Testing'!$A$1:$N$497,MATCH(RIGHT($C303,4),'Standard cost - Testing'!$A$1:$A$497,0),6),INDEX('Standard cost - Testing'!$A$1:$N$497,MATCH(RIGHT($C303,4),'Standard cost - Testing'!$A$1:$A$497,0),7))</f>
        <v>CHD-I-DSE-2043</v>
      </c>
      <c r="H303" s="46"/>
      <c r="I303" s="46"/>
      <c r="J303" s="46"/>
      <c r="K303" s="46"/>
      <c r="L303" s="46"/>
      <c r="M303" s="33">
        <f t="shared" si="307"/>
        <v>0</v>
      </c>
      <c r="N303" s="157">
        <f>IF(E303="","",IF(ISERROR(INDEX('Standard cost - Testing'!$A$1:$N$497,MATCH(RIGHT($C303,4),'Standard cost - Testing'!$A$1:$A$497,0),MATCH($E303,'Standard cost - Testing'!$K$1:$N$1,0)+10)),"NA",INDEX('Standard cost - Testing'!$A$1:$N$497,MATCH(RIGHT($C303,4),'Standard cost - Testing'!$A$1:$A$497,0),MATCH($E303,'Standard cost - Testing'!$K$1:$N$1,0)+10)))</f>
        <v>3339</v>
      </c>
      <c r="O303" s="45">
        <f>IF(OR(ISERROR($N303),$N303="",$N303="NA"),0,H303*$N303)*(1+INDEX('For Finance Control'!$B$27:$E$29,2,MATCH('Project information'!$A$4,'For Finance Control'!$B$27:$E$27,0)))</f>
        <v>0</v>
      </c>
      <c r="P303" s="45">
        <f>IF(OR(ISERROR($N303),$N303="",$N303="NA"),0,I303*$N303)*(1+INDEX('For Finance Control'!$B$27:$E$29,2,MATCH('Project information'!$A$4,'For Finance Control'!$B$27:$E$27,0)))</f>
        <v>0</v>
      </c>
      <c r="Q303" s="45">
        <f>IF(OR(ISERROR($N303),$N303="",$N303="NA"),0,J303*$N303)*(1+INDEX('For Finance Control'!$B$27:$E$29,2,MATCH('Project information'!$A$4,'For Finance Control'!$B$27:$E$27,0)))</f>
        <v>0</v>
      </c>
      <c r="R303" s="45">
        <f>IF(OR(ISERROR($N303),$N303="",$N303="NA"),0,K303*$N303)*(1+INDEX('For Finance Control'!$B$27:$E$29,2,MATCH('Project information'!$A$4,'For Finance Control'!$B$27:$E$27,0)))</f>
        <v>0</v>
      </c>
      <c r="S303" s="45">
        <f>IF(OR(ISERROR($N303),$N303="",$N303="NA"),0,L303*$N303)*(1+INDEX('For Finance Control'!$B$27:$E$29,2,MATCH('Project information'!$A$4,'For Finance Control'!$B$27:$E$27,0)))</f>
        <v>0</v>
      </c>
      <c r="T303" s="45">
        <f t="shared" si="300"/>
        <v>0</v>
      </c>
      <c r="U303" s="33" cm="1">
        <f t="array" ref="U303">IF($N303="NA","NA",$N303*INDEX('Exchange rate'!$A$1:$G$7,MATCH('Project information'!$A$13,'Exchange rate'!$A$1:$A$7,0),MATCH(LOOKUP(2,1/({"China";"Korea";"India";"Japan";"EUR";"NAO"}=$E303),{"CNY";"KRW";"INR";"JPY";"EUR";"USD"}),'Exchange rate'!$A$1:$G$1,0)))</f>
        <v>3339</v>
      </c>
      <c r="V303" s="33">
        <f t="shared" si="301"/>
        <v>0</v>
      </c>
      <c r="W303" s="33">
        <f t="shared" si="302"/>
        <v>0</v>
      </c>
      <c r="X303" s="33">
        <f t="shared" si="303"/>
        <v>0</v>
      </c>
      <c r="Y303" s="33">
        <f t="shared" si="304"/>
        <v>0</v>
      </c>
      <c r="Z303" s="33">
        <f t="shared" si="305"/>
        <v>0</v>
      </c>
      <c r="AA303" s="33">
        <f t="shared" si="306"/>
        <v>0</v>
      </c>
      <c r="AB303" s="246"/>
      <c r="AC303" s="247"/>
      <c r="AZ303" s="148" t="str">
        <f t="shared" si="309"/>
        <v>5.181</v>
      </c>
      <c r="BA303" s="149" t="s">
        <v>397</v>
      </c>
    </row>
    <row r="304" spans="1:53" ht="25" outlineLevel="1">
      <c r="A304" s="148" t="str">
        <f t="shared" si="308"/>
        <v>5.182</v>
      </c>
      <c r="B304" s="148" t="str">
        <f>INDEX('Standard cost - Testing'!$A$1:$N$497,MATCH(RIGHT($C304,4),'Standard cost - Testing'!$A$1:$A$497,0),3)</f>
        <v>Common</v>
      </c>
      <c r="C304" s="149" t="str">
        <f>'Standard cost - Testing'!B183&amp;" - "&amp;'Standard cost - Testing'!A183</f>
        <v>Material - M002</v>
      </c>
      <c r="D304" s="150" t="str">
        <f>IF(RIGHT(INDEX('Standard cost - Testing'!$A$1:$N$497,MATCH(RIGHT($C304,4),'Standard cost - Testing'!$A$1:$A$497,0),4),1)="]",INDEX('Standard cost - Testing'!$A$1:$N$497,MATCH(RIGHT($C304,4),'Standard cost - Testing'!$A$1:$A$497,0),4),IF(INDEX('Standard cost - Testing'!$A$1:$N$497,MATCH(RIGHT($C304,4),'Standard cost - Testing'!$A$1:$A$497,0),10)=1,INDEX('Standard cost - Testing'!$A$1:$N$497,MATCH(RIGHT($C304,4),'Standard cost - Testing'!$A$1:$A$497,0),4)&amp;" [1 part]",INDEX('Standard cost - Testing'!$A$1:$N$497,MATCH(RIGHT($C304,4),'Standard cost - Testing'!$A$1:$A$497,0),4)&amp;" ["&amp;INDEX('Standard cost - Testing'!$A$1:$N$497,MATCH(RIGHT($C304,4),'Standard cost - Testing'!$A$1:$A$497,0),10)&amp;" parts]"))</f>
        <v>Post Analysis - Canning (PO + GBD + TD) [1 part]</v>
      </c>
      <c r="E304" s="51" t="str">
        <f>IF('Project information'!$A$4="","",'Project information'!$A$4)</f>
        <v>China</v>
      </c>
      <c r="F304" s="149" t="str">
        <f>INDEX('Standard cost - Testing'!$A$1:$N$497,MATCH(RIGHT($C304,4),'Standard cost - Testing'!$A$1:$A$497,0),5)</f>
        <v>Faurecia</v>
      </c>
      <c r="G304" s="149" t="str">
        <f>IF($E304='Standard cost - Testing'!$F$1,INDEX('Standard cost - Testing'!$A$1:$N$497,MATCH(RIGHT($C304,4),'Standard cost - Testing'!$A$1:$A$497,0),6),INDEX('Standard cost - Testing'!$A$1:$N$497,MATCH(RIGHT($C304,4),'Standard cost - Testing'!$A$1:$A$497,0),7))</f>
        <v>CHD-I-DSE-2043</v>
      </c>
      <c r="H304" s="46"/>
      <c r="I304" s="46"/>
      <c r="J304" s="46"/>
      <c r="K304" s="46"/>
      <c r="L304" s="46"/>
      <c r="M304" s="33">
        <f t="shared" si="307"/>
        <v>0</v>
      </c>
      <c r="N304" s="157">
        <f>IF(E304="","",IF(ISERROR(INDEX('Standard cost - Testing'!$A$1:$N$497,MATCH(RIGHT($C304,4),'Standard cost - Testing'!$A$1:$A$497,0),MATCH($E304,'Standard cost - Testing'!$K$1:$N$1,0)+10)),"NA",INDEX('Standard cost - Testing'!$A$1:$N$497,MATCH(RIGHT($C304,4),'Standard cost - Testing'!$A$1:$A$497,0),MATCH($E304,'Standard cost - Testing'!$K$1:$N$1,0)+10)))</f>
        <v>4195</v>
      </c>
      <c r="O304" s="45">
        <f>IF(OR(ISERROR($N304),$N304="",$N304="NA"),0,H304*$N304)*(1+INDEX('For Finance Control'!$B$27:$E$29,2,MATCH('Project information'!$A$4,'For Finance Control'!$B$27:$E$27,0)))</f>
        <v>0</v>
      </c>
      <c r="P304" s="45">
        <f>IF(OR(ISERROR($N304),$N304="",$N304="NA"),0,I304*$N304)*(1+INDEX('For Finance Control'!$B$27:$E$29,2,MATCH('Project information'!$A$4,'For Finance Control'!$B$27:$E$27,0)))</f>
        <v>0</v>
      </c>
      <c r="Q304" s="45">
        <f>IF(OR(ISERROR($N304),$N304="",$N304="NA"),0,J304*$N304)*(1+INDEX('For Finance Control'!$B$27:$E$29,2,MATCH('Project information'!$A$4,'For Finance Control'!$B$27:$E$27,0)))</f>
        <v>0</v>
      </c>
      <c r="R304" s="45">
        <f>IF(OR(ISERROR($N304),$N304="",$N304="NA"),0,K304*$N304)*(1+INDEX('For Finance Control'!$B$27:$E$29,2,MATCH('Project information'!$A$4,'For Finance Control'!$B$27:$E$27,0)))</f>
        <v>0</v>
      </c>
      <c r="S304" s="45">
        <f>IF(OR(ISERROR($N304),$N304="",$N304="NA"),0,L304*$N304)*(1+INDEX('For Finance Control'!$B$27:$E$29,2,MATCH('Project information'!$A$4,'For Finance Control'!$B$27:$E$27,0)))</f>
        <v>0</v>
      </c>
      <c r="T304" s="45">
        <f t="shared" si="300"/>
        <v>0</v>
      </c>
      <c r="U304" s="33" cm="1">
        <f t="array" ref="U304">IF($N304="NA","NA",$N304*INDEX('Exchange rate'!$A$1:$G$7,MATCH('Project information'!$A$13,'Exchange rate'!$A$1:$A$7,0),MATCH(LOOKUP(2,1/({"China";"Korea";"India";"Japan";"EUR";"NAO"}=$E304),{"CNY";"KRW";"INR";"JPY";"EUR";"USD"}),'Exchange rate'!$A$1:$G$1,0)))</f>
        <v>4195</v>
      </c>
      <c r="V304" s="33">
        <f t="shared" si="301"/>
        <v>0</v>
      </c>
      <c r="W304" s="33">
        <f t="shared" si="302"/>
        <v>0</v>
      </c>
      <c r="X304" s="33">
        <f t="shared" si="303"/>
        <v>0</v>
      </c>
      <c r="Y304" s="33">
        <f t="shared" si="304"/>
        <v>0</v>
      </c>
      <c r="Z304" s="33">
        <f t="shared" si="305"/>
        <v>0</v>
      </c>
      <c r="AA304" s="33">
        <f t="shared" si="306"/>
        <v>0</v>
      </c>
      <c r="AB304" s="246"/>
      <c r="AC304" s="247"/>
      <c r="AZ304" s="148" t="str">
        <f t="shared" si="309"/>
        <v>5.182</v>
      </c>
      <c r="BA304" s="149" t="s">
        <v>398</v>
      </c>
    </row>
    <row r="305" spans="1:53" outlineLevel="1">
      <c r="A305" s="148" t="str">
        <f t="shared" si="308"/>
        <v>5.183</v>
      </c>
      <c r="B305" s="148" t="str">
        <f>INDEX('Standard cost - Testing'!$A$1:$N$497,MATCH(RIGHT($C305,4),'Standard cost - Testing'!$A$1:$A$497,0),3)</f>
        <v>Common</v>
      </c>
      <c r="C305" s="149" t="str">
        <f>'Standard cost - Testing'!B184&amp;" - "&amp;'Standard cost - Testing'!A184</f>
        <v>Material - M003</v>
      </c>
      <c r="D305" s="150" t="str">
        <f>IF(RIGHT(INDEX('Standard cost - Testing'!$A$1:$N$497,MATCH(RIGHT($C305,4),'Standard cost - Testing'!$A$1:$A$497,0),4),1)="]",INDEX('Standard cost - Testing'!$A$1:$N$497,MATCH(RIGHT($C305,4),'Standard cost - Testing'!$A$1:$A$497,0),4),IF(INDEX('Standard cost - Testing'!$A$1:$N$497,MATCH(RIGHT($C305,4),'Standard cost - Testing'!$A$1:$A$497,0),10)=1,INDEX('Standard cost - Testing'!$A$1:$N$497,MATCH(RIGHT($C305,4),'Standard cost - Testing'!$A$1:$A$497,0),4)&amp;" [1 part]",INDEX('Standard cost - Testing'!$A$1:$N$497,MATCH(RIGHT($C305,4),'Standard cost - Testing'!$A$1:$A$497,0),4)&amp;" ["&amp;INDEX('Standard cost - Testing'!$A$1:$N$497,MATCH(RIGHT($C305,4),'Standard cost - Testing'!$A$1:$A$497,0),10)&amp;" parts]"))</f>
        <v>Failure part analysis [1 part]</v>
      </c>
      <c r="E305" s="51" t="str">
        <f>IF('Project information'!$A$4="","",'Project information'!$A$4)</f>
        <v>China</v>
      </c>
      <c r="F305" s="149" t="str">
        <f>INDEX('Standard cost - Testing'!$A$1:$N$497,MATCH(RIGHT($C305,4),'Standard cost - Testing'!$A$1:$A$497,0),5)</f>
        <v>Faurecia</v>
      </c>
      <c r="G305" s="149" t="str">
        <f>IF($E305='Standard cost - Testing'!$F$1,INDEX('Standard cost - Testing'!$A$1:$N$497,MATCH(RIGHT($C305,4),'Standard cost - Testing'!$A$1:$A$497,0),6),INDEX('Standard cost - Testing'!$A$1:$N$497,MATCH(RIGHT($C305,4),'Standard cost - Testing'!$A$1:$A$497,0),7))</f>
        <v xml:space="preserve">CHD-I-DSE-2042 </v>
      </c>
      <c r="H305" s="46"/>
      <c r="I305" s="46"/>
      <c r="J305" s="46"/>
      <c r="K305" s="46"/>
      <c r="L305" s="46"/>
      <c r="M305" s="33">
        <f t="shared" si="307"/>
        <v>0</v>
      </c>
      <c r="N305" s="157">
        <f>IF(E305="","",IF(ISERROR(INDEX('Standard cost - Testing'!$A$1:$N$497,MATCH(RIGHT($C305,4),'Standard cost - Testing'!$A$1:$A$497,0),MATCH($E305,'Standard cost - Testing'!$K$1:$N$1,0)+10)),"NA",INDEX('Standard cost - Testing'!$A$1:$N$497,MATCH(RIGHT($C305,4),'Standard cost - Testing'!$A$1:$A$497,0),MATCH($E305,'Standard cost - Testing'!$K$1:$N$1,0)+10)))</f>
        <v>19494</v>
      </c>
      <c r="O305" s="45">
        <f>IF(OR(ISERROR($N305),$N305="",$N305="NA"),0,H305*$N305)*(1+INDEX('For Finance Control'!$B$27:$E$29,2,MATCH('Project information'!$A$4,'For Finance Control'!$B$27:$E$27,0)))</f>
        <v>0</v>
      </c>
      <c r="P305" s="45">
        <f>IF(OR(ISERROR($N305),$N305="",$N305="NA"),0,I305*$N305)*(1+INDEX('For Finance Control'!$B$27:$E$29,2,MATCH('Project information'!$A$4,'For Finance Control'!$B$27:$E$27,0)))</f>
        <v>0</v>
      </c>
      <c r="Q305" s="45">
        <f>IF(OR(ISERROR($N305),$N305="",$N305="NA"),0,J305*$N305)*(1+INDEX('For Finance Control'!$B$27:$E$29,2,MATCH('Project information'!$A$4,'For Finance Control'!$B$27:$E$27,0)))</f>
        <v>0</v>
      </c>
      <c r="R305" s="45">
        <f>IF(OR(ISERROR($N305),$N305="",$N305="NA"),0,K305*$N305)*(1+INDEX('For Finance Control'!$B$27:$E$29,2,MATCH('Project information'!$A$4,'For Finance Control'!$B$27:$E$27,0)))</f>
        <v>0</v>
      </c>
      <c r="S305" s="45">
        <f>IF(OR(ISERROR($N305),$N305="",$N305="NA"),0,L305*$N305)*(1+INDEX('For Finance Control'!$B$27:$E$29,2,MATCH('Project information'!$A$4,'For Finance Control'!$B$27:$E$27,0)))</f>
        <v>0</v>
      </c>
      <c r="T305" s="45">
        <f t="shared" si="300"/>
        <v>0</v>
      </c>
      <c r="U305" s="33" cm="1">
        <f t="array" ref="U305">IF($N305="NA","NA",$N305*INDEX('Exchange rate'!$A$1:$G$7,MATCH('Project information'!$A$13,'Exchange rate'!$A$1:$A$7,0),MATCH(LOOKUP(2,1/({"China";"Korea";"India";"Japan";"EUR";"NAO"}=$E305),{"CNY";"KRW";"INR";"JPY";"EUR";"USD"}),'Exchange rate'!$A$1:$G$1,0)))</f>
        <v>19494</v>
      </c>
      <c r="V305" s="33">
        <f t="shared" si="301"/>
        <v>0</v>
      </c>
      <c r="W305" s="33">
        <f t="shared" si="302"/>
        <v>0</v>
      </c>
      <c r="X305" s="33">
        <f t="shared" si="303"/>
        <v>0</v>
      </c>
      <c r="Y305" s="33">
        <f t="shared" si="304"/>
        <v>0</v>
      </c>
      <c r="Z305" s="33">
        <f t="shared" si="305"/>
        <v>0</v>
      </c>
      <c r="AA305" s="33">
        <f t="shared" si="306"/>
        <v>0</v>
      </c>
      <c r="AB305" s="246"/>
      <c r="AC305" s="247"/>
      <c r="AZ305" s="148" t="str">
        <f t="shared" si="309"/>
        <v>5.183</v>
      </c>
      <c r="BA305" s="149" t="s">
        <v>399</v>
      </c>
    </row>
    <row r="306" spans="1:53" ht="25" outlineLevel="1">
      <c r="A306" s="148" t="str">
        <f t="shared" si="308"/>
        <v>5.184</v>
      </c>
      <c r="B306" s="148" t="str">
        <f>INDEX('Standard cost - Testing'!$A$1:$N$497,MATCH(RIGHT($C306,4),'Standard cost - Testing'!$A$1:$A$497,0),3)</f>
        <v>Common</v>
      </c>
      <c r="C306" s="149" t="str">
        <f>'Standard cost - Testing'!B185&amp;" - "&amp;'Standard cost - Testing'!A185</f>
        <v>Material - M004</v>
      </c>
      <c r="D306" s="150" t="str">
        <f>IF(RIGHT(INDEX('Standard cost - Testing'!$A$1:$N$497,MATCH(RIGHT($C306,4),'Standard cost - Testing'!$A$1:$A$497,0),4),1)="]",INDEX('Standard cost - Testing'!$A$1:$N$497,MATCH(RIGHT($C306,4),'Standard cost - Testing'!$A$1:$A$497,0),4),IF(INDEX('Standard cost - Testing'!$A$1:$N$497,MATCH(RIGHT($C306,4),'Standard cost - Testing'!$A$1:$A$497,0),10)=1,INDEX('Standard cost - Testing'!$A$1:$N$497,MATCH(RIGHT($C306,4),'Standard cost - Testing'!$A$1:$A$497,0),4)&amp;" [1 part]",INDEX('Standard cost - Testing'!$A$1:$N$497,MATCH(RIGHT($C306,4),'Standard cost - Testing'!$A$1:$A$497,0),4)&amp;" ["&amp;INDEX('Standard cost - Testing'!$A$1:$N$497,MATCH(RIGHT($C306,4),'Standard cost - Testing'!$A$1:$A$497,0),10)&amp;" parts]"))</f>
        <v>Chemical composition analysis [2 parts]</v>
      </c>
      <c r="E306" s="51" t="str">
        <f>IF('Project information'!$A$4="","",'Project information'!$A$4)</f>
        <v>China</v>
      </c>
      <c r="F306" s="149" t="str">
        <f>INDEX('Standard cost - Testing'!$A$1:$N$497,MATCH(RIGHT($C306,4),'Standard cost - Testing'!$A$1:$A$497,0),5)</f>
        <v>Faurecia</v>
      </c>
      <c r="G306" s="149" t="str">
        <f>IF($E306='Standard cost - Testing'!$F$1,INDEX('Standard cost - Testing'!$A$1:$N$497,MATCH(RIGHT($C306,4),'Standard cost - Testing'!$A$1:$A$497,0),6),INDEX('Standard cost - Testing'!$A$1:$N$497,MATCH(RIGHT($C306,4),'Standard cost - Testing'!$A$1:$A$497,0),7))</f>
        <v>CHD-I-DSE-2028</v>
      </c>
      <c r="H306" s="46"/>
      <c r="I306" s="46"/>
      <c r="J306" s="46"/>
      <c r="K306" s="46"/>
      <c r="L306" s="46"/>
      <c r="M306" s="33">
        <f t="shared" si="307"/>
        <v>0</v>
      </c>
      <c r="N306" s="157">
        <f>IF(E306="","",IF(ISERROR(INDEX('Standard cost - Testing'!$A$1:$N$497,MATCH(RIGHT($C306,4),'Standard cost - Testing'!$A$1:$A$497,0),MATCH($E306,'Standard cost - Testing'!$K$1:$N$1,0)+10)),"NA",INDEX('Standard cost - Testing'!$A$1:$N$497,MATCH(RIGHT($C306,4),'Standard cost - Testing'!$A$1:$A$497,0),MATCH($E306,'Standard cost - Testing'!$K$1:$N$1,0)+10)))</f>
        <v>3410</v>
      </c>
      <c r="O306" s="45">
        <f>IF(OR(ISERROR($N306),$N306="",$N306="NA"),0,H306*$N306)*(1+INDEX('For Finance Control'!$B$27:$E$29,2,MATCH('Project information'!$A$4,'For Finance Control'!$B$27:$E$27,0)))</f>
        <v>0</v>
      </c>
      <c r="P306" s="45">
        <f>IF(OR(ISERROR($N306),$N306="",$N306="NA"),0,I306*$N306)*(1+INDEX('For Finance Control'!$B$27:$E$29,2,MATCH('Project information'!$A$4,'For Finance Control'!$B$27:$E$27,0)))</f>
        <v>0</v>
      </c>
      <c r="Q306" s="45">
        <f>IF(OR(ISERROR($N306),$N306="",$N306="NA"),0,J306*$N306)*(1+INDEX('For Finance Control'!$B$27:$E$29,2,MATCH('Project information'!$A$4,'For Finance Control'!$B$27:$E$27,0)))</f>
        <v>0</v>
      </c>
      <c r="R306" s="45">
        <f>IF(OR(ISERROR($N306),$N306="",$N306="NA"),0,K306*$N306)*(1+INDEX('For Finance Control'!$B$27:$E$29,2,MATCH('Project information'!$A$4,'For Finance Control'!$B$27:$E$27,0)))</f>
        <v>0</v>
      </c>
      <c r="S306" s="45">
        <f>IF(OR(ISERROR($N306),$N306="",$N306="NA"),0,L306*$N306)*(1+INDEX('For Finance Control'!$B$27:$E$29,2,MATCH('Project information'!$A$4,'For Finance Control'!$B$27:$E$27,0)))</f>
        <v>0</v>
      </c>
      <c r="T306" s="45">
        <f t="shared" si="300"/>
        <v>0</v>
      </c>
      <c r="U306" s="33" cm="1">
        <f t="array" ref="U306">IF($N306="NA","NA",$N306*INDEX('Exchange rate'!$A$1:$G$7,MATCH('Project information'!$A$13,'Exchange rate'!$A$1:$A$7,0),MATCH(LOOKUP(2,1/({"China";"Korea";"India";"Japan";"EUR";"NAO"}=$E306),{"CNY";"KRW";"INR";"JPY";"EUR";"USD"}),'Exchange rate'!$A$1:$G$1,0)))</f>
        <v>3410</v>
      </c>
      <c r="V306" s="33">
        <f t="shared" si="301"/>
        <v>0</v>
      </c>
      <c r="W306" s="33">
        <f t="shared" si="302"/>
        <v>0</v>
      </c>
      <c r="X306" s="33">
        <f t="shared" si="303"/>
        <v>0</v>
      </c>
      <c r="Y306" s="33">
        <f t="shared" si="304"/>
        <v>0</v>
      </c>
      <c r="Z306" s="33">
        <f t="shared" si="305"/>
        <v>0</v>
      </c>
      <c r="AA306" s="33">
        <f t="shared" si="306"/>
        <v>0</v>
      </c>
      <c r="AB306" s="246"/>
      <c r="AC306" s="247"/>
      <c r="AZ306" s="148" t="str">
        <f t="shared" si="309"/>
        <v>5.184</v>
      </c>
      <c r="BA306" s="149" t="s">
        <v>400</v>
      </c>
    </row>
    <row r="307" spans="1:53" outlineLevel="1">
      <c r="A307" s="148" t="str">
        <f t="shared" si="308"/>
        <v>5.185</v>
      </c>
      <c r="B307" s="148" t="str">
        <f>INDEX('Standard cost - Testing'!$A$1:$N$497,MATCH(RIGHT($C307,4),'Standard cost - Testing'!$A$1:$A$497,0),3)</f>
        <v>Common</v>
      </c>
      <c r="C307" s="149" t="str">
        <f>'Standard cost - Testing'!B186&amp;" - "&amp;'Standard cost - Testing'!A186</f>
        <v>Material - M005</v>
      </c>
      <c r="D307" s="150" t="str">
        <f>IF(RIGHT(INDEX('Standard cost - Testing'!$A$1:$N$497,MATCH(RIGHT($C307,4),'Standard cost - Testing'!$A$1:$A$497,0),4),1)="]",INDEX('Standard cost - Testing'!$A$1:$N$497,MATCH(RIGHT($C307,4),'Standard cost - Testing'!$A$1:$A$497,0),4),IF(INDEX('Standard cost - Testing'!$A$1:$N$497,MATCH(RIGHT($C307,4),'Standard cost - Testing'!$A$1:$A$497,0),10)=1,INDEX('Standard cost - Testing'!$A$1:$N$497,MATCH(RIGHT($C307,4),'Standard cost - Testing'!$A$1:$A$497,0),4)&amp;" [1 part]",INDEX('Standard cost - Testing'!$A$1:$N$497,MATCH(RIGHT($C307,4),'Standard cost - Testing'!$A$1:$A$497,0),4)&amp;" ["&amp;INDEX('Standard cost - Testing'!$A$1:$N$497,MATCH(RIGHT($C307,4),'Standard cost - Testing'!$A$1:$A$497,0),10)&amp;" parts]"))</f>
        <v>Welding section analysis [10 sections]</v>
      </c>
      <c r="E307" s="51" t="str">
        <f>IF('Project information'!$A$4="","",'Project information'!$A$4)</f>
        <v>China</v>
      </c>
      <c r="F307" s="149" t="str">
        <f>INDEX('Standard cost - Testing'!$A$1:$N$497,MATCH(RIGHT($C307,4),'Standard cost - Testing'!$A$1:$A$497,0),5)</f>
        <v>Faurecia</v>
      </c>
      <c r="G307" s="149" t="str">
        <f>IF($E307='Standard cost - Testing'!$F$1,INDEX('Standard cost - Testing'!$A$1:$N$497,MATCH(RIGHT($C307,4),'Standard cost - Testing'!$A$1:$A$497,0),6),INDEX('Standard cost - Testing'!$A$1:$N$497,MATCH(RIGHT($C307,4),'Standard cost - Testing'!$A$1:$A$497,0),7))</f>
        <v>CHD-I-DSE-2040</v>
      </c>
      <c r="H307" s="46"/>
      <c r="I307" s="46"/>
      <c r="J307" s="46"/>
      <c r="K307" s="46"/>
      <c r="L307" s="46"/>
      <c r="M307" s="33">
        <f t="shared" si="307"/>
        <v>0</v>
      </c>
      <c r="N307" s="157">
        <f>IF(E307="","",IF(ISERROR(INDEX('Standard cost - Testing'!$A$1:$N$497,MATCH(RIGHT($C307,4),'Standard cost - Testing'!$A$1:$A$497,0),MATCH($E307,'Standard cost - Testing'!$K$1:$N$1,0)+10)),"NA",INDEX('Standard cost - Testing'!$A$1:$N$497,MATCH(RIGHT($C307,4),'Standard cost - Testing'!$A$1:$A$497,0),MATCH($E307,'Standard cost - Testing'!$K$1:$N$1,0)+10)))</f>
        <v>5282</v>
      </c>
      <c r="O307" s="45">
        <f>IF(OR(ISERROR($N307),$N307="",$N307="NA"),0,H307*$N307)*(1+INDEX('For Finance Control'!$B$27:$E$29,2,MATCH('Project information'!$A$4,'For Finance Control'!$B$27:$E$27,0)))</f>
        <v>0</v>
      </c>
      <c r="P307" s="45">
        <f>IF(OR(ISERROR($N307),$N307="",$N307="NA"),0,I307*$N307)*(1+INDEX('For Finance Control'!$B$27:$E$29,2,MATCH('Project information'!$A$4,'For Finance Control'!$B$27:$E$27,0)))</f>
        <v>0</v>
      </c>
      <c r="Q307" s="45">
        <f>IF(OR(ISERROR($N307),$N307="",$N307="NA"),0,J307*$N307)*(1+INDEX('For Finance Control'!$B$27:$E$29,2,MATCH('Project information'!$A$4,'For Finance Control'!$B$27:$E$27,0)))</f>
        <v>0</v>
      </c>
      <c r="R307" s="45">
        <f>IF(OR(ISERROR($N307),$N307="",$N307="NA"),0,K307*$N307)*(1+INDEX('For Finance Control'!$B$27:$E$29,2,MATCH('Project information'!$A$4,'For Finance Control'!$B$27:$E$27,0)))</f>
        <v>0</v>
      </c>
      <c r="S307" s="45">
        <f>IF(OR(ISERROR($N307),$N307="",$N307="NA"),0,L307*$N307)*(1+INDEX('For Finance Control'!$B$27:$E$29,2,MATCH('Project information'!$A$4,'For Finance Control'!$B$27:$E$27,0)))</f>
        <v>0</v>
      </c>
      <c r="T307" s="45">
        <f t="shared" si="300"/>
        <v>0</v>
      </c>
      <c r="U307" s="33" cm="1">
        <f t="array" ref="U307">IF($N307="NA","NA",$N307*INDEX('Exchange rate'!$A$1:$G$7,MATCH('Project information'!$A$13,'Exchange rate'!$A$1:$A$7,0),MATCH(LOOKUP(2,1/({"China";"Korea";"India";"Japan";"EUR";"NAO"}=$E307),{"CNY";"KRW";"INR";"JPY";"EUR";"USD"}),'Exchange rate'!$A$1:$G$1,0)))</f>
        <v>5282</v>
      </c>
      <c r="V307" s="33">
        <f t="shared" si="301"/>
        <v>0</v>
      </c>
      <c r="W307" s="33">
        <f t="shared" si="302"/>
        <v>0</v>
      </c>
      <c r="X307" s="33">
        <f t="shared" si="303"/>
        <v>0</v>
      </c>
      <c r="Y307" s="33">
        <f t="shared" si="304"/>
        <v>0</v>
      </c>
      <c r="Z307" s="33">
        <f t="shared" si="305"/>
        <v>0</v>
      </c>
      <c r="AA307" s="33">
        <f t="shared" si="306"/>
        <v>0</v>
      </c>
      <c r="AB307" s="246"/>
      <c r="AC307" s="247"/>
      <c r="AZ307" s="148" t="str">
        <f t="shared" si="309"/>
        <v>5.185</v>
      </c>
      <c r="BA307" s="149" t="s">
        <v>401</v>
      </c>
    </row>
    <row r="308" spans="1:53" outlineLevel="1">
      <c r="A308" s="148" t="str">
        <f t="shared" si="308"/>
        <v>5.186</v>
      </c>
      <c r="B308" s="148" t="str">
        <f>INDEX('Standard cost - Testing'!$A$1:$N$497,MATCH(RIGHT($C308,4),'Standard cost - Testing'!$A$1:$A$497,0),3)</f>
        <v>Common</v>
      </c>
      <c r="C308" s="149" t="str">
        <f>'Standard cost - Testing'!B187&amp;" - "&amp;'Standard cost - Testing'!A187</f>
        <v>Material - M006</v>
      </c>
      <c r="D308" s="150" t="str">
        <f>IF(RIGHT(INDEX('Standard cost - Testing'!$A$1:$N$497,MATCH(RIGHT($C308,4),'Standard cost - Testing'!$A$1:$A$497,0),4),1)="]",INDEX('Standard cost - Testing'!$A$1:$N$497,MATCH(RIGHT($C308,4),'Standard cost - Testing'!$A$1:$A$497,0),4),IF(INDEX('Standard cost - Testing'!$A$1:$N$497,MATCH(RIGHT($C308,4),'Standard cost - Testing'!$A$1:$A$497,0),10)=1,INDEX('Standard cost - Testing'!$A$1:$N$497,MATCH(RIGHT($C308,4),'Standard cost - Testing'!$A$1:$A$497,0),4)&amp;" [1 part]",INDEX('Standard cost - Testing'!$A$1:$N$497,MATCH(RIGHT($C308,4),'Standard cost - Testing'!$A$1:$A$497,0),4)&amp;" ["&amp;INDEX('Standard cost - Testing'!$A$1:$N$497,MATCH(RIGHT($C308,4),'Standard cost - Testing'!$A$1:$A$497,0),10)&amp;" parts]"))</f>
        <v>Salt spray test [1 part]</v>
      </c>
      <c r="E308" s="51" t="str">
        <f>IF('Project information'!$A$4="","",'Project information'!$A$4)</f>
        <v>China</v>
      </c>
      <c r="F308" s="149" t="str">
        <f>INDEX('Standard cost - Testing'!$A$1:$N$497,MATCH(RIGHT($C308,4),'Standard cost - Testing'!$A$1:$A$497,0),5)</f>
        <v>Faurecia</v>
      </c>
      <c r="G308" s="149" t="str">
        <f>IF($E308='Standard cost - Testing'!$F$1,INDEX('Standard cost - Testing'!$A$1:$N$497,MATCH(RIGHT($C308,4),'Standard cost - Testing'!$A$1:$A$497,0),6),INDEX('Standard cost - Testing'!$A$1:$N$497,MATCH(RIGHT($C308,4),'Standard cost - Testing'!$A$1:$A$497,0),7))</f>
        <v>CHD-I-DSE-2027</v>
      </c>
      <c r="H308" s="46"/>
      <c r="I308" s="46"/>
      <c r="J308" s="46"/>
      <c r="K308" s="46"/>
      <c r="L308" s="46"/>
      <c r="M308" s="33">
        <f t="shared" si="307"/>
        <v>0</v>
      </c>
      <c r="N308" s="157">
        <f>IF(E308="","",IF(ISERROR(INDEX('Standard cost - Testing'!$A$1:$N$497,MATCH(RIGHT($C308,4),'Standard cost - Testing'!$A$1:$A$497,0),MATCH($E308,'Standard cost - Testing'!$K$1:$N$1,0)+10)),"NA",INDEX('Standard cost - Testing'!$A$1:$N$497,MATCH(RIGHT($C308,4),'Standard cost - Testing'!$A$1:$A$497,0),MATCH($E308,'Standard cost - Testing'!$K$1:$N$1,0)+10)))</f>
        <v>57860</v>
      </c>
      <c r="O308" s="45">
        <f>IF(OR(ISERROR($N308),$N308="",$N308="NA"),0,H308*$N308)*(1+INDEX('For Finance Control'!$B$27:$E$29,2,MATCH('Project information'!$A$4,'For Finance Control'!$B$27:$E$27,0)))</f>
        <v>0</v>
      </c>
      <c r="P308" s="45">
        <f>IF(OR(ISERROR($N308),$N308="",$N308="NA"),0,I308*$N308)*(1+INDEX('For Finance Control'!$B$27:$E$29,2,MATCH('Project information'!$A$4,'For Finance Control'!$B$27:$E$27,0)))</f>
        <v>0</v>
      </c>
      <c r="Q308" s="45">
        <f>IF(OR(ISERROR($N308),$N308="",$N308="NA"),0,J308*$N308)*(1+INDEX('For Finance Control'!$B$27:$E$29,2,MATCH('Project information'!$A$4,'For Finance Control'!$B$27:$E$27,0)))</f>
        <v>0</v>
      </c>
      <c r="R308" s="45">
        <f>IF(OR(ISERROR($N308),$N308="",$N308="NA"),0,K308*$N308)*(1+INDEX('For Finance Control'!$B$27:$E$29,2,MATCH('Project information'!$A$4,'For Finance Control'!$B$27:$E$27,0)))</f>
        <v>0</v>
      </c>
      <c r="S308" s="45">
        <f>IF(OR(ISERROR($N308),$N308="",$N308="NA"),0,L308*$N308)*(1+INDEX('For Finance Control'!$B$27:$E$29,2,MATCH('Project information'!$A$4,'For Finance Control'!$B$27:$E$27,0)))</f>
        <v>0</v>
      </c>
      <c r="T308" s="45">
        <f t="shared" si="300"/>
        <v>0</v>
      </c>
      <c r="U308" s="33" cm="1">
        <f t="array" ref="U308">IF($N308="NA","NA",$N308*INDEX('Exchange rate'!$A$1:$G$7,MATCH('Project information'!$A$13,'Exchange rate'!$A$1:$A$7,0),MATCH(LOOKUP(2,1/({"China";"Korea";"India";"Japan";"EUR";"NAO"}=$E308),{"CNY";"KRW";"INR";"JPY";"EUR";"USD"}),'Exchange rate'!$A$1:$G$1,0)))</f>
        <v>57860</v>
      </c>
      <c r="V308" s="33">
        <f t="shared" si="301"/>
        <v>0</v>
      </c>
      <c r="W308" s="33">
        <f t="shared" si="302"/>
        <v>0</v>
      </c>
      <c r="X308" s="33">
        <f t="shared" si="303"/>
        <v>0</v>
      </c>
      <c r="Y308" s="33">
        <f t="shared" si="304"/>
        <v>0</v>
      </c>
      <c r="Z308" s="33">
        <f t="shared" si="305"/>
        <v>0</v>
      </c>
      <c r="AA308" s="33">
        <f t="shared" si="306"/>
        <v>0</v>
      </c>
      <c r="AB308" s="246"/>
      <c r="AC308" s="247"/>
      <c r="AZ308" s="148" t="str">
        <f t="shared" si="309"/>
        <v>5.186</v>
      </c>
      <c r="BA308" s="149" t="s">
        <v>402</v>
      </c>
    </row>
    <row r="309" spans="1:53" outlineLevel="1">
      <c r="A309" s="148" t="str">
        <f t="shared" si="308"/>
        <v>5.187</v>
      </c>
      <c r="B309" s="148" t="str">
        <f>INDEX('Standard cost - Testing'!$A$1:$N$497,MATCH(RIGHT($C309,4),'Standard cost - Testing'!$A$1:$A$497,0),3)</f>
        <v>Common</v>
      </c>
      <c r="C309" s="149" t="str">
        <f>'Standard cost - Testing'!B188&amp;" - "&amp;'Standard cost - Testing'!A188</f>
        <v>Material - M007</v>
      </c>
      <c r="D309" s="150" t="str">
        <f>IF(RIGHT(INDEX('Standard cost - Testing'!$A$1:$N$497,MATCH(RIGHT($C309,4),'Standard cost - Testing'!$A$1:$A$497,0),4),1)="]",INDEX('Standard cost - Testing'!$A$1:$N$497,MATCH(RIGHT($C309,4),'Standard cost - Testing'!$A$1:$A$497,0),4),IF(INDEX('Standard cost - Testing'!$A$1:$N$497,MATCH(RIGHT($C309,4),'Standard cost - Testing'!$A$1:$A$497,0),10)=1,INDEX('Standard cost - Testing'!$A$1:$N$497,MATCH(RIGHT($C309,4),'Standard cost - Testing'!$A$1:$A$497,0),4)&amp;" [1 part]",INDEX('Standard cost - Testing'!$A$1:$N$497,MATCH(RIGHT($C309,4),'Standard cost - Testing'!$A$1:$A$497,0),4)&amp;" ["&amp;INDEX('Standard cost - Testing'!$A$1:$N$497,MATCH(RIGHT($C309,4),'Standard cost - Testing'!$A$1:$A$497,0),10)&amp;" parts]"))</f>
        <v>Material Validation HE [1 grade]</v>
      </c>
      <c r="E309" s="51" t="str">
        <f>IF('Project information'!$A$4="","",'Project information'!$A$4)</f>
        <v>China</v>
      </c>
      <c r="F309" s="149" t="str">
        <f>INDEX('Standard cost - Testing'!$A$1:$N$497,MATCH(RIGHT($C309,4),'Standard cost - Testing'!$A$1:$A$497,0),5)</f>
        <v>Faurecia</v>
      </c>
      <c r="G309" s="149" t="str">
        <f>IF($E309='Standard cost - Testing'!$F$1,INDEX('Standard cost - Testing'!$A$1:$N$497,MATCH(RIGHT($C309,4),'Standard cost - Testing'!$A$1:$A$497,0),6),INDEX('Standard cost - Testing'!$A$1:$N$497,MATCH(RIGHT($C309,4),'Standard cost - Testing'!$A$1:$A$497,0),7))</f>
        <v>CHD-I-DSE-2062</v>
      </c>
      <c r="H309" s="46"/>
      <c r="I309" s="46"/>
      <c r="J309" s="46"/>
      <c r="K309" s="46"/>
      <c r="L309" s="46"/>
      <c r="M309" s="33">
        <f t="shared" si="307"/>
        <v>0</v>
      </c>
      <c r="N309" s="157">
        <f>IF(E309="","",IF(ISERROR(INDEX('Standard cost - Testing'!$A$1:$N$497,MATCH(RIGHT($C309,4),'Standard cost - Testing'!$A$1:$A$497,0),MATCH($E309,'Standard cost - Testing'!$K$1:$N$1,0)+10)),"NA",INDEX('Standard cost - Testing'!$A$1:$N$497,MATCH(RIGHT($C309,4),'Standard cost - Testing'!$A$1:$A$497,0),MATCH($E309,'Standard cost - Testing'!$K$1:$N$1,0)+10)))</f>
        <v>108760</v>
      </c>
      <c r="O309" s="45">
        <f>IF(OR(ISERROR($N309),$N309="",$N309="NA"),0,H309*$N309)*(1+INDEX('For Finance Control'!$B$27:$E$29,2,MATCH('Project information'!$A$4,'For Finance Control'!$B$27:$E$27,0)))</f>
        <v>0</v>
      </c>
      <c r="P309" s="45">
        <f>IF(OR(ISERROR($N309),$N309="",$N309="NA"),0,I309*$N309)*(1+INDEX('For Finance Control'!$B$27:$E$29,2,MATCH('Project information'!$A$4,'For Finance Control'!$B$27:$E$27,0)))</f>
        <v>0</v>
      </c>
      <c r="Q309" s="45">
        <f>IF(OR(ISERROR($N309),$N309="",$N309="NA"),0,J309*$N309)*(1+INDEX('For Finance Control'!$B$27:$E$29,2,MATCH('Project information'!$A$4,'For Finance Control'!$B$27:$E$27,0)))</f>
        <v>0</v>
      </c>
      <c r="R309" s="45">
        <f>IF(OR(ISERROR($N309),$N309="",$N309="NA"),0,K309*$N309)*(1+INDEX('For Finance Control'!$B$27:$E$29,2,MATCH('Project information'!$A$4,'For Finance Control'!$B$27:$E$27,0)))</f>
        <v>0</v>
      </c>
      <c r="S309" s="45">
        <f>IF(OR(ISERROR($N309),$N309="",$N309="NA"),0,L309*$N309)*(1+INDEX('For Finance Control'!$B$27:$E$29,2,MATCH('Project information'!$A$4,'For Finance Control'!$B$27:$E$27,0)))</f>
        <v>0</v>
      </c>
      <c r="T309" s="45">
        <f t="shared" si="300"/>
        <v>0</v>
      </c>
      <c r="U309" s="33" cm="1">
        <f t="array" ref="U309">IF($N309="NA","NA",$N309*INDEX('Exchange rate'!$A$1:$G$7,MATCH('Project information'!$A$13,'Exchange rate'!$A$1:$A$7,0),MATCH(LOOKUP(2,1/({"China";"Korea";"India";"Japan";"EUR";"NAO"}=$E309),{"CNY";"KRW";"INR";"JPY";"EUR";"USD"}),'Exchange rate'!$A$1:$G$1,0)))</f>
        <v>108760</v>
      </c>
      <c r="V309" s="33">
        <f t="shared" si="301"/>
        <v>0</v>
      </c>
      <c r="W309" s="33">
        <f t="shared" si="302"/>
        <v>0</v>
      </c>
      <c r="X309" s="33">
        <f t="shared" si="303"/>
        <v>0</v>
      </c>
      <c r="Y309" s="33">
        <f t="shared" si="304"/>
        <v>0</v>
      </c>
      <c r="Z309" s="33">
        <f t="shared" si="305"/>
        <v>0</v>
      </c>
      <c r="AA309" s="33">
        <f t="shared" si="306"/>
        <v>0</v>
      </c>
      <c r="AB309" s="246"/>
      <c r="AC309" s="247"/>
      <c r="AZ309" s="148" t="str">
        <f t="shared" si="309"/>
        <v>5.187</v>
      </c>
      <c r="BA309" s="149" t="s">
        <v>402</v>
      </c>
    </row>
    <row r="310" spans="1:53" outlineLevel="1">
      <c r="A310" s="148" t="str">
        <f t="shared" si="308"/>
        <v>5.188</v>
      </c>
      <c r="B310" s="148" t="str">
        <f>INDEX('Standard cost - Testing'!$A$1:$N$497,MATCH(RIGHT($C310,4),'Standard cost - Testing'!$A$1:$A$497,0),3)</f>
        <v>Common</v>
      </c>
      <c r="C310" s="149" t="str">
        <f>'Standard cost - Testing'!B189&amp;" - "&amp;'Standard cost - Testing'!A189</f>
        <v>Material - M008</v>
      </c>
      <c r="D310" s="150" t="str">
        <f>IF(RIGHT(INDEX('Standard cost - Testing'!$A$1:$N$497,MATCH(RIGHT($C310,4),'Standard cost - Testing'!$A$1:$A$497,0),4),1)="]",INDEX('Standard cost - Testing'!$A$1:$N$497,MATCH(RIGHT($C310,4),'Standard cost - Testing'!$A$1:$A$497,0),4),IF(INDEX('Standard cost - Testing'!$A$1:$N$497,MATCH(RIGHT($C310,4),'Standard cost - Testing'!$A$1:$A$497,0),10)=1,INDEX('Standard cost - Testing'!$A$1:$N$497,MATCH(RIGHT($C310,4),'Standard cost - Testing'!$A$1:$A$497,0),4)&amp;" [1 part]",INDEX('Standard cost - Testing'!$A$1:$N$497,MATCH(RIGHT($C310,4),'Standard cost - Testing'!$A$1:$A$497,0),4)&amp;" ["&amp;INDEX('Standard cost - Testing'!$A$1:$N$497,MATCH(RIGHT($C310,4),'Standard cost - Testing'!$A$1:$A$497,0),10)&amp;" parts]"))</f>
        <v>Material Validation CE [1 grade]</v>
      </c>
      <c r="E310" s="51" t="str">
        <f>IF('Project information'!$A$4="","",'Project information'!$A$4)</f>
        <v>China</v>
      </c>
      <c r="F310" s="149" t="str">
        <f>INDEX('Standard cost - Testing'!$A$1:$N$497,MATCH(RIGHT($C310,4),'Standard cost - Testing'!$A$1:$A$497,0),5)</f>
        <v>Faurecia</v>
      </c>
      <c r="G310" s="149" t="str">
        <f>IF($E310='Standard cost - Testing'!$F$1,INDEX('Standard cost - Testing'!$A$1:$N$497,MATCH(RIGHT($C310,4),'Standard cost - Testing'!$A$1:$A$497,0),6),INDEX('Standard cost - Testing'!$A$1:$N$497,MATCH(RIGHT($C310,4),'Standard cost - Testing'!$A$1:$A$497,0),7))</f>
        <v>CHD-I-DSE-2062</v>
      </c>
      <c r="H310" s="46"/>
      <c r="I310" s="46"/>
      <c r="J310" s="46"/>
      <c r="K310" s="46"/>
      <c r="L310" s="46"/>
      <c r="M310" s="33">
        <f t="shared" si="307"/>
        <v>0</v>
      </c>
      <c r="N310" s="157">
        <f>IF(E310="","",IF(ISERROR(INDEX('Standard cost - Testing'!$A$1:$N$497,MATCH(RIGHT($C310,4),'Standard cost - Testing'!$A$1:$A$497,0),MATCH($E310,'Standard cost - Testing'!$K$1:$N$1,0)+10)),"NA",INDEX('Standard cost - Testing'!$A$1:$N$497,MATCH(RIGHT($C310,4),'Standard cost - Testing'!$A$1:$A$497,0),MATCH($E310,'Standard cost - Testing'!$K$1:$N$1,0)+10)))</f>
        <v>17100</v>
      </c>
      <c r="O310" s="45">
        <f>IF(OR(ISERROR($N310),$N310="",$N310="NA"),0,H310*$N310)*(1+INDEX('For Finance Control'!$B$27:$E$29,2,MATCH('Project information'!$A$4,'For Finance Control'!$B$27:$E$27,0)))</f>
        <v>0</v>
      </c>
      <c r="P310" s="45">
        <f>IF(OR(ISERROR($N310),$N310="",$N310="NA"),0,I310*$N310)*(1+INDEX('For Finance Control'!$B$27:$E$29,2,MATCH('Project information'!$A$4,'For Finance Control'!$B$27:$E$27,0)))</f>
        <v>0</v>
      </c>
      <c r="Q310" s="45">
        <f>IF(OR(ISERROR($N310),$N310="",$N310="NA"),0,J310*$N310)*(1+INDEX('For Finance Control'!$B$27:$E$29,2,MATCH('Project information'!$A$4,'For Finance Control'!$B$27:$E$27,0)))</f>
        <v>0</v>
      </c>
      <c r="R310" s="45">
        <f>IF(OR(ISERROR($N310),$N310="",$N310="NA"),0,K310*$N310)*(1+INDEX('For Finance Control'!$B$27:$E$29,2,MATCH('Project information'!$A$4,'For Finance Control'!$B$27:$E$27,0)))</f>
        <v>0</v>
      </c>
      <c r="S310" s="45">
        <f>IF(OR(ISERROR($N310),$N310="",$N310="NA"),0,L310*$N310)*(1+INDEX('For Finance Control'!$B$27:$E$29,2,MATCH('Project information'!$A$4,'For Finance Control'!$B$27:$E$27,0)))</f>
        <v>0</v>
      </c>
      <c r="T310" s="45">
        <f t="shared" si="300"/>
        <v>0</v>
      </c>
      <c r="U310" s="33" cm="1">
        <f t="array" ref="U310">IF($N310="NA","NA",$N310*INDEX('Exchange rate'!$A$1:$G$7,MATCH('Project information'!$A$13,'Exchange rate'!$A$1:$A$7,0),MATCH(LOOKUP(2,1/({"China";"Korea";"India";"Japan";"EUR";"NAO"}=$E310),{"CNY";"KRW";"INR";"JPY";"EUR";"USD"}),'Exchange rate'!$A$1:$G$1,0)))</f>
        <v>17100</v>
      </c>
      <c r="V310" s="33">
        <f t="shared" si="301"/>
        <v>0</v>
      </c>
      <c r="W310" s="33">
        <f t="shared" si="302"/>
        <v>0</v>
      </c>
      <c r="X310" s="33">
        <f t="shared" si="303"/>
        <v>0</v>
      </c>
      <c r="Y310" s="33">
        <f t="shared" si="304"/>
        <v>0</v>
      </c>
      <c r="Z310" s="33">
        <f t="shared" si="305"/>
        <v>0</v>
      </c>
      <c r="AA310" s="33">
        <f t="shared" si="306"/>
        <v>0</v>
      </c>
      <c r="AB310" s="246"/>
      <c r="AC310" s="247"/>
      <c r="AZ310" s="148" t="str">
        <f t="shared" si="309"/>
        <v>5.188</v>
      </c>
      <c r="BA310" s="149" t="s">
        <v>403</v>
      </c>
    </row>
    <row r="311" spans="1:53" ht="25" outlineLevel="1">
      <c r="A311" s="148" t="str">
        <f t="shared" si="308"/>
        <v>5.189</v>
      </c>
      <c r="B311" s="148" t="str">
        <f>INDEX('Standard cost - Testing'!$A$1:$N$497,MATCH(RIGHT($C311,4),'Standard cost - Testing'!$A$1:$A$497,0),3)</f>
        <v>Common</v>
      </c>
      <c r="C311" s="149" t="str">
        <f>'Standard cost - Testing'!B190&amp;" - "&amp;'Standard cost - Testing'!A190</f>
        <v>Material - M009</v>
      </c>
      <c r="D311" s="150" t="str">
        <f>IF(RIGHT(INDEX('Standard cost - Testing'!$A$1:$N$497,MATCH(RIGHT($C311,4),'Standard cost - Testing'!$A$1:$A$497,0),4),1)="]",INDEX('Standard cost - Testing'!$A$1:$N$497,MATCH(RIGHT($C311,4),'Standard cost - Testing'!$A$1:$A$497,0),4),IF(INDEX('Standard cost - Testing'!$A$1:$N$497,MATCH(RIGHT($C311,4),'Standard cost - Testing'!$A$1:$A$497,0),10)=1,INDEX('Standard cost - Testing'!$A$1:$N$497,MATCH(RIGHT($C311,4),'Standard cost - Testing'!$A$1:$A$497,0),4)&amp;" [1 part]",INDEX('Standard cost - Testing'!$A$1:$N$497,MATCH(RIGHT($C311,4),'Standard cost - Testing'!$A$1:$A$497,0),4)&amp;" ["&amp;INDEX('Standard cost - Testing'!$A$1:$N$497,MATCH(RIGHT($C311,4),'Standard cost - Testing'!$A$1:$A$497,0),10)&amp;" parts]"))</f>
        <v>Benchmark HE / CE [1 system: ~15 points]</v>
      </c>
      <c r="E311" s="51" t="str">
        <f>IF('Project information'!$A$4="","",'Project information'!$A$4)</f>
        <v>China</v>
      </c>
      <c r="F311" s="149" t="str">
        <f>INDEX('Standard cost - Testing'!$A$1:$N$497,MATCH(RIGHT($C311,4),'Standard cost - Testing'!$A$1:$A$497,0),5)</f>
        <v>Faurecia</v>
      </c>
      <c r="G311" s="149" t="str">
        <f>IF($E311='Standard cost - Testing'!$F$1,INDEX('Standard cost - Testing'!$A$1:$N$497,MATCH(RIGHT($C311,4),'Standard cost - Testing'!$A$1:$A$497,0),6),INDEX('Standard cost - Testing'!$A$1:$N$497,MATCH(RIGHT($C311,4),'Standard cost - Testing'!$A$1:$A$497,0),7))</f>
        <v>CHD-I-DSE-2059</v>
      </c>
      <c r="H311" s="46"/>
      <c r="I311" s="46"/>
      <c r="J311" s="46"/>
      <c r="K311" s="46"/>
      <c r="L311" s="46"/>
      <c r="M311" s="33">
        <f t="shared" si="307"/>
        <v>0</v>
      </c>
      <c r="N311" s="157">
        <f>IF(E311="","",IF(ISERROR(INDEX('Standard cost - Testing'!$A$1:$N$497,MATCH(RIGHT($C311,4),'Standard cost - Testing'!$A$1:$A$497,0),MATCH($E311,'Standard cost - Testing'!$K$1:$N$1,0)+10)),"NA",INDEX('Standard cost - Testing'!$A$1:$N$497,MATCH(RIGHT($C311,4),'Standard cost - Testing'!$A$1:$A$497,0),MATCH($E311,'Standard cost - Testing'!$K$1:$N$1,0)+10)))</f>
        <v>15000</v>
      </c>
      <c r="O311" s="45">
        <f>IF(OR(ISERROR($N311),$N311="",$N311="NA"),0,H311*$N311)*(1+INDEX('For Finance Control'!$B$27:$E$29,2,MATCH('Project information'!$A$4,'For Finance Control'!$B$27:$E$27,0)))</f>
        <v>0</v>
      </c>
      <c r="P311" s="45">
        <f>IF(OR(ISERROR($N311),$N311="",$N311="NA"),0,I311*$N311)*(1+INDEX('For Finance Control'!$B$27:$E$29,2,MATCH('Project information'!$A$4,'For Finance Control'!$B$27:$E$27,0)))</f>
        <v>0</v>
      </c>
      <c r="Q311" s="45">
        <f>IF(OR(ISERROR($N311),$N311="",$N311="NA"),0,J311*$N311)*(1+INDEX('For Finance Control'!$B$27:$E$29,2,MATCH('Project information'!$A$4,'For Finance Control'!$B$27:$E$27,0)))</f>
        <v>0</v>
      </c>
      <c r="R311" s="45">
        <f>IF(OR(ISERROR($N311),$N311="",$N311="NA"),0,K311*$N311)*(1+INDEX('For Finance Control'!$B$27:$E$29,2,MATCH('Project information'!$A$4,'For Finance Control'!$B$27:$E$27,0)))</f>
        <v>0</v>
      </c>
      <c r="S311" s="45">
        <f>IF(OR(ISERROR($N311),$N311="",$N311="NA"),0,L311*$N311)*(1+INDEX('For Finance Control'!$B$27:$E$29,2,MATCH('Project information'!$A$4,'For Finance Control'!$B$27:$E$27,0)))</f>
        <v>0</v>
      </c>
      <c r="T311" s="45">
        <f t="shared" si="300"/>
        <v>0</v>
      </c>
      <c r="U311" s="33" cm="1">
        <f t="array" ref="U311">IF($N311="NA","NA",$N311*INDEX('Exchange rate'!$A$1:$G$7,MATCH('Project information'!$A$13,'Exchange rate'!$A$1:$A$7,0),MATCH(LOOKUP(2,1/({"China";"Korea";"India";"Japan";"EUR";"NAO"}=$E311),{"CNY";"KRW";"INR";"JPY";"EUR";"USD"}),'Exchange rate'!$A$1:$G$1,0)))</f>
        <v>15000</v>
      </c>
      <c r="V311" s="33">
        <f t="shared" si="301"/>
        <v>0</v>
      </c>
      <c r="W311" s="33">
        <f t="shared" si="302"/>
        <v>0</v>
      </c>
      <c r="X311" s="33">
        <f t="shared" si="303"/>
        <v>0</v>
      </c>
      <c r="Y311" s="33">
        <f t="shared" si="304"/>
        <v>0</v>
      </c>
      <c r="Z311" s="33">
        <f t="shared" si="305"/>
        <v>0</v>
      </c>
      <c r="AA311" s="33">
        <f t="shared" si="306"/>
        <v>0</v>
      </c>
      <c r="AB311" s="246"/>
      <c r="AC311" s="247"/>
      <c r="AZ311" s="148" t="str">
        <f t="shared" si="309"/>
        <v>5.189</v>
      </c>
      <c r="BA311" s="149" t="s">
        <v>101</v>
      </c>
    </row>
    <row r="312" spans="1:53" ht="25" outlineLevel="1">
      <c r="A312" s="148" t="str">
        <f t="shared" si="308"/>
        <v>5.190</v>
      </c>
      <c r="B312" s="148" t="str">
        <f>INDEX('Standard cost - Testing'!$A$1:$N$497,MATCH(RIGHT($C312,4),'Standard cost - Testing'!$A$1:$A$497,0),3)</f>
        <v>Common</v>
      </c>
      <c r="C312" s="149" t="str">
        <f>'Standard cost - Testing'!B191&amp;" - "&amp;'Standard cost - Testing'!A191</f>
        <v>Material - M010</v>
      </c>
      <c r="D312" s="150" t="str">
        <f>IF(RIGHT(INDEX('Standard cost - Testing'!$A$1:$N$497,MATCH(RIGHT($C312,4),'Standard cost - Testing'!$A$1:$A$497,0),4),1)="]",INDEX('Standard cost - Testing'!$A$1:$N$497,MATCH(RIGHT($C312,4),'Standard cost - Testing'!$A$1:$A$497,0),4),IF(INDEX('Standard cost - Testing'!$A$1:$N$497,MATCH(RIGHT($C312,4),'Standard cost - Testing'!$A$1:$A$497,0),10)=1,INDEX('Standard cost - Testing'!$A$1:$N$497,MATCH(RIGHT($C312,4),'Standard cost - Testing'!$A$1:$A$497,0),4)&amp;" [1 part]",INDEX('Standard cost - Testing'!$A$1:$N$497,MATCH(RIGHT($C312,4),'Standard cost - Testing'!$A$1:$A$497,0),4)&amp;" ["&amp;INDEX('Standard cost - Testing'!$A$1:$N$497,MATCH(RIGHT($C312,4),'Standard cost - Testing'!$A$1:$A$497,0),10)&amp;" parts]"))</f>
        <v>Corrosion analysis (1 CE system) [1 part]</v>
      </c>
      <c r="E312" s="51" t="str">
        <f>IF('Project information'!$A$4="","",'Project information'!$A$4)</f>
        <v>China</v>
      </c>
      <c r="F312" s="149" t="str">
        <f>INDEX('Standard cost - Testing'!$A$1:$N$497,MATCH(RIGHT($C312,4),'Standard cost - Testing'!$A$1:$A$497,0),5)</f>
        <v>Faurecia</v>
      </c>
      <c r="G312" s="149">
        <f>IF($E312='Standard cost - Testing'!$F$1,INDEX('Standard cost - Testing'!$A$1:$N$497,MATCH(RIGHT($C312,4),'Standard cost - Testing'!$A$1:$A$497,0),6),INDEX('Standard cost - Testing'!$A$1:$N$497,MATCH(RIGHT($C312,4),'Standard cost - Testing'!$A$1:$A$497,0),7))</f>
        <v>0</v>
      </c>
      <c r="H312" s="46"/>
      <c r="I312" s="46"/>
      <c r="J312" s="46"/>
      <c r="K312" s="46"/>
      <c r="L312" s="46"/>
      <c r="M312" s="33">
        <f t="shared" si="307"/>
        <v>0</v>
      </c>
      <c r="N312" s="157">
        <f>IF(E312="","",IF(ISERROR(INDEX('Standard cost - Testing'!$A$1:$N$497,MATCH(RIGHT($C312,4),'Standard cost - Testing'!$A$1:$A$497,0),MATCH($E312,'Standard cost - Testing'!$K$1:$N$1,0)+10)),"NA",INDEX('Standard cost - Testing'!$A$1:$N$497,MATCH(RIGHT($C312,4),'Standard cost - Testing'!$A$1:$A$497,0),MATCH($E312,'Standard cost - Testing'!$K$1:$N$1,0)+10)))</f>
        <v>17520</v>
      </c>
      <c r="O312" s="45">
        <f>IF(OR(ISERROR($N312),$N312="",$N312="NA"),0,H312*$N312)*(1+INDEX('For Finance Control'!$B$27:$E$29,2,MATCH('Project information'!$A$4,'For Finance Control'!$B$27:$E$27,0)))</f>
        <v>0</v>
      </c>
      <c r="P312" s="45">
        <f>IF(OR(ISERROR($N312),$N312="",$N312="NA"),0,I312*$N312)*(1+INDEX('For Finance Control'!$B$27:$E$29,2,MATCH('Project information'!$A$4,'For Finance Control'!$B$27:$E$27,0)))</f>
        <v>0</v>
      </c>
      <c r="Q312" s="45">
        <f>IF(OR(ISERROR($N312),$N312="",$N312="NA"),0,J312*$N312)*(1+INDEX('For Finance Control'!$B$27:$E$29,2,MATCH('Project information'!$A$4,'For Finance Control'!$B$27:$E$27,0)))</f>
        <v>0</v>
      </c>
      <c r="R312" s="45">
        <f>IF(OR(ISERROR($N312),$N312="",$N312="NA"),0,K312*$N312)*(1+INDEX('For Finance Control'!$B$27:$E$29,2,MATCH('Project information'!$A$4,'For Finance Control'!$B$27:$E$27,0)))</f>
        <v>0</v>
      </c>
      <c r="S312" s="45">
        <f>IF(OR(ISERROR($N312),$N312="",$N312="NA"),0,L312*$N312)*(1+INDEX('For Finance Control'!$B$27:$E$29,2,MATCH('Project information'!$A$4,'For Finance Control'!$B$27:$E$27,0)))</f>
        <v>0</v>
      </c>
      <c r="T312" s="45">
        <f t="shared" si="300"/>
        <v>0</v>
      </c>
      <c r="U312" s="33" cm="1">
        <f t="array" ref="U312">IF($N312="NA","NA",$N312*INDEX('Exchange rate'!$A$1:$G$7,MATCH('Project information'!$A$13,'Exchange rate'!$A$1:$A$7,0),MATCH(LOOKUP(2,1/({"China";"Korea";"India";"Japan";"EUR";"NAO"}=$E312),{"CNY";"KRW";"INR";"JPY";"EUR";"USD"}),'Exchange rate'!$A$1:$G$1,0)))</f>
        <v>17520</v>
      </c>
      <c r="V312" s="33">
        <f t="shared" si="301"/>
        <v>0</v>
      </c>
      <c r="W312" s="33">
        <f t="shared" si="302"/>
        <v>0</v>
      </c>
      <c r="X312" s="33">
        <f t="shared" si="303"/>
        <v>0</v>
      </c>
      <c r="Y312" s="33">
        <f t="shared" si="304"/>
        <v>0</v>
      </c>
      <c r="Z312" s="33">
        <f t="shared" si="305"/>
        <v>0</v>
      </c>
      <c r="AA312" s="33">
        <f t="shared" si="306"/>
        <v>0</v>
      </c>
      <c r="AB312" s="246"/>
      <c r="AC312" s="247"/>
      <c r="AZ312" s="148" t="str">
        <f t="shared" si="309"/>
        <v>5.190</v>
      </c>
      <c r="BA312" s="149" t="s">
        <v>404</v>
      </c>
    </row>
    <row r="313" spans="1:53" outlineLevel="1">
      <c r="A313" s="148" t="str">
        <f t="shared" si="308"/>
        <v>5.191</v>
      </c>
      <c r="B313" s="148" t="str">
        <f>INDEX('Standard cost - Testing'!$A$1:$N$497,MATCH(RIGHT($C313,4),'Standard cost - Testing'!$A$1:$A$497,0),3)</f>
        <v>Common</v>
      </c>
      <c r="C313" s="149" t="str">
        <f>'Standard cost - Testing'!B192&amp;" - "&amp;'Standard cost - Testing'!A192</f>
        <v>Material - M011</v>
      </c>
      <c r="D313" s="150" t="str">
        <f>IF(RIGHT(INDEX('Standard cost - Testing'!$A$1:$N$497,MATCH(RIGHT($C313,4),'Standard cost - Testing'!$A$1:$A$497,0),4),1)="]",INDEX('Standard cost - Testing'!$A$1:$N$497,MATCH(RIGHT($C313,4),'Standard cost - Testing'!$A$1:$A$497,0),4),IF(INDEX('Standard cost - Testing'!$A$1:$N$497,MATCH(RIGHT($C313,4),'Standard cost - Testing'!$A$1:$A$497,0),10)=1,INDEX('Standard cost - Testing'!$A$1:$N$497,MATCH(RIGHT($C313,4),'Standard cost - Testing'!$A$1:$A$497,0),4)&amp;" [1 part]",INDEX('Standard cost - Testing'!$A$1:$N$497,MATCH(RIGHT($C313,4),'Standard cost - Testing'!$A$1:$A$497,0),4)&amp;" ["&amp;INDEX('Standard cost - Testing'!$A$1:$N$497,MATCH(RIGHT($C313,4),'Standard cost - Testing'!$A$1:$A$497,0),10)&amp;" parts]"))</f>
        <v>Micro Vickers hardness test [3 points]</v>
      </c>
      <c r="E313" s="51" t="str">
        <f>IF('Project information'!$A$4="","",'Project information'!$A$4)</f>
        <v>China</v>
      </c>
      <c r="F313" s="149" t="str">
        <f>INDEX('Standard cost - Testing'!$A$1:$N$497,MATCH(RIGHT($C313,4),'Standard cost - Testing'!$A$1:$A$497,0),5)</f>
        <v>Faurecia</v>
      </c>
      <c r="G313" s="149" t="str">
        <f>IF($E313='Standard cost - Testing'!$F$1,INDEX('Standard cost - Testing'!$A$1:$N$497,MATCH(RIGHT($C313,4),'Standard cost - Testing'!$A$1:$A$497,0),6),INDEX('Standard cost - Testing'!$A$1:$N$497,MATCH(RIGHT($C313,4),'Standard cost - Testing'!$A$1:$A$497,0),7))</f>
        <v>CHD-I-DSE-2031</v>
      </c>
      <c r="H313" s="46"/>
      <c r="I313" s="46"/>
      <c r="J313" s="46"/>
      <c r="K313" s="46"/>
      <c r="L313" s="46"/>
      <c r="M313" s="33">
        <f t="shared" si="307"/>
        <v>0</v>
      </c>
      <c r="N313" s="157">
        <f>IF(E313="","",IF(ISERROR(INDEX('Standard cost - Testing'!$A$1:$N$497,MATCH(RIGHT($C313,4),'Standard cost - Testing'!$A$1:$A$497,0),MATCH($E313,'Standard cost - Testing'!$K$1:$N$1,0)+10)),"NA",INDEX('Standard cost - Testing'!$A$1:$N$497,MATCH(RIGHT($C313,4),'Standard cost - Testing'!$A$1:$A$497,0),MATCH($E313,'Standard cost - Testing'!$K$1:$N$1,0)+10)))</f>
        <v>3560</v>
      </c>
      <c r="O313" s="45">
        <f>IF(OR(ISERROR($N313),$N313="",$N313="NA"),0,H313*$N313)*(1+INDEX('For Finance Control'!$B$27:$E$29,2,MATCH('Project information'!$A$4,'For Finance Control'!$B$27:$E$27,0)))</f>
        <v>0</v>
      </c>
      <c r="P313" s="45">
        <f>IF(OR(ISERROR($N313),$N313="",$N313="NA"),0,I313*$N313)*(1+INDEX('For Finance Control'!$B$27:$E$29,2,MATCH('Project information'!$A$4,'For Finance Control'!$B$27:$E$27,0)))</f>
        <v>0</v>
      </c>
      <c r="Q313" s="45">
        <f>IF(OR(ISERROR($N313),$N313="",$N313="NA"),0,J313*$N313)*(1+INDEX('For Finance Control'!$B$27:$E$29,2,MATCH('Project information'!$A$4,'For Finance Control'!$B$27:$E$27,0)))</f>
        <v>0</v>
      </c>
      <c r="R313" s="45">
        <f>IF(OR(ISERROR($N313),$N313="",$N313="NA"),0,K313*$N313)*(1+INDEX('For Finance Control'!$B$27:$E$29,2,MATCH('Project information'!$A$4,'For Finance Control'!$B$27:$E$27,0)))</f>
        <v>0</v>
      </c>
      <c r="S313" s="45">
        <f>IF(OR(ISERROR($N313),$N313="",$N313="NA"),0,L313*$N313)*(1+INDEX('For Finance Control'!$B$27:$E$29,2,MATCH('Project information'!$A$4,'For Finance Control'!$B$27:$E$27,0)))</f>
        <v>0</v>
      </c>
      <c r="T313" s="45">
        <f t="shared" si="300"/>
        <v>0</v>
      </c>
      <c r="U313" s="33" cm="1">
        <f t="array" ref="U313">IF($N313="NA","NA",$N313*INDEX('Exchange rate'!$A$1:$G$7,MATCH('Project information'!$A$13,'Exchange rate'!$A$1:$A$7,0),MATCH(LOOKUP(2,1/({"China";"Korea";"India";"Japan";"EUR";"NAO"}=$E313),{"CNY";"KRW";"INR";"JPY";"EUR";"USD"}),'Exchange rate'!$A$1:$G$1,0)))</f>
        <v>3560</v>
      </c>
      <c r="V313" s="33">
        <f t="shared" si="301"/>
        <v>0</v>
      </c>
      <c r="W313" s="33">
        <f t="shared" si="302"/>
        <v>0</v>
      </c>
      <c r="X313" s="33">
        <f t="shared" si="303"/>
        <v>0</v>
      </c>
      <c r="Y313" s="33">
        <f t="shared" si="304"/>
        <v>0</v>
      </c>
      <c r="Z313" s="33">
        <f t="shared" si="305"/>
        <v>0</v>
      </c>
      <c r="AA313" s="33">
        <f t="shared" si="306"/>
        <v>0</v>
      </c>
      <c r="AB313" s="246"/>
      <c r="AC313" s="247"/>
      <c r="AZ313" s="148" t="str">
        <f t="shared" si="309"/>
        <v>5.191</v>
      </c>
      <c r="BA313" s="149" t="s">
        <v>405</v>
      </c>
    </row>
    <row r="314" spans="1:53" outlineLevel="1">
      <c r="A314" s="148" t="str">
        <f t="shared" si="308"/>
        <v>5.192</v>
      </c>
      <c r="B314" s="148" t="str">
        <f>INDEX('Standard cost - Testing'!$A$1:$N$497,MATCH(RIGHT($C314,4),'Standard cost - Testing'!$A$1:$A$497,0),3)</f>
        <v>Common</v>
      </c>
      <c r="C314" s="149" t="str">
        <f>'Standard cost - Testing'!B193&amp;" - "&amp;'Standard cost - Testing'!A193</f>
        <v>Material - M012</v>
      </c>
      <c r="D314" s="150" t="str">
        <f>IF(RIGHT(INDEX('Standard cost - Testing'!$A$1:$N$497,MATCH(RIGHT($C314,4),'Standard cost - Testing'!$A$1:$A$497,0),4),1)="]",INDEX('Standard cost - Testing'!$A$1:$N$497,MATCH(RIGHT($C314,4),'Standard cost - Testing'!$A$1:$A$497,0),4),IF(INDEX('Standard cost - Testing'!$A$1:$N$497,MATCH(RIGHT($C314,4),'Standard cost - Testing'!$A$1:$A$497,0),10)=1,INDEX('Standard cost - Testing'!$A$1:$N$497,MATCH(RIGHT($C314,4),'Standard cost - Testing'!$A$1:$A$497,0),4)&amp;" [1 part]",INDEX('Standard cost - Testing'!$A$1:$N$497,MATCH(RIGHT($C314,4),'Standard cost - Testing'!$A$1:$A$497,0),4)&amp;" ["&amp;INDEX('Standard cost - Testing'!$A$1:$N$497,MATCH(RIGHT($C314,4),'Standard cost - Testing'!$A$1:$A$497,0),10)&amp;" parts]"))</f>
        <v>Tensile test [3 samples]</v>
      </c>
      <c r="E314" s="51" t="str">
        <f>IF('Project information'!$A$4="","",'Project information'!$A$4)</f>
        <v>China</v>
      </c>
      <c r="F314" s="149" t="str">
        <f>INDEX('Standard cost - Testing'!$A$1:$N$497,MATCH(RIGHT($C314,4),'Standard cost - Testing'!$A$1:$A$497,0),5)</f>
        <v>Faurecia</v>
      </c>
      <c r="G314" s="149" t="str">
        <f>IF($E314='Standard cost - Testing'!$F$1,INDEX('Standard cost - Testing'!$A$1:$N$497,MATCH(RIGHT($C314,4),'Standard cost - Testing'!$A$1:$A$497,0),6),INDEX('Standard cost - Testing'!$A$1:$N$497,MATCH(RIGHT($C314,4),'Standard cost - Testing'!$A$1:$A$497,0),7))</f>
        <v>CHD-I-DSE-2045</v>
      </c>
      <c r="H314" s="46"/>
      <c r="I314" s="46"/>
      <c r="J314" s="46"/>
      <c r="K314" s="46"/>
      <c r="L314" s="46"/>
      <c r="M314" s="33">
        <f t="shared" si="307"/>
        <v>0</v>
      </c>
      <c r="N314" s="157">
        <f>IF(E314="","",IF(ISERROR(INDEX('Standard cost - Testing'!$A$1:$N$497,MATCH(RIGHT($C314,4),'Standard cost - Testing'!$A$1:$A$497,0),MATCH($E314,'Standard cost - Testing'!$K$1:$N$1,0)+10)),"NA",INDEX('Standard cost - Testing'!$A$1:$N$497,MATCH(RIGHT($C314,4),'Standard cost - Testing'!$A$1:$A$497,0),MATCH($E314,'Standard cost - Testing'!$K$1:$N$1,0)+10)))</f>
        <v>5980</v>
      </c>
      <c r="O314" s="45">
        <f>IF(OR(ISERROR($N314),$N314="",$N314="NA"),0,H314*$N314)*(1+INDEX('For Finance Control'!$B$27:$E$29,2,MATCH('Project information'!$A$4,'For Finance Control'!$B$27:$E$27,0)))</f>
        <v>0</v>
      </c>
      <c r="P314" s="45">
        <f>IF(OR(ISERROR($N314),$N314="",$N314="NA"),0,I314*$N314)*(1+INDEX('For Finance Control'!$B$27:$E$29,2,MATCH('Project information'!$A$4,'For Finance Control'!$B$27:$E$27,0)))</f>
        <v>0</v>
      </c>
      <c r="Q314" s="45">
        <f>IF(OR(ISERROR($N314),$N314="",$N314="NA"),0,J314*$N314)*(1+INDEX('For Finance Control'!$B$27:$E$29,2,MATCH('Project information'!$A$4,'For Finance Control'!$B$27:$E$27,0)))</f>
        <v>0</v>
      </c>
      <c r="R314" s="45">
        <f>IF(OR(ISERROR($N314),$N314="",$N314="NA"),0,K314*$N314)*(1+INDEX('For Finance Control'!$B$27:$E$29,2,MATCH('Project information'!$A$4,'For Finance Control'!$B$27:$E$27,0)))</f>
        <v>0</v>
      </c>
      <c r="S314" s="45">
        <f>IF(OR(ISERROR($N314),$N314="",$N314="NA"),0,L314*$N314)*(1+INDEX('For Finance Control'!$B$27:$E$29,2,MATCH('Project information'!$A$4,'For Finance Control'!$B$27:$E$27,0)))</f>
        <v>0</v>
      </c>
      <c r="T314" s="45">
        <f t="shared" si="300"/>
        <v>0</v>
      </c>
      <c r="U314" s="33" cm="1">
        <f t="array" ref="U314">IF($N314="NA","NA",$N314*INDEX('Exchange rate'!$A$1:$G$7,MATCH('Project information'!$A$13,'Exchange rate'!$A$1:$A$7,0),MATCH(LOOKUP(2,1/({"China";"Korea";"India";"Japan";"EUR";"NAO"}=$E314),{"CNY";"KRW";"INR";"JPY";"EUR";"USD"}),'Exchange rate'!$A$1:$G$1,0)))</f>
        <v>5980</v>
      </c>
      <c r="V314" s="33">
        <f t="shared" si="301"/>
        <v>0</v>
      </c>
      <c r="W314" s="33">
        <f t="shared" si="302"/>
        <v>0</v>
      </c>
      <c r="X314" s="33">
        <f t="shared" si="303"/>
        <v>0</v>
      </c>
      <c r="Y314" s="33">
        <f t="shared" si="304"/>
        <v>0</v>
      </c>
      <c r="Z314" s="33">
        <f t="shared" si="305"/>
        <v>0</v>
      </c>
      <c r="AA314" s="33">
        <f t="shared" si="306"/>
        <v>0</v>
      </c>
      <c r="AB314" s="246"/>
      <c r="AC314" s="247"/>
      <c r="AZ314" s="148" t="str">
        <f t="shared" si="309"/>
        <v>5.192</v>
      </c>
      <c r="BA314" s="149" t="s">
        <v>406</v>
      </c>
    </row>
    <row r="315" spans="1:53" ht="50" outlineLevel="1">
      <c r="A315" s="148" t="str">
        <f t="shared" si="308"/>
        <v>5.193</v>
      </c>
      <c r="B315" s="148" t="str">
        <f>INDEX('Standard cost - Testing'!$A$1:$N$497,MATCH(RIGHT($C315,4),'Standard cost - Testing'!$A$1:$A$497,0),3)</f>
        <v>Common</v>
      </c>
      <c r="C315" s="149" t="str">
        <f>'Standard cost - Testing'!B194&amp;" - "&amp;'Standard cost - Testing'!A194</f>
        <v>Material - M013</v>
      </c>
      <c r="D315" s="150" t="str">
        <f>IF(RIGHT(INDEX('Standard cost - Testing'!$A$1:$N$497,MATCH(RIGHT($C315,4),'Standard cost - Testing'!$A$1:$A$497,0),4),1)="]",INDEX('Standard cost - Testing'!$A$1:$N$497,MATCH(RIGHT($C315,4),'Standard cost - Testing'!$A$1:$A$497,0),4),IF(INDEX('Standard cost - Testing'!$A$1:$N$497,MATCH(RIGHT($C315,4),'Standard cost - Testing'!$A$1:$A$497,0),10)=1,INDEX('Standard cost - Testing'!$A$1:$N$497,MATCH(RIGHT($C315,4),'Standard cost - Testing'!$A$1:$A$497,0),4)&amp;" [1 part]",INDEX('Standard cost - Testing'!$A$1:$N$497,MATCH(RIGHT($C315,4),'Standard cost - Testing'!$A$1:$A$497,0),4)&amp;" ["&amp;INDEX('Standard cost - Testing'!$A$1:$N$497,MATCH(RIGHT($C315,4),'Standard cost - Testing'!$A$1:$A$497,0),10)&amp;" parts]"))</f>
        <v>Oven ageing (1h / no preparation) [1 part]</v>
      </c>
      <c r="E315" s="51" t="str">
        <f>IF('Project information'!$A$4="","",'Project information'!$A$4)</f>
        <v>China</v>
      </c>
      <c r="F315" s="149" t="str">
        <f>INDEX('Standard cost - Testing'!$A$1:$N$497,MATCH(RIGHT($C315,4),'Standard cost - Testing'!$A$1:$A$497,0),5)</f>
        <v>Faurecia</v>
      </c>
      <c r="G315" s="149" t="str">
        <f>IF($E315='Standard cost - Testing'!$F$1,INDEX('Standard cost - Testing'!$A$1:$N$497,MATCH(RIGHT($C315,4),'Standard cost - Testing'!$A$1:$A$497,0),6),INDEX('Standard cost - Testing'!$A$1:$N$497,MATCH(RIGHT($C315,4),'Standard cost - Testing'!$A$1:$A$497,0),7))</f>
        <v>CHD-I-DSE-2063</v>
      </c>
      <c r="H315" s="46"/>
      <c r="I315" s="46"/>
      <c r="J315" s="46"/>
      <c r="K315" s="46"/>
      <c r="L315" s="46"/>
      <c r="M315" s="33">
        <f t="shared" si="307"/>
        <v>0</v>
      </c>
      <c r="N315" s="157">
        <f>IF(E315="","",IF(ISERROR(INDEX('Standard cost - Testing'!$A$1:$N$497,MATCH(RIGHT($C315,4),'Standard cost - Testing'!$A$1:$A$497,0),MATCH($E315,'Standard cost - Testing'!$K$1:$N$1,0)+10)),"NA",INDEX('Standard cost - Testing'!$A$1:$N$497,MATCH(RIGHT($C315,4),'Standard cost - Testing'!$A$1:$A$497,0),MATCH($E315,'Standard cost - Testing'!$K$1:$N$1,0)+10)))</f>
        <v>1700</v>
      </c>
      <c r="O315" s="45">
        <f>IF(OR(ISERROR($N315),$N315="",$N315="NA"),0,H315*$N315)*(1+INDEX('For Finance Control'!$B$27:$E$29,2,MATCH('Project information'!$A$4,'For Finance Control'!$B$27:$E$27,0)))</f>
        <v>0</v>
      </c>
      <c r="P315" s="45">
        <f>IF(OR(ISERROR($N315),$N315="",$N315="NA"),0,I315*$N315)*(1+INDEX('For Finance Control'!$B$27:$E$29,2,MATCH('Project information'!$A$4,'For Finance Control'!$B$27:$E$27,0)))</f>
        <v>0</v>
      </c>
      <c r="Q315" s="45">
        <f>IF(OR(ISERROR($N315),$N315="",$N315="NA"),0,J315*$N315)*(1+INDEX('For Finance Control'!$B$27:$E$29,2,MATCH('Project information'!$A$4,'For Finance Control'!$B$27:$E$27,0)))</f>
        <v>0</v>
      </c>
      <c r="R315" s="45">
        <f>IF(OR(ISERROR($N315),$N315="",$N315="NA"),0,K315*$N315)*(1+INDEX('For Finance Control'!$B$27:$E$29,2,MATCH('Project information'!$A$4,'For Finance Control'!$B$27:$E$27,0)))</f>
        <v>0</v>
      </c>
      <c r="S315" s="45">
        <f>IF(OR(ISERROR($N315),$N315="",$N315="NA"),0,L315*$N315)*(1+INDEX('For Finance Control'!$B$27:$E$29,2,MATCH('Project information'!$A$4,'For Finance Control'!$B$27:$E$27,0)))</f>
        <v>0</v>
      </c>
      <c r="T315" s="45">
        <f t="shared" si="300"/>
        <v>0</v>
      </c>
      <c r="U315" s="33" cm="1">
        <f t="array" ref="U315">IF($N315="NA","NA",$N315*INDEX('Exchange rate'!$A$1:$G$7,MATCH('Project information'!$A$13,'Exchange rate'!$A$1:$A$7,0),MATCH(LOOKUP(2,1/({"China";"Korea";"India";"Japan";"EUR";"NAO"}=$E315),{"CNY";"KRW";"INR";"JPY";"EUR";"USD"}),'Exchange rate'!$A$1:$G$1,0)))</f>
        <v>1700</v>
      </c>
      <c r="V315" s="33">
        <f t="shared" si="301"/>
        <v>0</v>
      </c>
      <c r="W315" s="33">
        <f t="shared" si="302"/>
        <v>0</v>
      </c>
      <c r="X315" s="33">
        <f t="shared" si="303"/>
        <v>0</v>
      </c>
      <c r="Y315" s="33">
        <f t="shared" si="304"/>
        <v>0</v>
      </c>
      <c r="Z315" s="33">
        <f t="shared" si="305"/>
        <v>0</v>
      </c>
      <c r="AA315" s="33">
        <f t="shared" si="306"/>
        <v>0</v>
      </c>
      <c r="AB315" s="246"/>
      <c r="AC315" s="247"/>
      <c r="AZ315" s="148" t="str">
        <f t="shared" si="309"/>
        <v>5.193</v>
      </c>
      <c r="BA315" s="149" t="s">
        <v>407</v>
      </c>
    </row>
    <row r="316" spans="1:53" ht="50" outlineLevel="1">
      <c r="A316" s="148" t="str">
        <f t="shared" si="308"/>
        <v>5.194</v>
      </c>
      <c r="B316" s="148" t="str">
        <f>INDEX('Standard cost - Testing'!$A$1:$N$497,MATCH(RIGHT($C316,4),'Standard cost - Testing'!$A$1:$A$497,0),3)</f>
        <v>LVE</v>
      </c>
      <c r="C316" s="149" t="str">
        <f>'Standard cost - Testing'!B195&amp;" - "&amp;'Standard cost - Testing'!A195</f>
        <v>Material - M014</v>
      </c>
      <c r="D316" s="150" t="str">
        <f>IF(RIGHT(INDEX('Standard cost - Testing'!$A$1:$N$497,MATCH(RIGHT($C316,4),'Standard cost - Testing'!$A$1:$A$497,0),4),1)="]",INDEX('Standard cost - Testing'!$A$1:$N$497,MATCH(RIGHT($C316,4),'Standard cost - Testing'!$A$1:$A$497,0),4),IF(INDEX('Standard cost - Testing'!$A$1:$N$497,MATCH(RIGHT($C316,4),'Standard cost - Testing'!$A$1:$A$497,0),10)=1,INDEX('Standard cost - Testing'!$A$1:$N$497,MATCH(RIGHT($C316,4),'Standard cost - Testing'!$A$1:$A$497,0),4)&amp;" [1 part]",INDEX('Standard cost - Testing'!$A$1:$N$497,MATCH(RIGHT($C316,4),'Standard cost - Testing'!$A$1:$A$497,0),4)&amp;" ["&amp;INDEX('Standard cost - Testing'!$A$1:$N$497,MATCH(RIGHT($C316,4),'Standard cost - Testing'!$A$1:$A$497,0),10)&amp;" parts]"))</f>
        <v>Salt Spray test [1 part]</v>
      </c>
      <c r="E316" s="51" t="str">
        <f>IF('Project information'!$A$4="","",'Project information'!$A$4)</f>
        <v>China</v>
      </c>
      <c r="F316" s="149" t="str">
        <f>INDEX('Standard cost - Testing'!$A$1:$N$497,MATCH(RIGHT($C316,4),'Standard cost - Testing'!$A$1:$A$497,0),5)</f>
        <v>HMC</v>
      </c>
      <c r="G316" s="149" t="str">
        <f>IF($E316='Standard cost - Testing'!$F$1,INDEX('Standard cost - Testing'!$A$1:$N$497,MATCH(RIGHT($C316,4),'Standard cost - Testing'!$A$1:$A$497,0),6),INDEX('Standard cost - Testing'!$A$1:$N$497,MATCH(RIGHT($C316,4),'Standard cost - Testing'!$A$1:$A$497,0),7))</f>
        <v xml:space="preserve">
ES28530-02 5.1
ES28990-01 5.1
</v>
      </c>
      <c r="H316" s="46"/>
      <c r="I316" s="46"/>
      <c r="J316" s="46"/>
      <c r="K316" s="46"/>
      <c r="L316" s="46"/>
      <c r="M316" s="33">
        <f t="shared" si="307"/>
        <v>0</v>
      </c>
      <c r="N316" s="157">
        <f>IF(E316="","",IF(ISERROR(INDEX('Standard cost - Testing'!$A$1:$N$497,MATCH(RIGHT($C316,4),'Standard cost - Testing'!$A$1:$A$497,0),MATCH($E316,'Standard cost - Testing'!$K$1:$N$1,0)+10)),"NA",INDEX('Standard cost - Testing'!$A$1:$N$497,MATCH(RIGHT($C316,4),'Standard cost - Testing'!$A$1:$A$497,0),MATCH($E316,'Standard cost - Testing'!$K$1:$N$1,0)+10)))</f>
        <v>72584</v>
      </c>
      <c r="O316" s="45">
        <f>IF(OR(ISERROR($N316),$N316="",$N316="NA"),0,H316*$N316)*(1+INDEX('For Finance Control'!$B$27:$E$29,2,MATCH('Project information'!$A$4,'For Finance Control'!$B$27:$E$27,0)))</f>
        <v>0</v>
      </c>
      <c r="P316" s="45">
        <f>IF(OR(ISERROR($N316),$N316="",$N316="NA"),0,I316*$N316)*(1+INDEX('For Finance Control'!$B$27:$E$29,2,MATCH('Project information'!$A$4,'For Finance Control'!$B$27:$E$27,0)))</f>
        <v>0</v>
      </c>
      <c r="Q316" s="45">
        <f>IF(OR(ISERROR($N316),$N316="",$N316="NA"),0,J316*$N316)*(1+INDEX('For Finance Control'!$B$27:$E$29,2,MATCH('Project information'!$A$4,'For Finance Control'!$B$27:$E$27,0)))</f>
        <v>0</v>
      </c>
      <c r="R316" s="45">
        <f>IF(OR(ISERROR($N316),$N316="",$N316="NA"),0,K316*$N316)*(1+INDEX('For Finance Control'!$B$27:$E$29,2,MATCH('Project information'!$A$4,'For Finance Control'!$B$27:$E$27,0)))</f>
        <v>0</v>
      </c>
      <c r="S316" s="45">
        <f>IF(OR(ISERROR($N316),$N316="",$N316="NA"),0,L316*$N316)*(1+INDEX('For Finance Control'!$B$27:$E$29,2,MATCH('Project information'!$A$4,'For Finance Control'!$B$27:$E$27,0)))</f>
        <v>0</v>
      </c>
      <c r="T316" s="45">
        <f t="shared" si="300"/>
        <v>0</v>
      </c>
      <c r="U316" s="33" cm="1">
        <f t="array" ref="U316">IF($N316="NA","NA",$N316*INDEX('Exchange rate'!$A$1:$G$7,MATCH('Project information'!$A$13,'Exchange rate'!$A$1:$A$7,0),MATCH(LOOKUP(2,1/({"China";"Korea";"India";"Japan";"EUR";"NAO"}=$E316),{"CNY";"KRW";"INR";"JPY";"EUR";"USD"}),'Exchange rate'!$A$1:$G$1,0)))</f>
        <v>72584</v>
      </c>
      <c r="V316" s="33">
        <f t="shared" si="301"/>
        <v>0</v>
      </c>
      <c r="W316" s="33">
        <f t="shared" si="302"/>
        <v>0</v>
      </c>
      <c r="X316" s="33">
        <f t="shared" si="303"/>
        <v>0</v>
      </c>
      <c r="Y316" s="33">
        <f t="shared" si="304"/>
        <v>0</v>
      </c>
      <c r="Z316" s="33">
        <f t="shared" si="305"/>
        <v>0</v>
      </c>
      <c r="AA316" s="33">
        <f t="shared" si="306"/>
        <v>0</v>
      </c>
      <c r="AB316" s="246"/>
      <c r="AC316" s="247"/>
      <c r="AZ316" s="148" t="str">
        <f t="shared" si="309"/>
        <v>5.194</v>
      </c>
      <c r="BA316" s="149" t="s">
        <v>408</v>
      </c>
    </row>
    <row r="317" spans="1:53" ht="25" outlineLevel="1">
      <c r="A317" s="148" t="str">
        <f t="shared" si="308"/>
        <v>5.195</v>
      </c>
      <c r="B317" s="148" t="str">
        <f>INDEX('Standard cost - Testing'!$A$1:$N$497,MATCH(RIGHT($C317,4),'Standard cost - Testing'!$A$1:$A$497,0),3)</f>
        <v>LVE</v>
      </c>
      <c r="C317" s="149" t="str">
        <f>'Standard cost - Testing'!B196&amp;" - "&amp;'Standard cost - Testing'!A196</f>
        <v>Material - M015</v>
      </c>
      <c r="D317" s="150" t="str">
        <f>IF(RIGHT(INDEX('Standard cost - Testing'!$A$1:$N$497,MATCH(RIGHT($C317,4),'Standard cost - Testing'!$A$1:$A$497,0),4),1)="]",INDEX('Standard cost - Testing'!$A$1:$N$497,MATCH(RIGHT($C317,4),'Standard cost - Testing'!$A$1:$A$497,0),4),IF(INDEX('Standard cost - Testing'!$A$1:$N$497,MATCH(RIGHT($C317,4),'Standard cost - Testing'!$A$1:$A$497,0),10)=1,INDEX('Standard cost - Testing'!$A$1:$N$497,MATCH(RIGHT($C317,4),'Standard cost - Testing'!$A$1:$A$497,0),4)&amp;" [1 part]",INDEX('Standard cost - Testing'!$A$1:$N$497,MATCH(RIGHT($C317,4),'Standard cost - Testing'!$A$1:$A$497,0),4)&amp;" ["&amp;INDEX('Standard cost - Testing'!$A$1:$N$497,MATCH(RIGHT($C317,4),'Standard cost - Testing'!$A$1:$A$497,0),10)&amp;" parts]"))</f>
        <v>accelerated corrosion - HMC [1 part]</v>
      </c>
      <c r="E317" s="51" t="str">
        <f>IF('Project information'!$A$4="","",'Project information'!$A$4)</f>
        <v>China</v>
      </c>
      <c r="F317" s="149" t="str">
        <f>INDEX('Standard cost - Testing'!$A$1:$N$497,MATCH(RIGHT($C317,4),'Standard cost - Testing'!$A$1:$A$497,0),5)</f>
        <v>HMC</v>
      </c>
      <c r="G317" s="149" t="str">
        <f>IF($E317='Standard cost - Testing'!$F$1,INDEX('Standard cost - Testing'!$A$1:$N$497,MATCH(RIGHT($C317,4),'Standard cost - Testing'!$A$1:$A$497,0),6),INDEX('Standard cost - Testing'!$A$1:$N$497,MATCH(RIGHT($C317,4),'Standard cost - Testing'!$A$1:$A$497,0),7))</f>
        <v>ES28600-09 6.12</v>
      </c>
      <c r="H317" s="46"/>
      <c r="I317" s="46"/>
      <c r="J317" s="46"/>
      <c r="K317" s="46"/>
      <c r="L317" s="46"/>
      <c r="M317" s="33">
        <f t="shared" si="307"/>
        <v>0</v>
      </c>
      <c r="N317" s="157">
        <f>IF(E317="","",IF(ISERROR(INDEX('Standard cost - Testing'!$A$1:$N$497,MATCH(RIGHT($C317,4),'Standard cost - Testing'!$A$1:$A$497,0),MATCH($E317,'Standard cost - Testing'!$K$1:$N$1,0)+10)),"NA",INDEX('Standard cost - Testing'!$A$1:$N$497,MATCH(RIGHT($C317,4),'Standard cost - Testing'!$A$1:$A$497,0),MATCH($E317,'Standard cost - Testing'!$K$1:$N$1,0)+10)))</f>
        <v>39204</v>
      </c>
      <c r="O317" s="45">
        <f>IF(OR(ISERROR($N317),$N317="",$N317="NA"),0,H317*$N317)*(1+INDEX('For Finance Control'!$B$27:$E$29,2,MATCH('Project information'!$A$4,'For Finance Control'!$B$27:$E$27,0)))</f>
        <v>0</v>
      </c>
      <c r="P317" s="45">
        <f>IF(OR(ISERROR($N317),$N317="",$N317="NA"),0,I317*$N317)*(1+INDEX('For Finance Control'!$B$27:$E$29,2,MATCH('Project information'!$A$4,'For Finance Control'!$B$27:$E$27,0)))</f>
        <v>0</v>
      </c>
      <c r="Q317" s="45">
        <f>IF(OR(ISERROR($N317),$N317="",$N317="NA"),0,J317*$N317)*(1+INDEX('For Finance Control'!$B$27:$E$29,2,MATCH('Project information'!$A$4,'For Finance Control'!$B$27:$E$27,0)))</f>
        <v>0</v>
      </c>
      <c r="R317" s="45">
        <f>IF(OR(ISERROR($N317),$N317="",$N317="NA"),0,K317*$N317)*(1+INDEX('For Finance Control'!$B$27:$E$29,2,MATCH('Project information'!$A$4,'For Finance Control'!$B$27:$E$27,0)))</f>
        <v>0</v>
      </c>
      <c r="S317" s="45">
        <f>IF(OR(ISERROR($N317),$N317="",$N317="NA"),0,L317*$N317)*(1+INDEX('For Finance Control'!$B$27:$E$29,2,MATCH('Project information'!$A$4,'For Finance Control'!$B$27:$E$27,0)))</f>
        <v>0</v>
      </c>
      <c r="T317" s="45">
        <f t="shared" si="300"/>
        <v>0</v>
      </c>
      <c r="U317" s="33" cm="1">
        <f t="array" ref="U317">IF($N317="NA","NA",$N317*INDEX('Exchange rate'!$A$1:$G$7,MATCH('Project information'!$A$13,'Exchange rate'!$A$1:$A$7,0),MATCH(LOOKUP(2,1/({"China";"Korea";"India";"Japan";"EUR";"NAO"}=$E317),{"CNY";"KRW";"INR";"JPY";"EUR";"USD"}),'Exchange rate'!$A$1:$G$1,0)))</f>
        <v>39204</v>
      </c>
      <c r="V317" s="33">
        <f t="shared" si="301"/>
        <v>0</v>
      </c>
      <c r="W317" s="33">
        <f t="shared" si="302"/>
        <v>0</v>
      </c>
      <c r="X317" s="33">
        <f t="shared" si="303"/>
        <v>0</v>
      </c>
      <c r="Y317" s="33">
        <f t="shared" si="304"/>
        <v>0</v>
      </c>
      <c r="Z317" s="33">
        <f t="shared" si="305"/>
        <v>0</v>
      </c>
      <c r="AA317" s="33">
        <f t="shared" si="306"/>
        <v>0</v>
      </c>
      <c r="AB317" s="246"/>
      <c r="AC317" s="247"/>
      <c r="AZ317" s="148" t="str">
        <f t="shared" si="309"/>
        <v>5.195</v>
      </c>
      <c r="BA317" s="149" t="s">
        <v>409</v>
      </c>
    </row>
    <row r="318" spans="1:53" ht="25" outlineLevel="1">
      <c r="A318" s="148" t="str">
        <f t="shared" si="308"/>
        <v>5.196</v>
      </c>
      <c r="B318" s="148" t="str">
        <f>INDEX('Standard cost - Testing'!$A$1:$N$497,MATCH(RIGHT($C318,4),'Standard cost - Testing'!$A$1:$A$497,0),3)</f>
        <v>LVE</v>
      </c>
      <c r="C318" s="149" t="str">
        <f>'Standard cost - Testing'!B197&amp;" - "&amp;'Standard cost - Testing'!A197</f>
        <v>Material - M016</v>
      </c>
      <c r="D318" s="150" t="str">
        <f>IF(RIGHT(INDEX('Standard cost - Testing'!$A$1:$N$497,MATCH(RIGHT($C318,4),'Standard cost - Testing'!$A$1:$A$497,0),4),1)="]",INDEX('Standard cost - Testing'!$A$1:$N$497,MATCH(RIGHT($C318,4),'Standard cost - Testing'!$A$1:$A$497,0),4),IF(INDEX('Standard cost - Testing'!$A$1:$N$497,MATCH(RIGHT($C318,4),'Standard cost - Testing'!$A$1:$A$497,0),10)=1,INDEX('Standard cost - Testing'!$A$1:$N$497,MATCH(RIGHT($C318,4),'Standard cost - Testing'!$A$1:$A$497,0),4)&amp;" [1 part]",INDEX('Standard cost - Testing'!$A$1:$N$497,MATCH(RIGHT($C318,4),'Standard cost - Testing'!$A$1:$A$497,0),4)&amp;" ["&amp;INDEX('Standard cost - Testing'!$A$1:$N$497,MATCH(RIGHT($C318,4),'Standard cost - Testing'!$A$1:$A$497,0),10)&amp;" parts]"))</f>
        <v>Cyclic Corrosion Test [1 part]</v>
      </c>
      <c r="E318" s="51" t="str">
        <f>IF('Project information'!$A$4="","",'Project information'!$A$4)</f>
        <v>China</v>
      </c>
      <c r="F318" s="149" t="str">
        <f>INDEX('Standard cost - Testing'!$A$1:$N$497,MATCH(RIGHT($C318,4),'Standard cost - Testing'!$A$1:$A$497,0),5)</f>
        <v>GM</v>
      </c>
      <c r="G318" s="149" t="str">
        <f>IF($E318='Standard cost - Testing'!$F$1,INDEX('Standard cost - Testing'!$A$1:$N$497,MATCH(RIGHT($C318,4),'Standard cost - Testing'!$A$1:$A$497,0),6),INDEX('Standard cost - Testing'!$A$1:$N$497,MATCH(RIGHT($C318,4),'Standard cost - Testing'!$A$1:$A$497,0),7))</f>
        <v>63 cycles acc. To GMW 14872</v>
      </c>
      <c r="H318" s="46"/>
      <c r="I318" s="46"/>
      <c r="J318" s="46"/>
      <c r="K318" s="46"/>
      <c r="L318" s="46"/>
      <c r="M318" s="33">
        <f t="shared" si="307"/>
        <v>0</v>
      </c>
      <c r="N318" s="157">
        <f>IF(E318="","",IF(ISERROR(INDEX('Standard cost - Testing'!$A$1:$N$497,MATCH(RIGHT($C318,4),'Standard cost - Testing'!$A$1:$A$497,0),MATCH($E318,'Standard cost - Testing'!$K$1:$N$1,0)+10)),"NA",INDEX('Standard cost - Testing'!$A$1:$N$497,MATCH(RIGHT($C318,4),'Standard cost - Testing'!$A$1:$A$497,0),MATCH($E318,'Standard cost - Testing'!$K$1:$N$1,0)+10)))</f>
        <v>290936</v>
      </c>
      <c r="O318" s="45">
        <f>IF(OR(ISERROR($N318),$N318="",$N318="NA"),0,H318*$N318)*(1+INDEX('For Finance Control'!$B$27:$E$29,2,MATCH('Project information'!$A$4,'For Finance Control'!$B$27:$E$27,0)))</f>
        <v>0</v>
      </c>
      <c r="P318" s="45">
        <f>IF(OR(ISERROR($N318),$N318="",$N318="NA"),0,I318*$N318)*(1+INDEX('For Finance Control'!$B$27:$E$29,2,MATCH('Project information'!$A$4,'For Finance Control'!$B$27:$E$27,0)))</f>
        <v>0</v>
      </c>
      <c r="Q318" s="45">
        <f>IF(OR(ISERROR($N318),$N318="",$N318="NA"),0,J318*$N318)*(1+INDEX('For Finance Control'!$B$27:$E$29,2,MATCH('Project information'!$A$4,'For Finance Control'!$B$27:$E$27,0)))</f>
        <v>0</v>
      </c>
      <c r="R318" s="45">
        <f>IF(OR(ISERROR($N318),$N318="",$N318="NA"),0,K318*$N318)*(1+INDEX('For Finance Control'!$B$27:$E$29,2,MATCH('Project information'!$A$4,'For Finance Control'!$B$27:$E$27,0)))</f>
        <v>0</v>
      </c>
      <c r="S318" s="45">
        <f>IF(OR(ISERROR($N318),$N318="",$N318="NA"),0,L318*$N318)*(1+INDEX('For Finance Control'!$B$27:$E$29,2,MATCH('Project information'!$A$4,'For Finance Control'!$B$27:$E$27,0)))</f>
        <v>0</v>
      </c>
      <c r="T318" s="45">
        <f t="shared" si="300"/>
        <v>0</v>
      </c>
      <c r="U318" s="33" cm="1">
        <f t="array" ref="U318">IF($N318="NA","NA",$N318*INDEX('Exchange rate'!$A$1:$G$7,MATCH('Project information'!$A$13,'Exchange rate'!$A$1:$A$7,0),MATCH(LOOKUP(2,1/({"China";"Korea";"India";"Japan";"EUR";"NAO"}=$E318),{"CNY";"KRW";"INR";"JPY";"EUR";"USD"}),'Exchange rate'!$A$1:$G$1,0)))</f>
        <v>290936</v>
      </c>
      <c r="V318" s="33">
        <f t="shared" si="301"/>
        <v>0</v>
      </c>
      <c r="W318" s="33">
        <f t="shared" si="302"/>
        <v>0</v>
      </c>
      <c r="X318" s="33">
        <f t="shared" si="303"/>
        <v>0</v>
      </c>
      <c r="Y318" s="33">
        <f t="shared" si="304"/>
        <v>0</v>
      </c>
      <c r="Z318" s="33">
        <f t="shared" si="305"/>
        <v>0</v>
      </c>
      <c r="AA318" s="33">
        <f t="shared" si="306"/>
        <v>0</v>
      </c>
      <c r="AB318" s="246"/>
      <c r="AC318" s="247"/>
      <c r="AZ318" s="148" t="str">
        <f t="shared" si="309"/>
        <v>5.196</v>
      </c>
      <c r="BA318" s="149" t="s">
        <v>410</v>
      </c>
    </row>
    <row r="319" spans="1:53" ht="37.5" outlineLevel="1">
      <c r="A319" s="148" t="str">
        <f t="shared" si="308"/>
        <v>5.197</v>
      </c>
      <c r="B319" s="148" t="str">
        <f>INDEX('Standard cost - Testing'!$A$1:$N$497,MATCH(RIGHT($C319,4),'Standard cost - Testing'!$A$1:$A$497,0),3)</f>
        <v>CVE</v>
      </c>
      <c r="C319" s="149" t="str">
        <f>'Standard cost - Testing'!B198&amp;" - "&amp;'Standard cost - Testing'!A198</f>
        <v>Material - M017</v>
      </c>
      <c r="D319" s="150" t="str">
        <f>IF(RIGHT(INDEX('Standard cost - Testing'!$A$1:$N$497,MATCH(RIGHT($C319,4),'Standard cost - Testing'!$A$1:$A$497,0),4),1)="]",INDEX('Standard cost - Testing'!$A$1:$N$497,MATCH(RIGHT($C319,4),'Standard cost - Testing'!$A$1:$A$497,0),4),IF(INDEX('Standard cost - Testing'!$A$1:$N$497,MATCH(RIGHT($C319,4),'Standard cost - Testing'!$A$1:$A$497,0),10)=1,INDEX('Standard cost - Testing'!$A$1:$N$497,MATCH(RIGHT($C319,4),'Standard cost - Testing'!$A$1:$A$497,0),4)&amp;" [1 part]",INDEX('Standard cost - Testing'!$A$1:$N$497,MATCH(RIGHT($C319,4),'Standard cost - Testing'!$A$1:$A$497,0),4)&amp;" ["&amp;INDEX('Standard cost - Testing'!$A$1:$N$497,MATCH(RIGHT($C319,4),'Standard cost - Testing'!$A$1:$A$497,0),10)&amp;" parts]"))</f>
        <v>Post Analysis - CVI sample
(every single box/in-line sys) [1 part]</v>
      </c>
      <c r="E319" s="51" t="str">
        <f>IF('Project information'!$A$4="","",'Project information'!$A$4)</f>
        <v>China</v>
      </c>
      <c r="F319" s="149" t="str">
        <f>INDEX('Standard cost - Testing'!$A$1:$N$497,MATCH(RIGHT($C319,4),'Standard cost - Testing'!$A$1:$A$497,0),5)</f>
        <v>Faurecia</v>
      </c>
      <c r="G319" s="149" t="str">
        <f>IF($E319='Standard cost - Testing'!$F$1,INDEX('Standard cost - Testing'!$A$1:$N$497,MATCH(RIGHT($C319,4),'Standard cost - Testing'!$A$1:$A$497,0),6),INDEX('Standard cost - Testing'!$A$1:$N$497,MATCH(RIGHT($C319,4),'Standard cost - Testing'!$A$1:$A$497,0),7))</f>
        <v>FSE-P-DSE-U120- Post Analysis of Exhaust System Components</v>
      </c>
      <c r="H319" s="46"/>
      <c r="I319" s="46"/>
      <c r="J319" s="46"/>
      <c r="K319" s="46"/>
      <c r="L319" s="46"/>
      <c r="M319" s="33">
        <f t="shared" si="307"/>
        <v>0</v>
      </c>
      <c r="N319" s="157">
        <f>IF(E319="","",IF(ISERROR(INDEX('Standard cost - Testing'!$A$1:$N$497,MATCH(RIGHT($C319,4),'Standard cost - Testing'!$A$1:$A$497,0),MATCH($E319,'Standard cost - Testing'!$K$1:$N$1,0)+10)),"NA",INDEX('Standard cost - Testing'!$A$1:$N$497,MATCH(RIGHT($C319,4),'Standard cost - Testing'!$A$1:$A$497,0),MATCH($E319,'Standard cost - Testing'!$K$1:$N$1,0)+10)))</f>
        <v>15330</v>
      </c>
      <c r="O319" s="45">
        <f>IF(OR(ISERROR($N319),$N319="",$N319="NA"),0,H319*$N319)*(1+INDEX('For Finance Control'!$B$27:$E$29,2,MATCH('Project information'!$A$4,'For Finance Control'!$B$27:$E$27,0)))</f>
        <v>0</v>
      </c>
      <c r="P319" s="45">
        <f>IF(OR(ISERROR($N319),$N319="",$N319="NA"),0,I319*$N319)*(1+INDEX('For Finance Control'!$B$27:$E$29,2,MATCH('Project information'!$A$4,'For Finance Control'!$B$27:$E$27,0)))</f>
        <v>0</v>
      </c>
      <c r="Q319" s="45">
        <f>IF(OR(ISERROR($N319),$N319="",$N319="NA"),0,J319*$N319)*(1+INDEX('For Finance Control'!$B$27:$E$29,2,MATCH('Project information'!$A$4,'For Finance Control'!$B$27:$E$27,0)))</f>
        <v>0</v>
      </c>
      <c r="R319" s="45">
        <f>IF(OR(ISERROR($N319),$N319="",$N319="NA"),0,K319*$N319)*(1+INDEX('For Finance Control'!$B$27:$E$29,2,MATCH('Project information'!$A$4,'For Finance Control'!$B$27:$E$27,0)))</f>
        <v>0</v>
      </c>
      <c r="S319" s="45">
        <f>IF(OR(ISERROR($N319),$N319="",$N319="NA"),0,L319*$N319)*(1+INDEX('For Finance Control'!$B$27:$E$29,2,MATCH('Project information'!$A$4,'For Finance Control'!$B$27:$E$27,0)))</f>
        <v>0</v>
      </c>
      <c r="T319" s="45">
        <f t="shared" si="300"/>
        <v>0</v>
      </c>
      <c r="U319" s="33" cm="1">
        <f t="array" ref="U319">IF($N319="NA","NA",$N319*INDEX('Exchange rate'!$A$1:$G$7,MATCH('Project information'!$A$13,'Exchange rate'!$A$1:$A$7,0),MATCH(LOOKUP(2,1/({"China";"Korea";"India";"Japan";"EUR";"NAO"}=$E319),{"CNY";"KRW";"INR";"JPY";"EUR";"USD"}),'Exchange rate'!$A$1:$G$1,0)))</f>
        <v>15330</v>
      </c>
      <c r="V319" s="33">
        <f t="shared" si="301"/>
        <v>0</v>
      </c>
      <c r="W319" s="33">
        <f t="shared" si="302"/>
        <v>0</v>
      </c>
      <c r="X319" s="33">
        <f t="shared" si="303"/>
        <v>0</v>
      </c>
      <c r="Y319" s="33">
        <f t="shared" si="304"/>
        <v>0</v>
      </c>
      <c r="Z319" s="33">
        <f t="shared" si="305"/>
        <v>0</v>
      </c>
      <c r="AA319" s="33">
        <f t="shared" si="306"/>
        <v>0</v>
      </c>
      <c r="AB319" s="246"/>
      <c r="AC319" s="247"/>
      <c r="AZ319" s="148" t="str">
        <f t="shared" si="309"/>
        <v>5.197</v>
      </c>
      <c r="BA319" s="149" t="s">
        <v>411</v>
      </c>
    </row>
    <row r="320" spans="1:53" ht="25" outlineLevel="1">
      <c r="A320" s="148" t="str">
        <f t="shared" si="308"/>
        <v>5.198</v>
      </c>
      <c r="B320" s="148" t="str">
        <f>INDEX('Standard cost - Testing'!$A$1:$N$497,MATCH(RIGHT($C320,4),'Standard cost - Testing'!$A$1:$A$497,0),3)</f>
        <v>LVE</v>
      </c>
      <c r="C320" s="149" t="str">
        <f>'Standard cost - Testing'!B199&amp;" - "&amp;'Standard cost - Testing'!A199</f>
        <v>NVH - N001</v>
      </c>
      <c r="D320" s="150" t="str">
        <f>IF(RIGHT(INDEX('Standard cost - Testing'!$A$1:$N$497,MATCH(RIGHT($C320,4),'Standard cost - Testing'!$A$1:$A$497,0),4),1)="]",INDEX('Standard cost - Testing'!$A$1:$N$497,MATCH(RIGHT($C320,4),'Standard cost - Testing'!$A$1:$A$497,0),4),IF(INDEX('Standard cost - Testing'!$A$1:$N$497,MATCH(RIGHT($C320,4),'Standard cost - Testing'!$A$1:$A$497,0),10)=1,INDEX('Standard cost - Testing'!$A$1:$N$497,MATCH(RIGHT($C320,4),'Standard cost - Testing'!$A$1:$A$497,0),4)&amp;" [1 part]",INDEX('Standard cost - Testing'!$A$1:$N$497,MATCH(RIGHT($C320,4),'Standard cost - Testing'!$A$1:$A$497,0),4)&amp;" ["&amp;INDEX('Standard cost - Testing'!$A$1:$N$497,MATCH(RIGHT($C320,4),'Standard cost - Testing'!$A$1:$A$497,0),10)&amp;" parts]"))</f>
        <v>Hanger frequency measurement [1 part]</v>
      </c>
      <c r="E320" s="51" t="str">
        <f>IF('Project information'!$A$4="","",'Project information'!$A$4)</f>
        <v>China</v>
      </c>
      <c r="F320" s="149" t="str">
        <f>INDEX('Standard cost - Testing'!$A$1:$N$497,MATCH(RIGHT($C320,4),'Standard cost - Testing'!$A$1:$A$497,0),5)</f>
        <v>HMC</v>
      </c>
      <c r="G320" s="149" t="str">
        <f>IF($E320='Standard cost - Testing'!$F$1,INDEX('Standard cost - Testing'!$A$1:$N$497,MATCH(RIGHT($C320,4),'Standard cost - Testing'!$A$1:$A$497,0),6),INDEX('Standard cost - Testing'!$A$1:$N$497,MATCH(RIGHT($C320,4),'Standard cost - Testing'!$A$1:$A$497,0),7))</f>
        <v>ES28600-09 6.5</v>
      </c>
      <c r="H320" s="46"/>
      <c r="I320" s="46"/>
      <c r="J320" s="46"/>
      <c r="K320" s="46"/>
      <c r="L320" s="46"/>
      <c r="M320" s="33">
        <f t="shared" si="307"/>
        <v>0</v>
      </c>
      <c r="N320" s="157">
        <f>IF(E320="","",IF(ISERROR(INDEX('Standard cost - Testing'!$A$1:$N$497,MATCH(RIGHT($C320,4),'Standard cost - Testing'!$A$1:$A$497,0),MATCH($E320,'Standard cost - Testing'!$K$1:$N$1,0)+10)),"NA",INDEX('Standard cost - Testing'!$A$1:$N$497,MATCH(RIGHT($C320,4),'Standard cost - Testing'!$A$1:$A$497,0),MATCH($E320,'Standard cost - Testing'!$K$1:$N$1,0)+10)))</f>
        <v>866</v>
      </c>
      <c r="O320" s="45">
        <f>IF(OR(ISERROR($N320),$N320="",$N320="NA"),0,H320*$N320)*(1+INDEX('For Finance Control'!$B$27:$E$29,2,MATCH('Project information'!$A$4,'For Finance Control'!$B$27:$E$27,0)))</f>
        <v>0</v>
      </c>
      <c r="P320" s="45">
        <f>IF(OR(ISERROR($N320),$N320="",$N320="NA"),0,I320*$N320)*(1+INDEX('For Finance Control'!$B$27:$E$29,2,MATCH('Project information'!$A$4,'For Finance Control'!$B$27:$E$27,0)))</f>
        <v>0</v>
      </c>
      <c r="Q320" s="45">
        <f>IF(OR(ISERROR($N320),$N320="",$N320="NA"),0,J320*$N320)*(1+INDEX('For Finance Control'!$B$27:$E$29,2,MATCH('Project information'!$A$4,'For Finance Control'!$B$27:$E$27,0)))</f>
        <v>0</v>
      </c>
      <c r="R320" s="45">
        <f>IF(OR(ISERROR($N320),$N320="",$N320="NA"),0,K320*$N320)*(1+INDEX('For Finance Control'!$B$27:$E$29,2,MATCH('Project information'!$A$4,'For Finance Control'!$B$27:$E$27,0)))</f>
        <v>0</v>
      </c>
      <c r="S320" s="45">
        <f>IF(OR(ISERROR($N320),$N320="",$N320="NA"),0,L320*$N320)*(1+INDEX('For Finance Control'!$B$27:$E$29,2,MATCH('Project information'!$A$4,'For Finance Control'!$B$27:$E$27,0)))</f>
        <v>0</v>
      </c>
      <c r="T320" s="45">
        <f t="shared" si="300"/>
        <v>0</v>
      </c>
      <c r="U320" s="33" cm="1">
        <f t="array" ref="U320">IF($N320="NA","NA",$N320*INDEX('Exchange rate'!$A$1:$G$7,MATCH('Project information'!$A$13,'Exchange rate'!$A$1:$A$7,0),MATCH(LOOKUP(2,1/({"China";"Korea";"India";"Japan";"EUR";"NAO"}=$E320),{"CNY";"KRW";"INR";"JPY";"EUR";"USD"}),'Exchange rate'!$A$1:$G$1,0)))</f>
        <v>866</v>
      </c>
      <c r="V320" s="33">
        <f t="shared" si="301"/>
        <v>0</v>
      </c>
      <c r="W320" s="33">
        <f t="shared" si="302"/>
        <v>0</v>
      </c>
      <c r="X320" s="33">
        <f t="shared" si="303"/>
        <v>0</v>
      </c>
      <c r="Y320" s="33">
        <f t="shared" si="304"/>
        <v>0</v>
      </c>
      <c r="Z320" s="33">
        <f t="shared" si="305"/>
        <v>0</v>
      </c>
      <c r="AA320" s="33">
        <f t="shared" si="306"/>
        <v>0</v>
      </c>
      <c r="AB320" s="246"/>
      <c r="AC320" s="247"/>
      <c r="AZ320" s="148" t="str">
        <f t="shared" si="309"/>
        <v>5.198</v>
      </c>
      <c r="BA320" s="149" t="s">
        <v>412</v>
      </c>
    </row>
    <row r="321" spans="1:53" outlineLevel="1">
      <c r="A321" s="148" t="str">
        <f t="shared" si="308"/>
        <v>5.199</v>
      </c>
      <c r="B321" s="148" t="str">
        <f>INDEX('Standard cost - Testing'!$A$1:$N$497,MATCH(RIGHT($C321,4),'Standard cost - Testing'!$A$1:$A$497,0),3)</f>
        <v>LVE</v>
      </c>
      <c r="C321" s="149" t="str">
        <f>'Standard cost - Testing'!B200&amp;" - "&amp;'Standard cost - Testing'!A200</f>
        <v>NVH - N002</v>
      </c>
      <c r="D321" s="150" t="str">
        <f>IF(RIGHT(INDEX('Standard cost - Testing'!$A$1:$N$497,MATCH(RIGHT($C321,4),'Standard cost - Testing'!$A$1:$A$497,0),4),1)="]",INDEX('Standard cost - Testing'!$A$1:$N$497,MATCH(RIGHT($C321,4),'Standard cost - Testing'!$A$1:$A$497,0),4),IF(INDEX('Standard cost - Testing'!$A$1:$N$497,MATCH(RIGHT($C321,4),'Standard cost - Testing'!$A$1:$A$497,0),10)=1,INDEX('Standard cost - Testing'!$A$1:$N$497,MATCH(RIGHT($C321,4),'Standard cost - Testing'!$A$1:$A$497,0),4)&amp;" [1 part]",INDEX('Standard cost - Testing'!$A$1:$N$497,MATCH(RIGHT($C321,4),'Standard cost - Testing'!$A$1:$A$497,0),4)&amp;" ["&amp;INDEX('Standard cost - Testing'!$A$1:$N$497,MATCH(RIGHT($C321,4),'Standard cost - Testing'!$A$1:$A$497,0),10)&amp;" parts]"))</f>
        <v>Shell stiffness measurement [3 parts]</v>
      </c>
      <c r="E321" s="51" t="str">
        <f>IF('Project information'!$A$4="","",'Project information'!$A$4)</f>
        <v>China</v>
      </c>
      <c r="F321" s="149" t="str">
        <f>INDEX('Standard cost - Testing'!$A$1:$N$497,MATCH(RIGHT($C321,4),'Standard cost - Testing'!$A$1:$A$497,0),5)</f>
        <v>HMC</v>
      </c>
      <c r="G321" s="149" t="str">
        <f>IF($E321='Standard cost - Testing'!$F$1,INDEX('Standard cost - Testing'!$A$1:$N$497,MATCH(RIGHT($C321,4),'Standard cost - Testing'!$A$1:$A$497,0),6),INDEX('Standard cost - Testing'!$A$1:$N$497,MATCH(RIGHT($C321,4),'Standard cost - Testing'!$A$1:$A$497,0),7))</f>
        <v>ES28600-09 6.9</v>
      </c>
      <c r="H321" s="46"/>
      <c r="I321" s="46"/>
      <c r="J321" s="46"/>
      <c r="K321" s="46"/>
      <c r="L321" s="46"/>
      <c r="M321" s="33">
        <f t="shared" si="307"/>
        <v>0</v>
      </c>
      <c r="N321" s="157">
        <f>IF(E321="","",IF(ISERROR(INDEX('Standard cost - Testing'!$A$1:$N$497,MATCH(RIGHT($C321,4),'Standard cost - Testing'!$A$1:$A$497,0),MATCH($E321,'Standard cost - Testing'!$K$1:$N$1,0)+10)),"NA",INDEX('Standard cost - Testing'!$A$1:$N$497,MATCH(RIGHT($C321,4),'Standard cost - Testing'!$A$1:$A$497,0),MATCH($E321,'Standard cost - Testing'!$K$1:$N$1,0)+10)))</f>
        <v>1249</v>
      </c>
      <c r="O321" s="45">
        <f>IF(OR(ISERROR($N321),$N321="",$N321="NA"),0,H321*$N321)*(1+INDEX('For Finance Control'!$B$27:$E$29,2,MATCH('Project information'!$A$4,'For Finance Control'!$B$27:$E$27,0)))</f>
        <v>0</v>
      </c>
      <c r="P321" s="45">
        <f>IF(OR(ISERROR($N321),$N321="",$N321="NA"),0,I321*$N321)*(1+INDEX('For Finance Control'!$B$27:$E$29,2,MATCH('Project information'!$A$4,'For Finance Control'!$B$27:$E$27,0)))</f>
        <v>0</v>
      </c>
      <c r="Q321" s="45">
        <f>IF(OR(ISERROR($N321),$N321="",$N321="NA"),0,J321*$N321)*(1+INDEX('For Finance Control'!$B$27:$E$29,2,MATCH('Project information'!$A$4,'For Finance Control'!$B$27:$E$27,0)))</f>
        <v>0</v>
      </c>
      <c r="R321" s="45">
        <f>IF(OR(ISERROR($N321),$N321="",$N321="NA"),0,K321*$N321)*(1+INDEX('For Finance Control'!$B$27:$E$29,2,MATCH('Project information'!$A$4,'For Finance Control'!$B$27:$E$27,0)))</f>
        <v>0</v>
      </c>
      <c r="S321" s="45">
        <f>IF(OR(ISERROR($N321),$N321="",$N321="NA"),0,L321*$N321)*(1+INDEX('For Finance Control'!$B$27:$E$29,2,MATCH('Project information'!$A$4,'For Finance Control'!$B$27:$E$27,0)))</f>
        <v>0</v>
      </c>
      <c r="T321" s="45">
        <f t="shared" si="300"/>
        <v>0</v>
      </c>
      <c r="U321" s="33" cm="1">
        <f t="array" ref="U321">IF($N321="NA","NA",$N321*INDEX('Exchange rate'!$A$1:$G$7,MATCH('Project information'!$A$13,'Exchange rate'!$A$1:$A$7,0),MATCH(LOOKUP(2,1/({"China";"Korea";"India";"Japan";"EUR";"NAO"}=$E321),{"CNY";"KRW";"INR";"JPY";"EUR";"USD"}),'Exchange rate'!$A$1:$G$1,0)))</f>
        <v>1249</v>
      </c>
      <c r="V321" s="33">
        <f t="shared" si="301"/>
        <v>0</v>
      </c>
      <c r="W321" s="33">
        <f t="shared" si="302"/>
        <v>0</v>
      </c>
      <c r="X321" s="33">
        <f t="shared" si="303"/>
        <v>0</v>
      </c>
      <c r="Y321" s="33">
        <f t="shared" si="304"/>
        <v>0</v>
      </c>
      <c r="Z321" s="33">
        <f t="shared" si="305"/>
        <v>0</v>
      </c>
      <c r="AA321" s="33">
        <f t="shared" si="306"/>
        <v>0</v>
      </c>
      <c r="AB321" s="246"/>
      <c r="AC321" s="247"/>
      <c r="AZ321" s="148" t="str">
        <f t="shared" si="309"/>
        <v>5.199</v>
      </c>
      <c r="BA321" s="149" t="s">
        <v>413</v>
      </c>
    </row>
    <row r="322" spans="1:53" outlineLevel="1">
      <c r="A322" s="148" t="str">
        <f t="shared" si="308"/>
        <v>5.200</v>
      </c>
      <c r="B322" s="148" t="str">
        <f>INDEX('Standard cost - Testing'!$A$1:$N$497,MATCH(RIGHT($C322,4),'Standard cost - Testing'!$A$1:$A$497,0),3)</f>
        <v>LVE</v>
      </c>
      <c r="C322" s="149" t="str">
        <f>'Standard cost - Testing'!B201&amp;" - "&amp;'Standard cost - Testing'!A201</f>
        <v>NVH - N003</v>
      </c>
      <c r="D322" s="150" t="str">
        <f>IF(RIGHT(INDEX('Standard cost - Testing'!$A$1:$N$497,MATCH(RIGHT($C322,4),'Standard cost - Testing'!$A$1:$A$497,0),4),1)="]",INDEX('Standard cost - Testing'!$A$1:$N$497,MATCH(RIGHT($C322,4),'Standard cost - Testing'!$A$1:$A$497,0),4),IF(INDEX('Standard cost - Testing'!$A$1:$N$497,MATCH(RIGHT($C322,4),'Standard cost - Testing'!$A$1:$A$497,0),10)=1,INDEX('Standard cost - Testing'!$A$1:$N$497,MATCH(RIGHT($C322,4),'Standard cost - Testing'!$A$1:$A$497,0),4)&amp;" [1 part]",INDEX('Standard cost - Testing'!$A$1:$N$497,MATCH(RIGHT($C322,4),'Standard cost - Testing'!$A$1:$A$497,0),4)&amp;" ["&amp;INDEX('Standard cost - Testing'!$A$1:$N$497,MATCH(RIGHT($C322,4),'Standard cost - Testing'!$A$1:$A$497,0),10)&amp;" parts]"))</f>
        <v>Condensate noise test [3 parts]</v>
      </c>
      <c r="E322" s="51" t="str">
        <f>IF('Project information'!$A$4="","",'Project information'!$A$4)</f>
        <v>China</v>
      </c>
      <c r="F322" s="149" t="str">
        <f>INDEX('Standard cost - Testing'!$A$1:$N$497,MATCH(RIGHT($C322,4),'Standard cost - Testing'!$A$1:$A$497,0),5)</f>
        <v>HMC</v>
      </c>
      <c r="G322" s="149" t="str">
        <f>IF($E322='Standard cost - Testing'!$F$1,INDEX('Standard cost - Testing'!$A$1:$N$497,MATCH(RIGHT($C322,4),'Standard cost - Testing'!$A$1:$A$497,0),6),INDEX('Standard cost - Testing'!$A$1:$N$497,MATCH(RIGHT($C322,4),'Standard cost - Testing'!$A$1:$A$497,0),7))</f>
        <v>ES28600-09 6.11</v>
      </c>
      <c r="H322" s="46"/>
      <c r="I322" s="46"/>
      <c r="J322" s="46"/>
      <c r="K322" s="46"/>
      <c r="L322" s="46"/>
      <c r="M322" s="33">
        <f t="shared" si="307"/>
        <v>0</v>
      </c>
      <c r="N322" s="157">
        <f>IF(E322="","",IF(ISERROR(INDEX('Standard cost - Testing'!$A$1:$N$497,MATCH(RIGHT($C322,4),'Standard cost - Testing'!$A$1:$A$497,0),MATCH($E322,'Standard cost - Testing'!$K$1:$N$1,0)+10)),"NA",INDEX('Standard cost - Testing'!$A$1:$N$497,MATCH(RIGHT($C322,4),'Standard cost - Testing'!$A$1:$A$497,0),MATCH($E322,'Standard cost - Testing'!$K$1:$N$1,0)+10)))</f>
        <v>10911</v>
      </c>
      <c r="O322" s="45">
        <f>IF(OR(ISERROR($N322),$N322="",$N322="NA"),0,H322*$N322)*(1+INDEX('For Finance Control'!$B$27:$E$29,2,MATCH('Project information'!$A$4,'For Finance Control'!$B$27:$E$27,0)))</f>
        <v>0</v>
      </c>
      <c r="P322" s="45">
        <f>IF(OR(ISERROR($N322),$N322="",$N322="NA"),0,I322*$N322)*(1+INDEX('For Finance Control'!$B$27:$E$29,2,MATCH('Project information'!$A$4,'For Finance Control'!$B$27:$E$27,0)))</f>
        <v>0</v>
      </c>
      <c r="Q322" s="45">
        <f>IF(OR(ISERROR($N322),$N322="",$N322="NA"),0,J322*$N322)*(1+INDEX('For Finance Control'!$B$27:$E$29,2,MATCH('Project information'!$A$4,'For Finance Control'!$B$27:$E$27,0)))</f>
        <v>0</v>
      </c>
      <c r="R322" s="45">
        <f>IF(OR(ISERROR($N322),$N322="",$N322="NA"),0,K322*$N322)*(1+INDEX('For Finance Control'!$B$27:$E$29,2,MATCH('Project information'!$A$4,'For Finance Control'!$B$27:$E$27,0)))</f>
        <v>0</v>
      </c>
      <c r="S322" s="45">
        <f>IF(OR(ISERROR($N322),$N322="",$N322="NA"),0,L322*$N322)*(1+INDEX('For Finance Control'!$B$27:$E$29,2,MATCH('Project information'!$A$4,'For Finance Control'!$B$27:$E$27,0)))</f>
        <v>0</v>
      </c>
      <c r="T322" s="45">
        <f t="shared" si="300"/>
        <v>0</v>
      </c>
      <c r="U322" s="33" cm="1">
        <f t="array" ref="U322">IF($N322="NA","NA",$N322*INDEX('Exchange rate'!$A$1:$G$7,MATCH('Project information'!$A$13,'Exchange rate'!$A$1:$A$7,0),MATCH(LOOKUP(2,1/({"China";"Korea";"India";"Japan";"EUR";"NAO"}=$E322),{"CNY";"KRW";"INR";"JPY";"EUR";"USD"}),'Exchange rate'!$A$1:$G$1,0)))</f>
        <v>10911</v>
      </c>
      <c r="V322" s="33">
        <f t="shared" si="301"/>
        <v>0</v>
      </c>
      <c r="W322" s="33">
        <f t="shared" si="302"/>
        <v>0</v>
      </c>
      <c r="X322" s="33">
        <f t="shared" si="303"/>
        <v>0</v>
      </c>
      <c r="Y322" s="33">
        <f t="shared" si="304"/>
        <v>0</v>
      </c>
      <c r="Z322" s="33">
        <f t="shared" si="305"/>
        <v>0</v>
      </c>
      <c r="AA322" s="33">
        <f t="shared" si="306"/>
        <v>0</v>
      </c>
      <c r="AB322" s="246"/>
      <c r="AC322" s="247"/>
      <c r="AZ322" s="148" t="str">
        <f t="shared" si="309"/>
        <v>5.200</v>
      </c>
      <c r="BA322" s="149" t="s">
        <v>413</v>
      </c>
    </row>
    <row r="323" spans="1:53" outlineLevel="1">
      <c r="A323" s="148" t="str">
        <f t="shared" si="308"/>
        <v>5.201</v>
      </c>
      <c r="B323" s="148" t="str">
        <f>INDEX('Standard cost - Testing'!$A$1:$N$497,MATCH(RIGHT($C323,4),'Standard cost - Testing'!$A$1:$A$497,0),3)</f>
        <v>LVE</v>
      </c>
      <c r="C323" s="149" t="str">
        <f>'Standard cost - Testing'!B202&amp;" - "&amp;'Standard cost - Testing'!A202</f>
        <v>NVH - N004</v>
      </c>
      <c r="D323" s="150" t="str">
        <f>IF(RIGHT(INDEX('Standard cost - Testing'!$A$1:$N$497,MATCH(RIGHT($C323,4),'Standard cost - Testing'!$A$1:$A$497,0),4),1)="]",INDEX('Standard cost - Testing'!$A$1:$N$497,MATCH(RIGHT($C323,4),'Standard cost - Testing'!$A$1:$A$497,0),4),IF(INDEX('Standard cost - Testing'!$A$1:$N$497,MATCH(RIGHT($C323,4),'Standard cost - Testing'!$A$1:$A$497,0),10)=1,INDEX('Standard cost - Testing'!$A$1:$N$497,MATCH(RIGHT($C323,4),'Standard cost - Testing'!$A$1:$A$497,0),4)&amp;" [1 part]",INDEX('Standard cost - Testing'!$A$1:$N$497,MATCH(RIGHT($C323,4),'Standard cost - Testing'!$A$1:$A$497,0),4)&amp;" ["&amp;INDEX('Standard cost - Testing'!$A$1:$N$497,MATCH(RIGHT($C323,4),'Standard cost - Testing'!$A$1:$A$497,0),10)&amp;" parts]"))</f>
        <v>Modal analysis [1 part]</v>
      </c>
      <c r="E323" s="51" t="str">
        <f>IF('Project information'!$A$4="","",'Project information'!$A$4)</f>
        <v>China</v>
      </c>
      <c r="F323" s="149" t="str">
        <f>INDEX('Standard cost - Testing'!$A$1:$N$497,MATCH(RIGHT($C323,4),'Standard cost - Testing'!$A$1:$A$497,0),5)</f>
        <v>Faurecia</v>
      </c>
      <c r="G323" s="149" t="str">
        <f>IF($E323='Standard cost - Testing'!$F$1,INDEX('Standard cost - Testing'!$A$1:$N$497,MATCH(RIGHT($C323,4),'Standard cost - Testing'!$A$1:$A$497,0),6),INDEX('Standard cost - Testing'!$A$1:$N$497,MATCH(RIGHT($C323,4),'Standard cost - Testing'!$A$1:$A$497,0),7))</f>
        <v>CHD-I-DSE-2009</v>
      </c>
      <c r="H323" s="46"/>
      <c r="I323" s="46"/>
      <c r="J323" s="46"/>
      <c r="K323" s="46"/>
      <c r="L323" s="46"/>
      <c r="M323" s="33">
        <f t="shared" si="307"/>
        <v>0</v>
      </c>
      <c r="N323" s="157">
        <f>IF(E323="","",IF(ISERROR(INDEX('Standard cost - Testing'!$A$1:$N$497,MATCH(RIGHT($C323,4),'Standard cost - Testing'!$A$1:$A$497,0),MATCH($E323,'Standard cost - Testing'!$K$1:$N$1,0)+10)),"NA",INDEX('Standard cost - Testing'!$A$1:$N$497,MATCH(RIGHT($C323,4),'Standard cost - Testing'!$A$1:$A$497,0),MATCH($E323,'Standard cost - Testing'!$K$1:$N$1,0)+10)))</f>
        <v>3647</v>
      </c>
      <c r="O323" s="45">
        <f>IF(OR(ISERROR($N323),$N323="",$N323="NA"),0,H323*$N323)*(1+INDEX('For Finance Control'!$B$27:$E$29,2,MATCH('Project information'!$A$4,'For Finance Control'!$B$27:$E$27,0)))</f>
        <v>0</v>
      </c>
      <c r="P323" s="45">
        <f>IF(OR(ISERROR($N323),$N323="",$N323="NA"),0,I323*$N323)*(1+INDEX('For Finance Control'!$B$27:$E$29,2,MATCH('Project information'!$A$4,'For Finance Control'!$B$27:$E$27,0)))</f>
        <v>0</v>
      </c>
      <c r="Q323" s="45">
        <f>IF(OR(ISERROR($N323),$N323="",$N323="NA"),0,J323*$N323)*(1+INDEX('For Finance Control'!$B$27:$E$29,2,MATCH('Project information'!$A$4,'For Finance Control'!$B$27:$E$27,0)))</f>
        <v>0</v>
      </c>
      <c r="R323" s="45">
        <f>IF(OR(ISERROR($N323),$N323="",$N323="NA"),0,K323*$N323)*(1+INDEX('For Finance Control'!$B$27:$E$29,2,MATCH('Project information'!$A$4,'For Finance Control'!$B$27:$E$27,0)))</f>
        <v>0</v>
      </c>
      <c r="S323" s="45">
        <f>IF(OR(ISERROR($N323),$N323="",$N323="NA"),0,L323*$N323)*(1+INDEX('For Finance Control'!$B$27:$E$29,2,MATCH('Project information'!$A$4,'For Finance Control'!$B$27:$E$27,0)))</f>
        <v>0</v>
      </c>
      <c r="T323" s="45">
        <f t="shared" si="300"/>
        <v>0</v>
      </c>
      <c r="U323" s="33" cm="1">
        <f t="array" ref="U323">IF($N323="NA","NA",$N323*INDEX('Exchange rate'!$A$1:$G$7,MATCH('Project information'!$A$13,'Exchange rate'!$A$1:$A$7,0),MATCH(LOOKUP(2,1/({"China";"Korea";"India";"Japan";"EUR";"NAO"}=$E323),{"CNY";"KRW";"INR";"JPY";"EUR";"USD"}),'Exchange rate'!$A$1:$G$1,0)))</f>
        <v>3647</v>
      </c>
      <c r="V323" s="33">
        <f t="shared" si="301"/>
        <v>0</v>
      </c>
      <c r="W323" s="33">
        <f t="shared" si="302"/>
        <v>0</v>
      </c>
      <c r="X323" s="33">
        <f t="shared" si="303"/>
        <v>0</v>
      </c>
      <c r="Y323" s="33">
        <f t="shared" si="304"/>
        <v>0</v>
      </c>
      <c r="Z323" s="33">
        <f t="shared" si="305"/>
        <v>0</v>
      </c>
      <c r="AA323" s="33">
        <f t="shared" si="306"/>
        <v>0</v>
      </c>
      <c r="AB323" s="246"/>
      <c r="AC323" s="247"/>
      <c r="AZ323" s="148" t="str">
        <f t="shared" si="309"/>
        <v>5.201</v>
      </c>
      <c r="BA323" s="149" t="s">
        <v>414</v>
      </c>
    </row>
    <row r="324" spans="1:53" ht="25" outlineLevel="1">
      <c r="A324" s="148" t="str">
        <f t="shared" si="308"/>
        <v>5.202</v>
      </c>
      <c r="B324" s="148" t="str">
        <f>INDEX('Standard cost - Testing'!$A$1:$N$497,MATCH(RIGHT($C324,4),'Standard cost - Testing'!$A$1:$A$497,0),3)</f>
        <v>LVE</v>
      </c>
      <c r="C324" s="149" t="str">
        <f>'Standard cost - Testing'!B203&amp;" - "&amp;'Standard cost - Testing'!A203</f>
        <v>NVH - N005</v>
      </c>
      <c r="D324" s="150" t="str">
        <f>IF(RIGHT(INDEX('Standard cost - Testing'!$A$1:$N$497,MATCH(RIGHT($C324,4),'Standard cost - Testing'!$A$1:$A$497,0),4),1)="]",INDEX('Standard cost - Testing'!$A$1:$N$497,MATCH(RIGHT($C324,4),'Standard cost - Testing'!$A$1:$A$497,0),4),IF(INDEX('Standard cost - Testing'!$A$1:$N$497,MATCH(RIGHT($C324,4),'Standard cost - Testing'!$A$1:$A$497,0),10)=1,INDEX('Standard cost - Testing'!$A$1:$N$497,MATCH(RIGHT($C324,4),'Standard cost - Testing'!$A$1:$A$497,0),4)&amp;" [1 part]",INDEX('Standard cost - Testing'!$A$1:$N$497,MATCH(RIGHT($C324,4),'Standard cost - Testing'!$A$1:$A$497,0),4)&amp;" ["&amp;INDEX('Standard cost - Testing'!$A$1:$N$497,MATCH(RIGHT($C324,4),'Standard cost - Testing'!$A$1:$A$497,0),10)&amp;" parts]"))</f>
        <v>Modal analysis - full system with mode of vibration [1 part]</v>
      </c>
      <c r="E324" s="51" t="str">
        <f>IF('Project information'!$A$4="","",'Project information'!$A$4)</f>
        <v>China</v>
      </c>
      <c r="F324" s="149" t="str">
        <f>INDEX('Standard cost - Testing'!$A$1:$N$497,MATCH(RIGHT($C324,4),'Standard cost - Testing'!$A$1:$A$497,0),5)</f>
        <v>Faurecia</v>
      </c>
      <c r="G324" s="149" t="str">
        <f>IF($E324='Standard cost - Testing'!$F$1,INDEX('Standard cost - Testing'!$A$1:$N$497,MATCH(RIGHT($C324,4),'Standard cost - Testing'!$A$1:$A$497,0),6),INDEX('Standard cost - Testing'!$A$1:$N$497,MATCH(RIGHT($C324,4),'Standard cost - Testing'!$A$1:$A$497,0),7))</f>
        <v>CHD-I-DSE-2009</v>
      </c>
      <c r="H324" s="46"/>
      <c r="I324" s="46"/>
      <c r="J324" s="46"/>
      <c r="K324" s="46"/>
      <c r="L324" s="46"/>
      <c r="M324" s="33">
        <f t="shared" si="307"/>
        <v>0</v>
      </c>
      <c r="N324" s="157">
        <f>IF(E324="","",IF(ISERROR(INDEX('Standard cost - Testing'!$A$1:$N$497,MATCH(RIGHT($C324,4),'Standard cost - Testing'!$A$1:$A$497,0),MATCH($E324,'Standard cost - Testing'!$K$1:$N$1,0)+10)),"NA",INDEX('Standard cost - Testing'!$A$1:$N$497,MATCH(RIGHT($C324,4),'Standard cost - Testing'!$A$1:$A$497,0),MATCH($E324,'Standard cost - Testing'!$K$1:$N$1,0)+10)))</f>
        <v>5818</v>
      </c>
      <c r="O324" s="45">
        <f>IF(OR(ISERROR($N324),$N324="",$N324="NA"),0,H324*$N324)*(1+INDEX('For Finance Control'!$B$27:$E$29,2,MATCH('Project information'!$A$4,'For Finance Control'!$B$27:$E$27,0)))</f>
        <v>0</v>
      </c>
      <c r="P324" s="45">
        <f>IF(OR(ISERROR($N324),$N324="",$N324="NA"),0,I324*$N324)*(1+INDEX('For Finance Control'!$B$27:$E$29,2,MATCH('Project information'!$A$4,'For Finance Control'!$B$27:$E$27,0)))</f>
        <v>0</v>
      </c>
      <c r="Q324" s="45">
        <f>IF(OR(ISERROR($N324),$N324="",$N324="NA"),0,J324*$N324)*(1+INDEX('For Finance Control'!$B$27:$E$29,2,MATCH('Project information'!$A$4,'For Finance Control'!$B$27:$E$27,0)))</f>
        <v>0</v>
      </c>
      <c r="R324" s="45">
        <f>IF(OR(ISERROR($N324),$N324="",$N324="NA"),0,K324*$N324)*(1+INDEX('For Finance Control'!$B$27:$E$29,2,MATCH('Project information'!$A$4,'For Finance Control'!$B$27:$E$27,0)))</f>
        <v>0</v>
      </c>
      <c r="S324" s="45">
        <f>IF(OR(ISERROR($N324),$N324="",$N324="NA"),0,L324*$N324)*(1+INDEX('For Finance Control'!$B$27:$E$29,2,MATCH('Project information'!$A$4,'For Finance Control'!$B$27:$E$27,0)))</f>
        <v>0</v>
      </c>
      <c r="T324" s="45">
        <f t="shared" si="300"/>
        <v>0</v>
      </c>
      <c r="U324" s="33" cm="1">
        <f t="array" ref="U324">IF($N324="NA","NA",$N324*INDEX('Exchange rate'!$A$1:$G$7,MATCH('Project information'!$A$13,'Exchange rate'!$A$1:$A$7,0),MATCH(LOOKUP(2,1/({"China";"Korea";"India";"Japan";"EUR";"NAO"}=$E324),{"CNY";"KRW";"INR";"JPY";"EUR";"USD"}),'Exchange rate'!$A$1:$G$1,0)))</f>
        <v>5818</v>
      </c>
      <c r="V324" s="33">
        <f t="shared" si="301"/>
        <v>0</v>
      </c>
      <c r="W324" s="33">
        <f t="shared" si="302"/>
        <v>0</v>
      </c>
      <c r="X324" s="33">
        <f t="shared" si="303"/>
        <v>0</v>
      </c>
      <c r="Y324" s="33">
        <f t="shared" si="304"/>
        <v>0</v>
      </c>
      <c r="Z324" s="33">
        <f t="shared" si="305"/>
        <v>0</v>
      </c>
      <c r="AA324" s="33">
        <f t="shared" si="306"/>
        <v>0</v>
      </c>
      <c r="AB324" s="246"/>
      <c r="AC324" s="247"/>
      <c r="AZ324" s="148" t="str">
        <f t="shared" si="309"/>
        <v>5.202</v>
      </c>
      <c r="BA324" s="149" t="s">
        <v>415</v>
      </c>
    </row>
    <row r="325" spans="1:53" outlineLevel="1">
      <c r="A325" s="148" t="str">
        <f t="shared" si="308"/>
        <v>5.203</v>
      </c>
      <c r="B325" s="148" t="str">
        <f>INDEX('Standard cost - Testing'!$A$1:$N$497,MATCH(RIGHT($C325,4),'Standard cost - Testing'!$A$1:$A$497,0),3)</f>
        <v>LVE</v>
      </c>
      <c r="C325" s="149" t="str">
        <f>'Standard cost - Testing'!B204&amp;" - "&amp;'Standard cost - Testing'!A204</f>
        <v>NVH - N006</v>
      </c>
      <c r="D325" s="150" t="str">
        <f>IF(RIGHT(INDEX('Standard cost - Testing'!$A$1:$N$497,MATCH(RIGHT($C325,4),'Standard cost - Testing'!$A$1:$A$497,0),4),1)="]",INDEX('Standard cost - Testing'!$A$1:$N$497,MATCH(RIGHT($C325,4),'Standard cost - Testing'!$A$1:$A$497,0),4),IF(INDEX('Standard cost - Testing'!$A$1:$N$497,MATCH(RIGHT($C325,4),'Standard cost - Testing'!$A$1:$A$497,0),10)=1,INDEX('Standard cost - Testing'!$A$1:$N$497,MATCH(RIGHT($C325,4),'Standard cost - Testing'!$A$1:$A$497,0),4)&amp;" [1 part]",INDEX('Standard cost - Testing'!$A$1:$N$497,MATCH(RIGHT($C325,4),'Standard cost - Testing'!$A$1:$A$497,0),4)&amp;" ["&amp;INDEX('Standard cost - Testing'!$A$1:$N$497,MATCH(RIGHT($C325,4),'Standard cost - Testing'!$A$1:$A$497,0),10)&amp;" parts]"))</f>
        <v>Full system modal analysis [1 part]</v>
      </c>
      <c r="E325" s="51" t="str">
        <f>IF('Project information'!$A$4="","",'Project information'!$A$4)</f>
        <v>China</v>
      </c>
      <c r="F325" s="149" t="str">
        <f>INDEX('Standard cost - Testing'!$A$1:$N$497,MATCH(RIGHT($C325,4),'Standard cost - Testing'!$A$1:$A$497,0),5)</f>
        <v>GM</v>
      </c>
      <c r="G325" s="149" t="str">
        <f>IF($E325='Standard cost - Testing'!$F$1,INDEX('Standard cost - Testing'!$A$1:$N$497,MATCH(RIGHT($C325,4),'Standard cost - Testing'!$A$1:$A$497,0),6),INDEX('Standard cost - Testing'!$A$1:$N$497,MATCH(RIGHT($C325,4),'Standard cost - Testing'!$A$1:$A$497,0),7))</f>
        <v>GMW14202</v>
      </c>
      <c r="H325" s="46"/>
      <c r="I325" s="46"/>
      <c r="J325" s="46"/>
      <c r="K325" s="46"/>
      <c r="L325" s="46"/>
      <c r="M325" s="33">
        <f t="shared" si="307"/>
        <v>0</v>
      </c>
      <c r="N325" s="157">
        <f>IF(E325="","",IF(ISERROR(INDEX('Standard cost - Testing'!$A$1:$N$497,MATCH(RIGHT($C325,4),'Standard cost - Testing'!$A$1:$A$497,0),MATCH($E325,'Standard cost - Testing'!$K$1:$N$1,0)+10)),"NA",INDEX('Standard cost - Testing'!$A$1:$N$497,MATCH(RIGHT($C325,4),'Standard cost - Testing'!$A$1:$A$497,0),MATCH($E325,'Standard cost - Testing'!$K$1:$N$1,0)+10)))</f>
        <v>4167</v>
      </c>
      <c r="O325" s="45">
        <f>IF(OR(ISERROR($N325),$N325="",$N325="NA"),0,H325*$N325)*(1+INDEX('For Finance Control'!$B$27:$E$29,2,MATCH('Project information'!$A$4,'For Finance Control'!$B$27:$E$27,0)))</f>
        <v>0</v>
      </c>
      <c r="P325" s="45">
        <f>IF(OR(ISERROR($N325),$N325="",$N325="NA"),0,I325*$N325)*(1+INDEX('For Finance Control'!$B$27:$E$29,2,MATCH('Project information'!$A$4,'For Finance Control'!$B$27:$E$27,0)))</f>
        <v>0</v>
      </c>
      <c r="Q325" s="45">
        <f>IF(OR(ISERROR($N325),$N325="",$N325="NA"),0,J325*$N325)*(1+INDEX('For Finance Control'!$B$27:$E$29,2,MATCH('Project information'!$A$4,'For Finance Control'!$B$27:$E$27,0)))</f>
        <v>0</v>
      </c>
      <c r="R325" s="45">
        <f>IF(OR(ISERROR($N325),$N325="",$N325="NA"),0,K325*$N325)*(1+INDEX('For Finance Control'!$B$27:$E$29,2,MATCH('Project information'!$A$4,'For Finance Control'!$B$27:$E$27,0)))</f>
        <v>0</v>
      </c>
      <c r="S325" s="45">
        <f>IF(OR(ISERROR($N325),$N325="",$N325="NA"),0,L325*$N325)*(1+INDEX('For Finance Control'!$B$27:$E$29,2,MATCH('Project information'!$A$4,'For Finance Control'!$B$27:$E$27,0)))</f>
        <v>0</v>
      </c>
      <c r="T325" s="45">
        <f t="shared" si="300"/>
        <v>0</v>
      </c>
      <c r="U325" s="33" cm="1">
        <f t="array" ref="U325">IF($N325="NA","NA",$N325*INDEX('Exchange rate'!$A$1:$G$7,MATCH('Project information'!$A$13,'Exchange rate'!$A$1:$A$7,0),MATCH(LOOKUP(2,1/({"China";"Korea";"India";"Japan";"EUR";"NAO"}=$E325),{"CNY";"KRW";"INR";"JPY";"EUR";"USD"}),'Exchange rate'!$A$1:$G$1,0)))</f>
        <v>4167</v>
      </c>
      <c r="V325" s="33">
        <f t="shared" si="301"/>
        <v>0</v>
      </c>
      <c r="W325" s="33">
        <f t="shared" si="302"/>
        <v>0</v>
      </c>
      <c r="X325" s="33">
        <f t="shared" si="303"/>
        <v>0</v>
      </c>
      <c r="Y325" s="33">
        <f t="shared" si="304"/>
        <v>0</v>
      </c>
      <c r="Z325" s="33">
        <f t="shared" si="305"/>
        <v>0</v>
      </c>
      <c r="AA325" s="33">
        <f t="shared" si="306"/>
        <v>0</v>
      </c>
      <c r="AB325" s="246"/>
      <c r="AC325" s="247"/>
      <c r="AZ325" s="148" t="str">
        <f t="shared" si="309"/>
        <v>5.203</v>
      </c>
      <c r="BA325" s="149" t="s">
        <v>101</v>
      </c>
    </row>
    <row r="326" spans="1:53" ht="25" outlineLevel="1">
      <c r="A326" s="148" t="str">
        <f t="shared" si="308"/>
        <v>5.204</v>
      </c>
      <c r="B326" s="148" t="str">
        <f>INDEX('Standard cost - Testing'!$A$1:$N$497,MATCH(RIGHT($C326,4),'Standard cost - Testing'!$A$1:$A$497,0),3)</f>
        <v>LVE</v>
      </c>
      <c r="C326" s="149" t="str">
        <f>'Standard cost - Testing'!B205&amp;" - "&amp;'Standard cost - Testing'!A205</f>
        <v>NVH - N007</v>
      </c>
      <c r="D326" s="150" t="str">
        <f>IF(RIGHT(INDEX('Standard cost - Testing'!$A$1:$N$497,MATCH(RIGHT($C326,4),'Standard cost - Testing'!$A$1:$A$497,0),4),1)="]",INDEX('Standard cost - Testing'!$A$1:$N$497,MATCH(RIGHT($C326,4),'Standard cost - Testing'!$A$1:$A$497,0),4),IF(INDEX('Standard cost - Testing'!$A$1:$N$497,MATCH(RIGHT($C326,4),'Standard cost - Testing'!$A$1:$A$497,0),10)=1,INDEX('Standard cost - Testing'!$A$1:$N$497,MATCH(RIGHT($C326,4),'Standard cost - Testing'!$A$1:$A$497,0),4)&amp;" [1 part]",INDEX('Standard cost - Testing'!$A$1:$N$497,MATCH(RIGHT($C326,4),'Standard cost - Testing'!$A$1:$A$497,0),4)&amp;" ["&amp;INDEX('Standard cost - Testing'!$A$1:$N$497,MATCH(RIGHT($C326,4),'Standard cost - Testing'!$A$1:$A$497,0),10)&amp;" parts]"))</f>
        <v>Exhaust side hanger Drive Point Dynamic Stiffness (DPDS) [1 hanger]</v>
      </c>
      <c r="E326" s="51" t="str">
        <f>IF('Project information'!$A$4="","",'Project information'!$A$4)</f>
        <v>China</v>
      </c>
      <c r="F326" s="149" t="str">
        <f>INDEX('Standard cost - Testing'!$A$1:$N$497,MATCH(RIGHT($C326,4),'Standard cost - Testing'!$A$1:$A$497,0),5)</f>
        <v>GM</v>
      </c>
      <c r="G326" s="149" t="str">
        <f>IF($E326='Standard cost - Testing'!$F$1,INDEX('Standard cost - Testing'!$A$1:$N$497,MATCH(RIGHT($C326,4),'Standard cost - Testing'!$A$1:$A$497,0),6),INDEX('Standard cost - Testing'!$A$1:$N$497,MATCH(RIGHT($C326,4),'Standard cost - Testing'!$A$1:$A$497,0),7))</f>
        <v>GMW14182</v>
      </c>
      <c r="H326" s="46"/>
      <c r="I326" s="46"/>
      <c r="J326" s="46"/>
      <c r="K326" s="46"/>
      <c r="L326" s="46"/>
      <c r="M326" s="33">
        <f t="shared" si="307"/>
        <v>0</v>
      </c>
      <c r="N326" s="157">
        <f>IF(E326="","",IF(ISERROR(INDEX('Standard cost - Testing'!$A$1:$N$497,MATCH(RIGHT($C326,4),'Standard cost - Testing'!$A$1:$A$497,0),MATCH($E326,'Standard cost - Testing'!$K$1:$N$1,0)+10)),"NA",INDEX('Standard cost - Testing'!$A$1:$N$497,MATCH(RIGHT($C326,4),'Standard cost - Testing'!$A$1:$A$497,0),MATCH($E326,'Standard cost - Testing'!$K$1:$N$1,0)+10)))</f>
        <v>2195.5</v>
      </c>
      <c r="O326" s="45">
        <f>IF(OR(ISERROR($N326),$N326="",$N326="NA"),0,H326*$N326)*(1+INDEX('For Finance Control'!$B$27:$E$29,2,MATCH('Project information'!$A$4,'For Finance Control'!$B$27:$E$27,0)))</f>
        <v>0</v>
      </c>
      <c r="P326" s="45">
        <f>IF(OR(ISERROR($N326),$N326="",$N326="NA"),0,I326*$N326)*(1+INDEX('For Finance Control'!$B$27:$E$29,2,MATCH('Project information'!$A$4,'For Finance Control'!$B$27:$E$27,0)))</f>
        <v>0</v>
      </c>
      <c r="Q326" s="45">
        <f>IF(OR(ISERROR($N326),$N326="",$N326="NA"),0,J326*$N326)*(1+INDEX('For Finance Control'!$B$27:$E$29,2,MATCH('Project information'!$A$4,'For Finance Control'!$B$27:$E$27,0)))</f>
        <v>0</v>
      </c>
      <c r="R326" s="45">
        <f>IF(OR(ISERROR($N326),$N326="",$N326="NA"),0,K326*$N326)*(1+INDEX('For Finance Control'!$B$27:$E$29,2,MATCH('Project information'!$A$4,'For Finance Control'!$B$27:$E$27,0)))</f>
        <v>0</v>
      </c>
      <c r="S326" s="45">
        <f>IF(OR(ISERROR($N326),$N326="",$N326="NA"),0,L326*$N326)*(1+INDEX('For Finance Control'!$B$27:$E$29,2,MATCH('Project information'!$A$4,'For Finance Control'!$B$27:$E$27,0)))</f>
        <v>0</v>
      </c>
      <c r="T326" s="45">
        <f t="shared" si="300"/>
        <v>0</v>
      </c>
      <c r="U326" s="33" cm="1">
        <f t="array" ref="U326">IF($N326="NA","NA",$N326*INDEX('Exchange rate'!$A$1:$G$7,MATCH('Project information'!$A$13,'Exchange rate'!$A$1:$A$7,0),MATCH(LOOKUP(2,1/({"China";"Korea";"India";"Japan";"EUR";"NAO"}=$E326),{"CNY";"KRW";"INR";"JPY";"EUR";"USD"}),'Exchange rate'!$A$1:$G$1,0)))</f>
        <v>2195.5</v>
      </c>
      <c r="V326" s="33">
        <f t="shared" si="301"/>
        <v>0</v>
      </c>
      <c r="W326" s="33">
        <f t="shared" si="302"/>
        <v>0</v>
      </c>
      <c r="X326" s="33">
        <f t="shared" si="303"/>
        <v>0</v>
      </c>
      <c r="Y326" s="33">
        <f t="shared" si="304"/>
        <v>0</v>
      </c>
      <c r="Z326" s="33">
        <f t="shared" si="305"/>
        <v>0</v>
      </c>
      <c r="AA326" s="33">
        <f t="shared" si="306"/>
        <v>0</v>
      </c>
      <c r="AB326" s="246"/>
      <c r="AC326" s="247"/>
      <c r="AZ326" s="148" t="str">
        <f t="shared" si="309"/>
        <v>5.204</v>
      </c>
      <c r="BA326" s="149" t="s">
        <v>416</v>
      </c>
    </row>
    <row r="327" spans="1:53" outlineLevel="1">
      <c r="A327" s="148" t="str">
        <f t="shared" si="308"/>
        <v>5.205</v>
      </c>
      <c r="B327" s="148" t="str">
        <f>INDEX('Standard cost - Testing'!$A$1:$N$497,MATCH(RIGHT($C327,4),'Standard cost - Testing'!$A$1:$A$497,0),3)</f>
        <v>LVE</v>
      </c>
      <c r="C327" s="149" t="str">
        <f>'Standard cost - Testing'!B206&amp;" - "&amp;'Standard cost - Testing'!A206</f>
        <v>NVH - N008</v>
      </c>
      <c r="D327" s="150" t="str">
        <f>IF(RIGHT(INDEX('Standard cost - Testing'!$A$1:$N$497,MATCH(RIGHT($C327,4),'Standard cost - Testing'!$A$1:$A$497,0),4),1)="]",INDEX('Standard cost - Testing'!$A$1:$N$497,MATCH(RIGHT($C327,4),'Standard cost - Testing'!$A$1:$A$497,0),4),IF(INDEX('Standard cost - Testing'!$A$1:$N$497,MATCH(RIGHT($C327,4),'Standard cost - Testing'!$A$1:$A$497,0),10)=1,INDEX('Standard cost - Testing'!$A$1:$N$497,MATCH(RIGHT($C327,4),'Standard cost - Testing'!$A$1:$A$497,0),4)&amp;" [1 part]",INDEX('Standard cost - Testing'!$A$1:$N$497,MATCH(RIGHT($C327,4),'Standard cost - Testing'!$A$1:$A$497,0),4)&amp;" ["&amp;INDEX('Standard cost - Testing'!$A$1:$N$497,MATCH(RIGHT($C327,4),'Standard cost - Testing'!$A$1:$A$497,0),10)&amp;" parts]"))</f>
        <v>Engine vibration measurement [1 part]</v>
      </c>
      <c r="E327" s="51" t="str">
        <f>IF('Project information'!$A$4="","",'Project information'!$A$4)</f>
        <v>China</v>
      </c>
      <c r="F327" s="149" t="str">
        <f>INDEX('Standard cost - Testing'!$A$1:$N$497,MATCH(RIGHT($C327,4),'Standard cost - Testing'!$A$1:$A$497,0),5)</f>
        <v>HMC</v>
      </c>
      <c r="G327" s="149">
        <f>IF($E327='Standard cost - Testing'!$F$1,INDEX('Standard cost - Testing'!$A$1:$N$497,MATCH(RIGHT($C327,4),'Standard cost - Testing'!$A$1:$A$497,0),6),INDEX('Standard cost - Testing'!$A$1:$N$497,MATCH(RIGHT($C327,4),'Standard cost - Testing'!$A$1:$A$497,0),7))</f>
        <v>0</v>
      </c>
      <c r="H327" s="46"/>
      <c r="I327" s="46"/>
      <c r="J327" s="46"/>
      <c r="K327" s="46"/>
      <c r="L327" s="46"/>
      <c r="M327" s="33">
        <f t="shared" si="307"/>
        <v>0</v>
      </c>
      <c r="N327" s="157">
        <f>IF(E327="","",IF(ISERROR(INDEX('Standard cost - Testing'!$A$1:$N$497,MATCH(RIGHT($C327,4),'Standard cost - Testing'!$A$1:$A$497,0),MATCH($E327,'Standard cost - Testing'!$K$1:$N$1,0)+10)),"NA",INDEX('Standard cost - Testing'!$A$1:$N$497,MATCH(RIGHT($C327,4),'Standard cost - Testing'!$A$1:$A$497,0),MATCH($E327,'Standard cost - Testing'!$K$1:$N$1,0)+10)))</f>
        <v>3331</v>
      </c>
      <c r="O327" s="45">
        <f>IF(OR(ISERROR($N327),$N327="",$N327="NA"),0,H327*$N327)*(1+INDEX('For Finance Control'!$B$27:$E$29,2,MATCH('Project information'!$A$4,'For Finance Control'!$B$27:$E$27,0)))</f>
        <v>0</v>
      </c>
      <c r="P327" s="45">
        <f>IF(OR(ISERROR($N327),$N327="",$N327="NA"),0,I327*$N327)*(1+INDEX('For Finance Control'!$B$27:$E$29,2,MATCH('Project information'!$A$4,'For Finance Control'!$B$27:$E$27,0)))</f>
        <v>0</v>
      </c>
      <c r="Q327" s="45">
        <f>IF(OR(ISERROR($N327),$N327="",$N327="NA"),0,J327*$N327)*(1+INDEX('For Finance Control'!$B$27:$E$29,2,MATCH('Project information'!$A$4,'For Finance Control'!$B$27:$E$27,0)))</f>
        <v>0</v>
      </c>
      <c r="R327" s="45">
        <f>IF(OR(ISERROR($N327),$N327="",$N327="NA"),0,K327*$N327)*(1+INDEX('For Finance Control'!$B$27:$E$29,2,MATCH('Project information'!$A$4,'For Finance Control'!$B$27:$E$27,0)))</f>
        <v>0</v>
      </c>
      <c r="S327" s="45">
        <f>IF(OR(ISERROR($N327),$N327="",$N327="NA"),0,L327*$N327)*(1+INDEX('For Finance Control'!$B$27:$E$29,2,MATCH('Project information'!$A$4,'For Finance Control'!$B$27:$E$27,0)))</f>
        <v>0</v>
      </c>
      <c r="T327" s="45">
        <f t="shared" si="300"/>
        <v>0</v>
      </c>
      <c r="U327" s="33" cm="1">
        <f t="array" ref="U327">IF($N327="NA","NA",$N327*INDEX('Exchange rate'!$A$1:$G$7,MATCH('Project information'!$A$13,'Exchange rate'!$A$1:$A$7,0),MATCH(LOOKUP(2,1/({"China";"Korea";"India";"Japan";"EUR";"NAO"}=$E327),{"CNY";"KRW";"INR";"JPY";"EUR";"USD"}),'Exchange rate'!$A$1:$G$1,0)))</f>
        <v>3331</v>
      </c>
      <c r="V327" s="33">
        <f t="shared" si="301"/>
        <v>0</v>
      </c>
      <c r="W327" s="33">
        <f t="shared" si="302"/>
        <v>0</v>
      </c>
      <c r="X327" s="33">
        <f t="shared" si="303"/>
        <v>0</v>
      </c>
      <c r="Y327" s="33">
        <f t="shared" si="304"/>
        <v>0</v>
      </c>
      <c r="Z327" s="33">
        <f t="shared" si="305"/>
        <v>0</v>
      </c>
      <c r="AA327" s="33">
        <f t="shared" si="306"/>
        <v>0</v>
      </c>
      <c r="AB327" s="246"/>
      <c r="AC327" s="247"/>
      <c r="AZ327" s="148" t="str">
        <f t="shared" si="309"/>
        <v>5.205</v>
      </c>
      <c r="BA327" s="149" t="s">
        <v>101</v>
      </c>
    </row>
    <row r="328" spans="1:53" ht="37.5" outlineLevel="1">
      <c r="A328" s="148" t="str">
        <f t="shared" si="308"/>
        <v>5.206</v>
      </c>
      <c r="B328" s="148" t="str">
        <f>INDEX('Standard cost - Testing'!$A$1:$N$497,MATCH(RIGHT($C328,4),'Standard cost - Testing'!$A$1:$A$497,0),3)</f>
        <v>LVE</v>
      </c>
      <c r="C328" s="149" t="str">
        <f>'Standard cost - Testing'!B207&amp;" - "&amp;'Standard cost - Testing'!A207</f>
        <v>NVH - N009</v>
      </c>
      <c r="D328" s="150" t="str">
        <f>IF(RIGHT(INDEX('Standard cost - Testing'!$A$1:$N$497,MATCH(RIGHT($C328,4),'Standard cost - Testing'!$A$1:$A$497,0),4),1)="]",INDEX('Standard cost - Testing'!$A$1:$N$497,MATCH(RIGHT($C328,4),'Standard cost - Testing'!$A$1:$A$497,0),4),IF(INDEX('Standard cost - Testing'!$A$1:$N$497,MATCH(RIGHT($C328,4),'Standard cost - Testing'!$A$1:$A$497,0),10)=1,INDEX('Standard cost - Testing'!$A$1:$N$497,MATCH(RIGHT($C328,4),'Standard cost - Testing'!$A$1:$A$497,0),4)&amp;" [1 part]",INDEX('Standard cost - Testing'!$A$1:$N$497,MATCH(RIGHT($C328,4),'Standard cost - Testing'!$A$1:$A$497,0),4)&amp;" ["&amp;INDEX('Standard cost - Testing'!$A$1:$N$497,MATCH(RIGHT($C328,4),'Standard cost - Testing'!$A$1:$A$497,0),10)&amp;" parts]"))</f>
        <v>Modal analysis [1 part]</v>
      </c>
      <c r="E328" s="51" t="str">
        <f>IF('Project information'!$A$4="","",'Project information'!$A$4)</f>
        <v>China</v>
      </c>
      <c r="F328" s="149" t="str">
        <f>INDEX('Standard cost - Testing'!$A$1:$N$497,MATCH(RIGHT($C328,4),'Standard cost - Testing'!$A$1:$A$497,0),5)</f>
        <v>FCA</v>
      </c>
      <c r="G328" s="149" t="str">
        <f>IF($E328='Standard cost - Testing'!$F$1,INDEX('Standard cost - Testing'!$A$1:$N$497,MATCH(RIGHT($C328,4),'Standard cost - Testing'!$A$1:$A$497,0),6),INDEX('Standard cost - Testing'!$A$1:$N$497,MATCH(RIGHT($C328,4),'Standard cost - Testing'!$A$1:$A$497,0),7))</f>
        <v>PF.90160 9.4</v>
      </c>
      <c r="H328" s="46"/>
      <c r="I328" s="46"/>
      <c r="J328" s="46"/>
      <c r="K328" s="46"/>
      <c r="L328" s="46"/>
      <c r="M328" s="33">
        <f t="shared" si="307"/>
        <v>0</v>
      </c>
      <c r="N328" s="157">
        <f>IF(E328="","",IF(ISERROR(INDEX('Standard cost - Testing'!$A$1:$N$497,MATCH(RIGHT($C328,4),'Standard cost - Testing'!$A$1:$A$497,0),MATCH($E328,'Standard cost - Testing'!$K$1:$N$1,0)+10)),"NA",INDEX('Standard cost - Testing'!$A$1:$N$497,MATCH(RIGHT($C328,4),'Standard cost - Testing'!$A$1:$A$497,0),MATCH($E328,'Standard cost - Testing'!$K$1:$N$1,0)+10)))</f>
        <v>3647</v>
      </c>
      <c r="O328" s="45">
        <f>IF(OR(ISERROR($N328),$N328="",$N328="NA"),0,H328*$N328)*(1+INDEX('For Finance Control'!$B$27:$E$29,2,MATCH('Project information'!$A$4,'For Finance Control'!$B$27:$E$27,0)))</f>
        <v>0</v>
      </c>
      <c r="P328" s="45">
        <f>IF(OR(ISERROR($N328),$N328="",$N328="NA"),0,I328*$N328)*(1+INDEX('For Finance Control'!$B$27:$E$29,2,MATCH('Project information'!$A$4,'For Finance Control'!$B$27:$E$27,0)))</f>
        <v>0</v>
      </c>
      <c r="Q328" s="45">
        <f>IF(OR(ISERROR($N328),$N328="",$N328="NA"),0,J328*$N328)*(1+INDEX('For Finance Control'!$B$27:$E$29,2,MATCH('Project information'!$A$4,'For Finance Control'!$B$27:$E$27,0)))</f>
        <v>0</v>
      </c>
      <c r="R328" s="45">
        <f>IF(OR(ISERROR($N328),$N328="",$N328="NA"),0,K328*$N328)*(1+INDEX('For Finance Control'!$B$27:$E$29,2,MATCH('Project information'!$A$4,'For Finance Control'!$B$27:$E$27,0)))</f>
        <v>0</v>
      </c>
      <c r="S328" s="45">
        <f>IF(OR(ISERROR($N328),$N328="",$N328="NA"),0,L328*$N328)*(1+INDEX('For Finance Control'!$B$27:$E$29,2,MATCH('Project information'!$A$4,'For Finance Control'!$B$27:$E$27,0)))</f>
        <v>0</v>
      </c>
      <c r="T328" s="45">
        <f t="shared" si="300"/>
        <v>0</v>
      </c>
      <c r="U328" s="33" cm="1">
        <f t="array" ref="U328">IF($N328="NA","NA",$N328*INDEX('Exchange rate'!$A$1:$G$7,MATCH('Project information'!$A$13,'Exchange rate'!$A$1:$A$7,0),MATCH(LOOKUP(2,1/({"China";"Korea";"India";"Japan";"EUR";"NAO"}=$E328),{"CNY";"KRW";"INR";"JPY";"EUR";"USD"}),'Exchange rate'!$A$1:$G$1,0)))</f>
        <v>3647</v>
      </c>
      <c r="V328" s="33">
        <f t="shared" si="301"/>
        <v>0</v>
      </c>
      <c r="W328" s="33">
        <f t="shared" si="302"/>
        <v>0</v>
      </c>
      <c r="X328" s="33">
        <f t="shared" si="303"/>
        <v>0</v>
      </c>
      <c r="Y328" s="33">
        <f t="shared" si="304"/>
        <v>0</v>
      </c>
      <c r="Z328" s="33">
        <f t="shared" si="305"/>
        <v>0</v>
      </c>
      <c r="AA328" s="33">
        <f t="shared" si="306"/>
        <v>0</v>
      </c>
      <c r="AB328" s="246"/>
      <c r="AC328" s="247"/>
      <c r="AZ328" s="148" t="str">
        <f t="shared" si="309"/>
        <v>5.206</v>
      </c>
      <c r="BA328" s="149" t="s">
        <v>417</v>
      </c>
    </row>
    <row r="329" spans="1:53" ht="25" outlineLevel="1">
      <c r="A329" s="148" t="str">
        <f t="shared" si="308"/>
        <v>5.207</v>
      </c>
      <c r="B329" s="148" t="str">
        <f>INDEX('Standard cost - Testing'!$A$1:$N$497,MATCH(RIGHT($C329,4),'Standard cost - Testing'!$A$1:$A$497,0),3)</f>
        <v>LVE</v>
      </c>
      <c r="C329" s="149" t="str">
        <f>'Standard cost - Testing'!B208&amp;" - "&amp;'Standard cost - Testing'!A208</f>
        <v>NVH - N010</v>
      </c>
      <c r="D329" s="150" t="str">
        <f>IF(RIGHT(INDEX('Standard cost - Testing'!$A$1:$N$497,MATCH(RIGHT($C329,4),'Standard cost - Testing'!$A$1:$A$497,0),4),1)="]",INDEX('Standard cost - Testing'!$A$1:$N$497,MATCH(RIGHT($C329,4),'Standard cost - Testing'!$A$1:$A$497,0),4),IF(INDEX('Standard cost - Testing'!$A$1:$N$497,MATCH(RIGHT($C329,4),'Standard cost - Testing'!$A$1:$A$497,0),10)=1,INDEX('Standard cost - Testing'!$A$1:$N$497,MATCH(RIGHT($C329,4),'Standard cost - Testing'!$A$1:$A$497,0),4)&amp;" [1 part]",INDEX('Standard cost - Testing'!$A$1:$N$497,MATCH(RIGHT($C329,4),'Standard cost - Testing'!$A$1:$A$497,0),4)&amp;" ["&amp;INDEX('Standard cost - Testing'!$A$1:$N$497,MATCH(RIGHT($C329,4),'Standard cost - Testing'!$A$1:$A$497,0),10)&amp;" parts]"))</f>
        <v>Vehicle vibration measurement [1 part]</v>
      </c>
      <c r="E329" s="51" t="str">
        <f>IF('Project information'!$A$4="","",'Project information'!$A$4)</f>
        <v>China</v>
      </c>
      <c r="F329" s="149" t="str">
        <f>INDEX('Standard cost - Testing'!$A$1:$N$497,MATCH(RIGHT($C329,4),'Standard cost - Testing'!$A$1:$A$497,0),5)</f>
        <v>HMC</v>
      </c>
      <c r="G329" s="149">
        <f>IF($E329='Standard cost - Testing'!$F$1,INDEX('Standard cost - Testing'!$A$1:$N$497,MATCH(RIGHT($C329,4),'Standard cost - Testing'!$A$1:$A$497,0),6),INDEX('Standard cost - Testing'!$A$1:$N$497,MATCH(RIGHT($C329,4),'Standard cost - Testing'!$A$1:$A$497,0),7))</f>
        <v>0</v>
      </c>
      <c r="H329" s="46"/>
      <c r="I329" s="46"/>
      <c r="J329" s="46"/>
      <c r="K329" s="46"/>
      <c r="L329" s="46"/>
      <c r="M329" s="33">
        <f t="shared" si="307"/>
        <v>0</v>
      </c>
      <c r="N329" s="157">
        <f>IF(E329="","",IF(ISERROR(INDEX('Standard cost - Testing'!$A$1:$N$497,MATCH(RIGHT($C329,4),'Standard cost - Testing'!$A$1:$A$497,0),MATCH($E329,'Standard cost - Testing'!$K$1:$N$1,0)+10)),"NA",INDEX('Standard cost - Testing'!$A$1:$N$497,MATCH(RIGHT($C329,4),'Standard cost - Testing'!$A$1:$A$497,0),MATCH($E329,'Standard cost - Testing'!$K$1:$N$1,0)+10)))</f>
        <v>4235</v>
      </c>
      <c r="O329" s="45">
        <f>IF(OR(ISERROR($N329),$N329="",$N329="NA"),0,H329*$N329)*(1+INDEX('For Finance Control'!$B$27:$E$29,2,MATCH('Project information'!$A$4,'For Finance Control'!$B$27:$E$27,0)))</f>
        <v>0</v>
      </c>
      <c r="P329" s="45">
        <f>IF(OR(ISERROR($N329),$N329="",$N329="NA"),0,I329*$N329)*(1+INDEX('For Finance Control'!$B$27:$E$29,2,MATCH('Project information'!$A$4,'For Finance Control'!$B$27:$E$27,0)))</f>
        <v>0</v>
      </c>
      <c r="Q329" s="45">
        <f>IF(OR(ISERROR($N329),$N329="",$N329="NA"),0,J329*$N329)*(1+INDEX('For Finance Control'!$B$27:$E$29,2,MATCH('Project information'!$A$4,'For Finance Control'!$B$27:$E$27,0)))</f>
        <v>0</v>
      </c>
      <c r="R329" s="45">
        <f>IF(OR(ISERROR($N329),$N329="",$N329="NA"),0,K329*$N329)*(1+INDEX('For Finance Control'!$B$27:$E$29,2,MATCH('Project information'!$A$4,'For Finance Control'!$B$27:$E$27,0)))</f>
        <v>0</v>
      </c>
      <c r="S329" s="45">
        <f>IF(OR(ISERROR($N329),$N329="",$N329="NA"),0,L329*$N329)*(1+INDEX('For Finance Control'!$B$27:$E$29,2,MATCH('Project information'!$A$4,'For Finance Control'!$B$27:$E$27,0)))</f>
        <v>0</v>
      </c>
      <c r="T329" s="45">
        <f t="shared" si="300"/>
        <v>0</v>
      </c>
      <c r="U329" s="33" cm="1">
        <f t="array" ref="U329">IF($N329="NA","NA",$N329*INDEX('Exchange rate'!$A$1:$G$7,MATCH('Project information'!$A$13,'Exchange rate'!$A$1:$A$7,0),MATCH(LOOKUP(2,1/({"China";"Korea";"India";"Japan";"EUR";"NAO"}=$E329),{"CNY";"KRW";"INR";"JPY";"EUR";"USD"}),'Exchange rate'!$A$1:$G$1,0)))</f>
        <v>4235</v>
      </c>
      <c r="V329" s="33">
        <f t="shared" si="301"/>
        <v>0</v>
      </c>
      <c r="W329" s="33">
        <f t="shared" si="302"/>
        <v>0</v>
      </c>
      <c r="X329" s="33">
        <f t="shared" si="303"/>
        <v>0</v>
      </c>
      <c r="Y329" s="33">
        <f t="shared" si="304"/>
        <v>0</v>
      </c>
      <c r="Z329" s="33">
        <f t="shared" si="305"/>
        <v>0</v>
      </c>
      <c r="AA329" s="33">
        <f t="shared" si="306"/>
        <v>0</v>
      </c>
      <c r="AB329" s="246"/>
      <c r="AC329" s="247"/>
      <c r="AZ329" s="148" t="str">
        <f t="shared" si="309"/>
        <v>5.207</v>
      </c>
      <c r="BA329" s="149" t="s">
        <v>101</v>
      </c>
    </row>
    <row r="330" spans="1:53" ht="37.5" outlineLevel="1">
      <c r="A330" s="148" t="str">
        <f t="shared" si="308"/>
        <v>5.208</v>
      </c>
      <c r="B330" s="148" t="str">
        <f>INDEX('Standard cost - Testing'!$A$1:$N$497,MATCH(RIGHT($C330,4),'Standard cost - Testing'!$A$1:$A$497,0),3)</f>
        <v>LVE</v>
      </c>
      <c r="C330" s="149" t="str">
        <f>'Standard cost - Testing'!B209&amp;" - "&amp;'Standard cost - Testing'!A209</f>
        <v>NVH - N011</v>
      </c>
      <c r="D330" s="150" t="str">
        <f>IF(RIGHT(INDEX('Standard cost - Testing'!$A$1:$N$497,MATCH(RIGHT($C330,4),'Standard cost - Testing'!$A$1:$A$497,0),4),1)="]",INDEX('Standard cost - Testing'!$A$1:$N$497,MATCH(RIGHT($C330,4),'Standard cost - Testing'!$A$1:$A$497,0),4),IF(INDEX('Standard cost - Testing'!$A$1:$N$497,MATCH(RIGHT($C330,4),'Standard cost - Testing'!$A$1:$A$497,0),10)=1,INDEX('Standard cost - Testing'!$A$1:$N$497,MATCH(RIGHT($C330,4),'Standard cost - Testing'!$A$1:$A$497,0),4)&amp;" [1 part]",INDEX('Standard cost - Testing'!$A$1:$N$497,MATCH(RIGHT($C330,4),'Standard cost - Testing'!$A$1:$A$497,0),4)&amp;" ["&amp;INDEX('Standard cost - Testing'!$A$1:$N$497,MATCH(RIGHT($C330,4),'Standard cost - Testing'!$A$1:$A$497,0),10)&amp;" parts]"))</f>
        <v>Flow noise test [1 part]</v>
      </c>
      <c r="E330" s="51" t="str">
        <f>IF('Project information'!$A$4="","",'Project information'!$A$4)</f>
        <v>China</v>
      </c>
      <c r="F330" s="149" t="str">
        <f>INDEX('Standard cost - Testing'!$A$1:$N$497,MATCH(RIGHT($C330,4),'Standard cost - Testing'!$A$1:$A$497,0),5)</f>
        <v>HMC</v>
      </c>
      <c r="G330" s="149" t="str">
        <f>IF($E330='Standard cost - Testing'!$F$1,INDEX('Standard cost - Testing'!$A$1:$N$497,MATCH(RIGHT($C330,4),'Standard cost - Testing'!$A$1:$A$497,0),6),INDEX('Standard cost - Testing'!$A$1:$N$497,MATCH(RIGHT($C330,4),'Standard cost - Testing'!$A$1:$A$497,0),7))</f>
        <v>ES28530-01 5.2
ES28530-02 6.2
ES28990-01 6.1</v>
      </c>
      <c r="H330" s="46"/>
      <c r="I330" s="46"/>
      <c r="J330" s="46"/>
      <c r="K330" s="46"/>
      <c r="L330" s="46"/>
      <c r="M330" s="33">
        <f t="shared" si="307"/>
        <v>0</v>
      </c>
      <c r="N330" s="157">
        <f>IF(E330="","",IF(ISERROR(INDEX('Standard cost - Testing'!$A$1:$N$497,MATCH(RIGHT($C330,4),'Standard cost - Testing'!$A$1:$A$497,0),MATCH($E330,'Standard cost - Testing'!$K$1:$N$1,0)+10)),"NA",INDEX('Standard cost - Testing'!$A$1:$N$497,MATCH(RIGHT($C330,4),'Standard cost - Testing'!$A$1:$A$497,0),MATCH($E330,'Standard cost - Testing'!$K$1:$N$1,0)+10)))</f>
        <v>3785</v>
      </c>
      <c r="O330" s="45">
        <f>IF(OR(ISERROR($N330),$N330="",$N330="NA"),0,H330*$N330)*(1+INDEX('For Finance Control'!$B$27:$E$29,2,MATCH('Project information'!$A$4,'For Finance Control'!$B$27:$E$27,0)))</f>
        <v>0</v>
      </c>
      <c r="P330" s="45">
        <f>IF(OR(ISERROR($N330),$N330="",$N330="NA"),0,I330*$N330)*(1+INDEX('For Finance Control'!$B$27:$E$29,2,MATCH('Project information'!$A$4,'For Finance Control'!$B$27:$E$27,0)))</f>
        <v>0</v>
      </c>
      <c r="Q330" s="45">
        <f>IF(OR(ISERROR($N330),$N330="",$N330="NA"),0,J330*$N330)*(1+INDEX('For Finance Control'!$B$27:$E$29,2,MATCH('Project information'!$A$4,'For Finance Control'!$B$27:$E$27,0)))</f>
        <v>0</v>
      </c>
      <c r="R330" s="45">
        <f>IF(OR(ISERROR($N330),$N330="",$N330="NA"),0,K330*$N330)*(1+INDEX('For Finance Control'!$B$27:$E$29,2,MATCH('Project information'!$A$4,'For Finance Control'!$B$27:$E$27,0)))</f>
        <v>0</v>
      </c>
      <c r="S330" s="45">
        <f>IF(OR(ISERROR($N330),$N330="",$N330="NA"),0,L330*$N330)*(1+INDEX('For Finance Control'!$B$27:$E$29,2,MATCH('Project information'!$A$4,'For Finance Control'!$B$27:$E$27,0)))</f>
        <v>0</v>
      </c>
      <c r="T330" s="45">
        <f t="shared" si="300"/>
        <v>0</v>
      </c>
      <c r="U330" s="33" cm="1">
        <f t="array" ref="U330">IF($N330="NA","NA",$N330*INDEX('Exchange rate'!$A$1:$G$7,MATCH('Project information'!$A$13,'Exchange rate'!$A$1:$A$7,0),MATCH(LOOKUP(2,1/({"China";"Korea";"India";"Japan";"EUR";"NAO"}=$E330),{"CNY";"KRW";"INR";"JPY";"EUR";"USD"}),'Exchange rate'!$A$1:$G$1,0)))</f>
        <v>3785</v>
      </c>
      <c r="V330" s="33">
        <f t="shared" si="301"/>
        <v>0</v>
      </c>
      <c r="W330" s="33">
        <f t="shared" si="302"/>
        <v>0</v>
      </c>
      <c r="X330" s="33">
        <f t="shared" si="303"/>
        <v>0</v>
      </c>
      <c r="Y330" s="33">
        <f t="shared" si="304"/>
        <v>0</v>
      </c>
      <c r="Z330" s="33">
        <f t="shared" si="305"/>
        <v>0</v>
      </c>
      <c r="AA330" s="33">
        <f t="shared" si="306"/>
        <v>0</v>
      </c>
      <c r="AB330" s="246"/>
      <c r="AC330" s="247"/>
      <c r="AZ330" s="148" t="str">
        <f t="shared" si="309"/>
        <v>5.208</v>
      </c>
      <c r="BA330" s="149" t="s">
        <v>405</v>
      </c>
    </row>
    <row r="331" spans="1:53" ht="25" outlineLevel="1">
      <c r="A331" s="148" t="str">
        <f t="shared" si="308"/>
        <v>5.209</v>
      </c>
      <c r="B331" s="148" t="str">
        <f>INDEX('Standard cost - Testing'!$A$1:$N$497,MATCH(RIGHT($C331,4),'Standard cost - Testing'!$A$1:$A$497,0),3)</f>
        <v>LVE</v>
      </c>
      <c r="C331" s="149" t="str">
        <f>'Standard cost - Testing'!B210&amp;" - "&amp;'Standard cost - Testing'!A210</f>
        <v>NVH - N012</v>
      </c>
      <c r="D331" s="150" t="str">
        <f>IF(RIGHT(INDEX('Standard cost - Testing'!$A$1:$N$497,MATCH(RIGHT($C331,4),'Standard cost - Testing'!$A$1:$A$497,0),4),1)="]",INDEX('Standard cost - Testing'!$A$1:$N$497,MATCH(RIGHT($C331,4),'Standard cost - Testing'!$A$1:$A$497,0),4),IF(INDEX('Standard cost - Testing'!$A$1:$N$497,MATCH(RIGHT($C331,4),'Standard cost - Testing'!$A$1:$A$497,0),10)=1,INDEX('Standard cost - Testing'!$A$1:$N$497,MATCH(RIGHT($C331,4),'Standard cost - Testing'!$A$1:$A$497,0),4)&amp;" [1 part]",INDEX('Standard cost - Testing'!$A$1:$N$497,MATCH(RIGHT($C331,4),'Standard cost - Testing'!$A$1:$A$497,0),4)&amp;" ["&amp;INDEX('Standard cost - Testing'!$A$1:$N$497,MATCH(RIGHT($C331,4),'Standard cost - Testing'!$A$1:$A$497,0),10)&amp;" parts]"))</f>
        <v>Exhaust noise test By Proving Ground vehicle test） [3 parts]</v>
      </c>
      <c r="E331" s="51" t="str">
        <f>IF('Project information'!$A$4="","",'Project information'!$A$4)</f>
        <v>China</v>
      </c>
      <c r="F331" s="149" t="str">
        <f>INDEX('Standard cost - Testing'!$A$1:$N$497,MATCH(RIGHT($C331,4),'Standard cost - Testing'!$A$1:$A$497,0),5)</f>
        <v>HMC</v>
      </c>
      <c r="G331" s="149">
        <f>IF($E331='Standard cost - Testing'!$F$1,INDEX('Standard cost - Testing'!$A$1:$N$497,MATCH(RIGHT($C331,4),'Standard cost - Testing'!$A$1:$A$497,0),6),INDEX('Standard cost - Testing'!$A$1:$N$497,MATCH(RIGHT($C331,4),'Standard cost - Testing'!$A$1:$A$497,0),7))</f>
        <v>0</v>
      </c>
      <c r="H331" s="46"/>
      <c r="I331" s="46"/>
      <c r="J331" s="46"/>
      <c r="K331" s="46"/>
      <c r="L331" s="46"/>
      <c r="M331" s="33">
        <f t="shared" si="307"/>
        <v>0</v>
      </c>
      <c r="N331" s="157" t="str">
        <f>IF(E331="","",IF(ISERROR(INDEX('Standard cost - Testing'!$A$1:$N$497,MATCH(RIGHT($C331,4),'Standard cost - Testing'!$A$1:$A$497,0),MATCH($E331,'Standard cost - Testing'!$K$1:$N$1,0)+10)),"NA",INDEX('Standard cost - Testing'!$A$1:$N$497,MATCH(RIGHT($C331,4),'Standard cost - Testing'!$A$1:$A$497,0),MATCH($E331,'Standard cost - Testing'!$K$1:$N$1,0)+10)))</f>
        <v>NA</v>
      </c>
      <c r="O331" s="45">
        <f>IF(OR(ISERROR($N331),$N331="",$N331="NA"),0,H331*$N331)*(1+INDEX('For Finance Control'!$B$27:$E$29,2,MATCH('Project information'!$A$4,'For Finance Control'!$B$27:$E$27,0)))</f>
        <v>0</v>
      </c>
      <c r="P331" s="45">
        <f>IF(OR(ISERROR($N331),$N331="",$N331="NA"),0,I331*$N331)*(1+INDEX('For Finance Control'!$B$27:$E$29,2,MATCH('Project information'!$A$4,'For Finance Control'!$B$27:$E$27,0)))</f>
        <v>0</v>
      </c>
      <c r="Q331" s="45">
        <f>IF(OR(ISERROR($N331),$N331="",$N331="NA"),0,J331*$N331)*(1+INDEX('For Finance Control'!$B$27:$E$29,2,MATCH('Project information'!$A$4,'For Finance Control'!$B$27:$E$27,0)))</f>
        <v>0</v>
      </c>
      <c r="R331" s="45">
        <f>IF(OR(ISERROR($N331),$N331="",$N331="NA"),0,K331*$N331)*(1+INDEX('For Finance Control'!$B$27:$E$29,2,MATCH('Project information'!$A$4,'For Finance Control'!$B$27:$E$27,0)))</f>
        <v>0</v>
      </c>
      <c r="S331" s="45">
        <f>IF(OR(ISERROR($N331),$N331="",$N331="NA"),0,L331*$N331)*(1+INDEX('For Finance Control'!$B$27:$E$29,2,MATCH('Project information'!$A$4,'For Finance Control'!$B$27:$E$27,0)))</f>
        <v>0</v>
      </c>
      <c r="T331" s="45">
        <f t="shared" si="300"/>
        <v>0</v>
      </c>
      <c r="U331" s="33" t="str" cm="1">
        <f t="array" ref="U331">IF($N331="NA","NA",$N331*INDEX('Exchange rate'!$A$1:$G$7,MATCH('Project information'!$A$13,'Exchange rate'!$A$1:$A$7,0),MATCH(LOOKUP(2,1/({"China";"Korea";"India";"Japan";"EUR";"NAO"}=$E331),{"CNY";"KRW";"INR";"JPY";"EUR";"USD"}),'Exchange rate'!$A$1:$G$1,0)))</f>
        <v>NA</v>
      </c>
      <c r="V331" s="33">
        <f t="shared" si="301"/>
        <v>0</v>
      </c>
      <c r="W331" s="33">
        <f t="shared" si="302"/>
        <v>0</v>
      </c>
      <c r="X331" s="33">
        <f t="shared" si="303"/>
        <v>0</v>
      </c>
      <c r="Y331" s="33">
        <f t="shared" si="304"/>
        <v>0</v>
      </c>
      <c r="Z331" s="33">
        <f t="shared" si="305"/>
        <v>0</v>
      </c>
      <c r="AA331" s="33">
        <f t="shared" si="306"/>
        <v>0</v>
      </c>
      <c r="AB331" s="246"/>
      <c r="AC331" s="247"/>
      <c r="AZ331" s="148" t="str">
        <f t="shared" si="309"/>
        <v>5.209</v>
      </c>
      <c r="BA331" s="149" t="s">
        <v>418</v>
      </c>
    </row>
    <row r="332" spans="1:53" outlineLevel="1">
      <c r="A332" s="148" t="str">
        <f t="shared" si="308"/>
        <v>5.210</v>
      </c>
      <c r="B332" s="148" t="str">
        <f>INDEX('Standard cost - Testing'!$A$1:$N$497,MATCH(RIGHT($C332,4),'Standard cost - Testing'!$A$1:$A$497,0),3)</f>
        <v>Common</v>
      </c>
      <c r="C332" s="149" t="str">
        <f>'Standard cost - Testing'!B211&amp;" - "&amp;'Standard cost - Testing'!A211</f>
        <v>Others - O001</v>
      </c>
      <c r="D332" s="150" t="str">
        <f>IF(RIGHT(INDEX('Standard cost - Testing'!$A$1:$N$497,MATCH(RIGHT($C332,4),'Standard cost - Testing'!$A$1:$A$497,0),4),1)="]",INDEX('Standard cost - Testing'!$A$1:$N$497,MATCH(RIGHT($C332,4),'Standard cost - Testing'!$A$1:$A$497,0),4),IF(INDEX('Standard cost - Testing'!$A$1:$N$497,MATCH(RIGHT($C332,4),'Standard cost - Testing'!$A$1:$A$497,0),10)=1,INDEX('Standard cost - Testing'!$A$1:$N$497,MATCH(RIGHT($C332,4),'Standard cost - Testing'!$A$1:$A$497,0),4)&amp;" [1 part]",INDEX('Standard cost - Testing'!$A$1:$N$497,MATCH(RIGHT($C332,4),'Standard cost - Testing'!$A$1:$A$497,0),4)&amp;" ["&amp;INDEX('Standard cost - Testing'!$A$1:$N$497,MATCH(RIGHT($C332,4),'Standard cost - Testing'!$A$1:$A$497,0),10)&amp;" parts]"))</f>
        <v>Push-out test [1 part]</v>
      </c>
      <c r="E332" s="51" t="str">
        <f>IF('Project information'!$A$4="","",'Project information'!$A$4)</f>
        <v>China</v>
      </c>
      <c r="F332" s="149" t="str">
        <f>INDEX('Standard cost - Testing'!$A$1:$N$497,MATCH(RIGHT($C332,4),'Standard cost - Testing'!$A$1:$A$497,0),5)</f>
        <v>Faurecia</v>
      </c>
      <c r="G332" s="149" t="str">
        <f>IF($E332='Standard cost - Testing'!$F$1,INDEX('Standard cost - Testing'!$A$1:$N$497,MATCH(RIGHT($C332,4),'Standard cost - Testing'!$A$1:$A$497,0),6),INDEX('Standard cost - Testing'!$A$1:$N$497,MATCH(RIGHT($C332,4),'Standard cost - Testing'!$A$1:$A$497,0),7))</f>
        <v>CHD-I-DSE-2045</v>
      </c>
      <c r="H332" s="46"/>
      <c r="I332" s="46"/>
      <c r="J332" s="46"/>
      <c r="K332" s="46"/>
      <c r="L332" s="46"/>
      <c r="M332" s="33">
        <f t="shared" si="307"/>
        <v>0</v>
      </c>
      <c r="N332" s="157">
        <f>IF(E332="","",IF(ISERROR(INDEX('Standard cost - Testing'!$A$1:$N$497,MATCH(RIGHT($C332,4),'Standard cost - Testing'!$A$1:$A$497,0),MATCH($E332,'Standard cost - Testing'!$K$1:$N$1,0)+10)),"NA",INDEX('Standard cost - Testing'!$A$1:$N$497,MATCH(RIGHT($C332,4),'Standard cost - Testing'!$A$1:$A$497,0),MATCH($E332,'Standard cost - Testing'!$K$1:$N$1,0)+10)))</f>
        <v>1737</v>
      </c>
      <c r="O332" s="45">
        <f>IF(OR(ISERROR($N332),$N332="",$N332="NA"),0,H332*$N332)*(1+INDEX('For Finance Control'!$B$27:$E$29,2,MATCH('Project information'!$A$4,'For Finance Control'!$B$27:$E$27,0)))</f>
        <v>0</v>
      </c>
      <c r="P332" s="45">
        <f>IF(OR(ISERROR($N332),$N332="",$N332="NA"),0,I332*$N332)*(1+INDEX('For Finance Control'!$B$27:$E$29,2,MATCH('Project information'!$A$4,'For Finance Control'!$B$27:$E$27,0)))</f>
        <v>0</v>
      </c>
      <c r="Q332" s="45">
        <f>IF(OR(ISERROR($N332),$N332="",$N332="NA"),0,J332*$N332)*(1+INDEX('For Finance Control'!$B$27:$E$29,2,MATCH('Project information'!$A$4,'For Finance Control'!$B$27:$E$27,0)))</f>
        <v>0</v>
      </c>
      <c r="R332" s="45">
        <f>IF(OR(ISERROR($N332),$N332="",$N332="NA"),0,K332*$N332)*(1+INDEX('For Finance Control'!$B$27:$E$29,2,MATCH('Project information'!$A$4,'For Finance Control'!$B$27:$E$27,0)))</f>
        <v>0</v>
      </c>
      <c r="S332" s="45">
        <f>IF(OR(ISERROR($N332),$N332="",$N332="NA"),0,L332*$N332)*(1+INDEX('For Finance Control'!$B$27:$E$29,2,MATCH('Project information'!$A$4,'For Finance Control'!$B$27:$E$27,0)))</f>
        <v>0</v>
      </c>
      <c r="T332" s="45">
        <f t="shared" si="300"/>
        <v>0</v>
      </c>
      <c r="U332" s="33" cm="1">
        <f t="array" ref="U332">IF($N332="NA","NA",$N332*INDEX('Exchange rate'!$A$1:$G$7,MATCH('Project information'!$A$13,'Exchange rate'!$A$1:$A$7,0),MATCH(LOOKUP(2,1/({"China";"Korea";"India";"Japan";"EUR";"NAO"}=$E332),{"CNY";"KRW";"INR";"JPY";"EUR";"USD"}),'Exchange rate'!$A$1:$G$1,0)))</f>
        <v>1737</v>
      </c>
      <c r="V332" s="33">
        <f t="shared" si="301"/>
        <v>0</v>
      </c>
      <c r="W332" s="33">
        <f t="shared" si="302"/>
        <v>0</v>
      </c>
      <c r="X332" s="33">
        <f t="shared" si="303"/>
        <v>0</v>
      </c>
      <c r="Y332" s="33">
        <f t="shared" si="304"/>
        <v>0</v>
      </c>
      <c r="Z332" s="33">
        <f t="shared" si="305"/>
        <v>0</v>
      </c>
      <c r="AA332" s="33">
        <f t="shared" si="306"/>
        <v>0</v>
      </c>
      <c r="AB332" s="246"/>
      <c r="AC332" s="247"/>
      <c r="AZ332" s="148" t="str">
        <f t="shared" si="309"/>
        <v>5.210</v>
      </c>
      <c r="BA332" s="149" t="s">
        <v>419</v>
      </c>
    </row>
    <row r="333" spans="1:53" ht="25" outlineLevel="1">
      <c r="A333" s="148" t="str">
        <f t="shared" si="308"/>
        <v>5.211</v>
      </c>
      <c r="B333" s="148" t="str">
        <f>INDEX('Standard cost - Testing'!$A$1:$N$497,MATCH(RIGHT($C333,4),'Standard cost - Testing'!$A$1:$A$497,0),3)</f>
        <v>LVE</v>
      </c>
      <c r="C333" s="149" t="str">
        <f>'Standard cost - Testing'!B212&amp;" - "&amp;'Standard cost - Testing'!A212</f>
        <v>Others - O002</v>
      </c>
      <c r="D333" s="150" t="str">
        <f>IF(RIGHT(INDEX('Standard cost - Testing'!$A$1:$N$497,MATCH(RIGHT($C333,4),'Standard cost - Testing'!$A$1:$A$497,0),4),1)="]",INDEX('Standard cost - Testing'!$A$1:$N$497,MATCH(RIGHT($C333,4),'Standard cost - Testing'!$A$1:$A$497,0),4),IF(INDEX('Standard cost - Testing'!$A$1:$N$497,MATCH(RIGHT($C333,4),'Standard cost - Testing'!$A$1:$A$497,0),10)=1,INDEX('Standard cost - Testing'!$A$1:$N$497,MATCH(RIGHT($C333,4),'Standard cost - Testing'!$A$1:$A$497,0),4)&amp;" [1 part]",INDEX('Standard cost - Testing'!$A$1:$N$497,MATCH(RIGHT($C333,4),'Standard cost - Testing'!$A$1:$A$497,0),4)&amp;" ["&amp;INDEX('Standard cost - Testing'!$A$1:$N$497,MATCH(RIGHT($C333,4),'Standard cost - Testing'!$A$1:$A$497,0),10)&amp;" parts]"))</f>
        <v>Valve spring rate measurement [5 parts]</v>
      </c>
      <c r="E333" s="51" t="str">
        <f>IF('Project information'!$A$4="","",'Project information'!$A$4)</f>
        <v>China</v>
      </c>
      <c r="F333" s="149" t="str">
        <f>INDEX('Standard cost - Testing'!$A$1:$N$497,MATCH(RIGHT($C333,4),'Standard cost - Testing'!$A$1:$A$497,0),5)</f>
        <v>HMC</v>
      </c>
      <c r="G333" s="149" t="str">
        <f>IF($E333='Standard cost - Testing'!$F$1,INDEX('Standard cost - Testing'!$A$1:$N$497,MATCH(RIGHT($C333,4),'Standard cost - Testing'!$A$1:$A$497,0),6),INDEX('Standard cost - Testing'!$A$1:$N$497,MATCH(RIGHT($C333,4),'Standard cost - Testing'!$A$1:$A$497,0),7))</f>
        <v>ES28600-25 6.1</v>
      </c>
      <c r="H333" s="46"/>
      <c r="I333" s="46"/>
      <c r="J333" s="46"/>
      <c r="K333" s="46"/>
      <c r="L333" s="46"/>
      <c r="M333" s="33">
        <f t="shared" si="307"/>
        <v>0</v>
      </c>
      <c r="N333" s="157">
        <f>IF(E333="","",IF(ISERROR(INDEX('Standard cost - Testing'!$A$1:$N$497,MATCH(RIGHT($C333,4),'Standard cost - Testing'!$A$1:$A$497,0),MATCH($E333,'Standard cost - Testing'!$K$1:$N$1,0)+10)),"NA",INDEX('Standard cost - Testing'!$A$1:$N$497,MATCH(RIGHT($C333,4),'Standard cost - Testing'!$A$1:$A$497,0),MATCH($E333,'Standard cost - Testing'!$K$1:$N$1,0)+10)))</f>
        <v>9286</v>
      </c>
      <c r="O333" s="45">
        <f>IF(OR(ISERROR($N333),$N333="",$N333="NA"),0,H333*$N333)*(1+INDEX('For Finance Control'!$B$27:$E$29,2,MATCH('Project information'!$A$4,'For Finance Control'!$B$27:$E$27,0)))</f>
        <v>0</v>
      </c>
      <c r="P333" s="45">
        <f>IF(OR(ISERROR($N333),$N333="",$N333="NA"),0,I333*$N333)*(1+INDEX('For Finance Control'!$B$27:$E$29,2,MATCH('Project information'!$A$4,'For Finance Control'!$B$27:$E$27,0)))</f>
        <v>0</v>
      </c>
      <c r="Q333" s="45">
        <f>IF(OR(ISERROR($N333),$N333="",$N333="NA"),0,J333*$N333)*(1+INDEX('For Finance Control'!$B$27:$E$29,2,MATCH('Project information'!$A$4,'For Finance Control'!$B$27:$E$27,0)))</f>
        <v>0</v>
      </c>
      <c r="R333" s="45">
        <f>IF(OR(ISERROR($N333),$N333="",$N333="NA"),0,K333*$N333)*(1+INDEX('For Finance Control'!$B$27:$E$29,2,MATCH('Project information'!$A$4,'For Finance Control'!$B$27:$E$27,0)))</f>
        <v>0</v>
      </c>
      <c r="S333" s="45">
        <f>IF(OR(ISERROR($N333),$N333="",$N333="NA"),0,L333*$N333)*(1+INDEX('For Finance Control'!$B$27:$E$29,2,MATCH('Project information'!$A$4,'For Finance Control'!$B$27:$E$27,0)))</f>
        <v>0</v>
      </c>
      <c r="T333" s="45">
        <f t="shared" si="300"/>
        <v>0</v>
      </c>
      <c r="U333" s="33" cm="1">
        <f t="array" ref="U333">IF($N333="NA","NA",$N333*INDEX('Exchange rate'!$A$1:$G$7,MATCH('Project information'!$A$13,'Exchange rate'!$A$1:$A$7,0),MATCH(LOOKUP(2,1/({"China";"Korea";"India";"Japan";"EUR";"NAO"}=$E333),{"CNY";"KRW";"INR";"JPY";"EUR";"USD"}),'Exchange rate'!$A$1:$G$1,0)))</f>
        <v>9286</v>
      </c>
      <c r="V333" s="33">
        <f t="shared" si="301"/>
        <v>0</v>
      </c>
      <c r="W333" s="33">
        <f t="shared" si="302"/>
        <v>0</v>
      </c>
      <c r="X333" s="33">
        <f t="shared" si="303"/>
        <v>0</v>
      </c>
      <c r="Y333" s="33">
        <f t="shared" si="304"/>
        <v>0</v>
      </c>
      <c r="Z333" s="33">
        <f t="shared" si="305"/>
        <v>0</v>
      </c>
      <c r="AA333" s="33">
        <f t="shared" si="306"/>
        <v>0</v>
      </c>
      <c r="AB333" s="246"/>
      <c r="AC333" s="247"/>
      <c r="AZ333" s="148" t="str">
        <f t="shared" si="309"/>
        <v>5.211</v>
      </c>
      <c r="BA333" s="149" t="s">
        <v>420</v>
      </c>
    </row>
    <row r="334" spans="1:53" outlineLevel="1">
      <c r="A334" s="148" t="str">
        <f t="shared" si="308"/>
        <v>5.212</v>
      </c>
      <c r="B334" s="148" t="str">
        <f>INDEX('Standard cost - Testing'!$A$1:$N$497,MATCH(RIGHT($C334,4),'Standard cost - Testing'!$A$1:$A$497,0),3)</f>
        <v>LVE</v>
      </c>
      <c r="C334" s="149" t="str">
        <f>'Standard cost - Testing'!B213&amp;" - "&amp;'Standard cost - Testing'!A213</f>
        <v>Others - O003</v>
      </c>
      <c r="D334" s="150" t="str">
        <f>IF(RIGHT(INDEX('Standard cost - Testing'!$A$1:$N$497,MATCH(RIGHT($C334,4),'Standard cost - Testing'!$A$1:$A$497,0),4),1)="]",INDEX('Standard cost - Testing'!$A$1:$N$497,MATCH(RIGHT($C334,4),'Standard cost - Testing'!$A$1:$A$497,0),4),IF(INDEX('Standard cost - Testing'!$A$1:$N$497,MATCH(RIGHT($C334,4),'Standard cost - Testing'!$A$1:$A$497,0),10)=1,INDEX('Standard cost - Testing'!$A$1:$N$497,MATCH(RIGHT($C334,4),'Standard cost - Testing'!$A$1:$A$497,0),4)&amp;" [1 part]",INDEX('Standard cost - Testing'!$A$1:$N$497,MATCH(RIGHT($C334,4),'Standard cost - Testing'!$A$1:$A$497,0),4)&amp;" ["&amp;INDEX('Standard cost - Testing'!$A$1:$N$497,MATCH(RIGHT($C334,4),'Standard cost - Testing'!$A$1:$A$497,0),10)&amp;" parts]"))</f>
        <v>Valve thermal shock test [1 part]</v>
      </c>
      <c r="E334" s="51" t="str">
        <f>IF('Project information'!$A$4="","",'Project information'!$A$4)</f>
        <v>China</v>
      </c>
      <c r="F334" s="149" t="str">
        <f>INDEX('Standard cost - Testing'!$A$1:$N$497,MATCH(RIGHT($C334,4),'Standard cost - Testing'!$A$1:$A$497,0),5)</f>
        <v>HMC</v>
      </c>
      <c r="G334" s="149" t="str">
        <f>IF($E334='Standard cost - Testing'!$F$1,INDEX('Standard cost - Testing'!$A$1:$N$497,MATCH(RIGHT($C334,4),'Standard cost - Testing'!$A$1:$A$497,0),6),INDEX('Standard cost - Testing'!$A$1:$N$497,MATCH(RIGHT($C334,4),'Standard cost - Testing'!$A$1:$A$497,0),7))</f>
        <v>ES28600-25 6.2.4</v>
      </c>
      <c r="H334" s="46"/>
      <c r="I334" s="46"/>
      <c r="J334" s="46"/>
      <c r="K334" s="46"/>
      <c r="L334" s="46"/>
      <c r="M334" s="33">
        <f t="shared" si="307"/>
        <v>0</v>
      </c>
      <c r="N334" s="157">
        <f>IF(E334="","",IF(ISERROR(INDEX('Standard cost - Testing'!$A$1:$N$497,MATCH(RIGHT($C334,4),'Standard cost - Testing'!$A$1:$A$497,0),MATCH($E334,'Standard cost - Testing'!$K$1:$N$1,0)+10)),"NA",INDEX('Standard cost - Testing'!$A$1:$N$497,MATCH(RIGHT($C334,4),'Standard cost - Testing'!$A$1:$A$497,0),MATCH($E334,'Standard cost - Testing'!$K$1:$N$1,0)+10)))</f>
        <v>73931</v>
      </c>
      <c r="O334" s="45">
        <f>IF(OR(ISERROR($N334),$N334="",$N334="NA"),0,H334*$N334)*(1+INDEX('For Finance Control'!$B$27:$E$29,2,MATCH('Project information'!$A$4,'For Finance Control'!$B$27:$E$27,0)))</f>
        <v>0</v>
      </c>
      <c r="P334" s="45">
        <f>IF(OR(ISERROR($N334),$N334="",$N334="NA"),0,I334*$N334)*(1+INDEX('For Finance Control'!$B$27:$E$29,2,MATCH('Project information'!$A$4,'For Finance Control'!$B$27:$E$27,0)))</f>
        <v>0</v>
      </c>
      <c r="Q334" s="45">
        <f>IF(OR(ISERROR($N334),$N334="",$N334="NA"),0,J334*$N334)*(1+INDEX('For Finance Control'!$B$27:$E$29,2,MATCH('Project information'!$A$4,'For Finance Control'!$B$27:$E$27,0)))</f>
        <v>0</v>
      </c>
      <c r="R334" s="45">
        <f>IF(OR(ISERROR($N334),$N334="",$N334="NA"),0,K334*$N334)*(1+INDEX('For Finance Control'!$B$27:$E$29,2,MATCH('Project information'!$A$4,'For Finance Control'!$B$27:$E$27,0)))</f>
        <v>0</v>
      </c>
      <c r="S334" s="45">
        <f>IF(OR(ISERROR($N334),$N334="",$N334="NA"),0,L334*$N334)*(1+INDEX('For Finance Control'!$B$27:$E$29,2,MATCH('Project information'!$A$4,'For Finance Control'!$B$27:$E$27,0)))</f>
        <v>0</v>
      </c>
      <c r="T334" s="45">
        <f t="shared" si="300"/>
        <v>0</v>
      </c>
      <c r="U334" s="33" cm="1">
        <f t="array" ref="U334">IF($N334="NA","NA",$N334*INDEX('Exchange rate'!$A$1:$G$7,MATCH('Project information'!$A$13,'Exchange rate'!$A$1:$A$7,0),MATCH(LOOKUP(2,1/({"China";"Korea";"India";"Japan";"EUR";"NAO"}=$E334),{"CNY";"KRW";"INR";"JPY";"EUR";"USD"}),'Exchange rate'!$A$1:$G$1,0)))</f>
        <v>73931</v>
      </c>
      <c r="V334" s="33">
        <f t="shared" si="301"/>
        <v>0</v>
      </c>
      <c r="W334" s="33">
        <f t="shared" si="302"/>
        <v>0</v>
      </c>
      <c r="X334" s="33">
        <f t="shared" si="303"/>
        <v>0</v>
      </c>
      <c r="Y334" s="33">
        <f t="shared" si="304"/>
        <v>0</v>
      </c>
      <c r="Z334" s="33">
        <f t="shared" si="305"/>
        <v>0</v>
      </c>
      <c r="AA334" s="33">
        <f t="shared" si="306"/>
        <v>0</v>
      </c>
      <c r="AB334" s="246"/>
      <c r="AC334" s="247"/>
      <c r="AZ334" s="148" t="str">
        <f t="shared" si="309"/>
        <v>5.212</v>
      </c>
      <c r="BA334" s="149" t="s">
        <v>421</v>
      </c>
    </row>
    <row r="335" spans="1:53" outlineLevel="1">
      <c r="A335" s="148" t="str">
        <f t="shared" si="308"/>
        <v>5.213</v>
      </c>
      <c r="B335" s="148" t="str">
        <f>INDEX('Standard cost - Testing'!$A$1:$N$497,MATCH(RIGHT($C335,4),'Standard cost - Testing'!$A$1:$A$497,0),3)</f>
        <v>LVE</v>
      </c>
      <c r="C335" s="149" t="str">
        <f>'Standard cost - Testing'!B214&amp;" - "&amp;'Standard cost - Testing'!A214</f>
        <v>Others - O004</v>
      </c>
      <c r="D335" s="150" t="str">
        <f>IF(RIGHT(INDEX('Standard cost - Testing'!$A$1:$N$497,MATCH(RIGHT($C335,4),'Standard cost - Testing'!$A$1:$A$497,0),4),1)="]",INDEX('Standard cost - Testing'!$A$1:$N$497,MATCH(RIGHT($C335,4),'Standard cost - Testing'!$A$1:$A$497,0),4),IF(INDEX('Standard cost - Testing'!$A$1:$N$497,MATCH(RIGHT($C335,4),'Standard cost - Testing'!$A$1:$A$497,0),10)=1,INDEX('Standard cost - Testing'!$A$1:$N$497,MATCH(RIGHT($C335,4),'Standard cost - Testing'!$A$1:$A$497,0),4)&amp;" [1 part]",INDEX('Standard cost - Testing'!$A$1:$N$497,MATCH(RIGHT($C335,4),'Standard cost - Testing'!$A$1:$A$497,0),4)&amp;" ["&amp;INDEX('Standard cost - Testing'!$A$1:$N$497,MATCH(RIGHT($C335,4),'Standard cost - Testing'!$A$1:$A$497,0),10)&amp;" parts]"))</f>
        <v>Valve cold resistance test [1 part]</v>
      </c>
      <c r="E335" s="51" t="str">
        <f>IF('Project information'!$A$4="","",'Project information'!$A$4)</f>
        <v>China</v>
      </c>
      <c r="F335" s="149" t="str">
        <f>INDEX('Standard cost - Testing'!$A$1:$N$497,MATCH(RIGHT($C335,4),'Standard cost - Testing'!$A$1:$A$497,0),5)</f>
        <v>HMC</v>
      </c>
      <c r="G335" s="149" t="str">
        <f>IF($E335='Standard cost - Testing'!$F$1,INDEX('Standard cost - Testing'!$A$1:$N$497,MATCH(RIGHT($C335,4),'Standard cost - Testing'!$A$1:$A$497,0),6),INDEX('Standard cost - Testing'!$A$1:$N$497,MATCH(RIGHT($C335,4),'Standard cost - Testing'!$A$1:$A$497,0),7))</f>
        <v>ES28600-25 6.2.5</v>
      </c>
      <c r="H335" s="46"/>
      <c r="I335" s="46"/>
      <c r="J335" s="46"/>
      <c r="K335" s="46"/>
      <c r="L335" s="46"/>
      <c r="M335" s="33">
        <f t="shared" si="307"/>
        <v>0</v>
      </c>
      <c r="N335" s="157">
        <f>IF(E335="","",IF(ISERROR(INDEX('Standard cost - Testing'!$A$1:$N$497,MATCH(RIGHT($C335,4),'Standard cost - Testing'!$A$1:$A$497,0),MATCH($E335,'Standard cost - Testing'!$K$1:$N$1,0)+10)),"NA",INDEX('Standard cost - Testing'!$A$1:$N$497,MATCH(RIGHT($C335,4),'Standard cost - Testing'!$A$1:$A$497,0),MATCH($E335,'Standard cost - Testing'!$K$1:$N$1,0)+10)))</f>
        <v>61783</v>
      </c>
      <c r="O335" s="45">
        <f>IF(OR(ISERROR($N335),$N335="",$N335="NA"),0,H335*$N335)*(1+INDEX('For Finance Control'!$B$27:$E$29,2,MATCH('Project information'!$A$4,'For Finance Control'!$B$27:$E$27,0)))</f>
        <v>0</v>
      </c>
      <c r="P335" s="45">
        <f>IF(OR(ISERROR($N335),$N335="",$N335="NA"),0,I335*$N335)*(1+INDEX('For Finance Control'!$B$27:$E$29,2,MATCH('Project information'!$A$4,'For Finance Control'!$B$27:$E$27,0)))</f>
        <v>0</v>
      </c>
      <c r="Q335" s="45">
        <f>IF(OR(ISERROR($N335),$N335="",$N335="NA"),0,J335*$N335)*(1+INDEX('For Finance Control'!$B$27:$E$29,2,MATCH('Project information'!$A$4,'For Finance Control'!$B$27:$E$27,0)))</f>
        <v>0</v>
      </c>
      <c r="R335" s="45">
        <f>IF(OR(ISERROR($N335),$N335="",$N335="NA"),0,K335*$N335)*(1+INDEX('For Finance Control'!$B$27:$E$29,2,MATCH('Project information'!$A$4,'For Finance Control'!$B$27:$E$27,0)))</f>
        <v>0</v>
      </c>
      <c r="S335" s="45">
        <f>IF(OR(ISERROR($N335),$N335="",$N335="NA"),0,L335*$N335)*(1+INDEX('For Finance Control'!$B$27:$E$29,2,MATCH('Project information'!$A$4,'For Finance Control'!$B$27:$E$27,0)))</f>
        <v>0</v>
      </c>
      <c r="T335" s="45">
        <f t="shared" si="300"/>
        <v>0</v>
      </c>
      <c r="U335" s="33" cm="1">
        <f t="array" ref="U335">IF($N335="NA","NA",$N335*INDEX('Exchange rate'!$A$1:$G$7,MATCH('Project information'!$A$13,'Exchange rate'!$A$1:$A$7,0),MATCH(LOOKUP(2,1/({"China";"Korea";"India";"Japan";"EUR";"NAO"}=$E335),{"CNY";"KRW";"INR";"JPY";"EUR";"USD"}),'Exchange rate'!$A$1:$G$1,0)))</f>
        <v>61783</v>
      </c>
      <c r="V335" s="33">
        <f t="shared" si="301"/>
        <v>0</v>
      </c>
      <c r="W335" s="33">
        <f t="shared" si="302"/>
        <v>0</v>
      </c>
      <c r="X335" s="33">
        <f t="shared" si="303"/>
        <v>0</v>
      </c>
      <c r="Y335" s="33">
        <f t="shared" si="304"/>
        <v>0</v>
      </c>
      <c r="Z335" s="33">
        <f t="shared" si="305"/>
        <v>0</v>
      </c>
      <c r="AA335" s="33">
        <f t="shared" si="306"/>
        <v>0</v>
      </c>
      <c r="AB335" s="246"/>
      <c r="AC335" s="247"/>
      <c r="AZ335" s="148" t="str">
        <f t="shared" si="309"/>
        <v>5.213</v>
      </c>
      <c r="BA335" s="149" t="s">
        <v>422</v>
      </c>
    </row>
    <row r="336" spans="1:53" ht="25" outlineLevel="1">
      <c r="A336" s="148" t="str">
        <f t="shared" si="308"/>
        <v>5.214</v>
      </c>
      <c r="B336" s="148" t="str">
        <f>INDEX('Standard cost - Testing'!$A$1:$N$497,MATCH(RIGHT($C336,4),'Standard cost - Testing'!$A$1:$A$497,0),3)</f>
        <v>LVE</v>
      </c>
      <c r="C336" s="149" t="str">
        <f>'Standard cost - Testing'!B215&amp;" - "&amp;'Standard cost - Testing'!A215</f>
        <v>Others - O005</v>
      </c>
      <c r="D336" s="150" t="str">
        <f>IF(RIGHT(INDEX('Standard cost - Testing'!$A$1:$N$497,MATCH(RIGHT($C336,4),'Standard cost - Testing'!$A$1:$A$497,0),4),1)="]",INDEX('Standard cost - Testing'!$A$1:$N$497,MATCH(RIGHT($C336,4),'Standard cost - Testing'!$A$1:$A$497,0),4),IF(INDEX('Standard cost - Testing'!$A$1:$N$497,MATCH(RIGHT($C336,4),'Standard cost - Testing'!$A$1:$A$497,0),10)=1,INDEX('Standard cost - Testing'!$A$1:$N$497,MATCH(RIGHT($C336,4),'Standard cost - Testing'!$A$1:$A$497,0),4)&amp;" [1 part]",INDEX('Standard cost - Testing'!$A$1:$N$497,MATCH(RIGHT($C336,4),'Standard cost - Testing'!$A$1:$A$497,0),4)&amp;" ["&amp;INDEX('Standard cost - Testing'!$A$1:$N$497,MATCH(RIGHT($C336,4),'Standard cost - Testing'!$A$1:$A$497,0),10)&amp;" parts]"))</f>
        <v>Static characteristic for rubber hanger [1 part]</v>
      </c>
      <c r="E336" s="51" t="str">
        <f>IF('Project information'!$A$4="","",'Project information'!$A$4)</f>
        <v>China</v>
      </c>
      <c r="F336" s="149" t="str">
        <f>INDEX('Standard cost - Testing'!$A$1:$N$497,MATCH(RIGHT($C336,4),'Standard cost - Testing'!$A$1:$A$497,0),5)</f>
        <v>HMC</v>
      </c>
      <c r="G336" s="149" t="str">
        <f>IF($E336='Standard cost - Testing'!$F$1,INDEX('Standard cost - Testing'!$A$1:$N$497,MATCH(RIGHT($C336,4),'Standard cost - Testing'!$A$1:$A$497,0),6),INDEX('Standard cost - Testing'!$A$1:$N$497,MATCH(RIGHT($C336,4),'Standard cost - Testing'!$A$1:$A$497,0),7))</f>
        <v>ES28600-26 6</v>
      </c>
      <c r="H336" s="46"/>
      <c r="I336" s="46"/>
      <c r="J336" s="46"/>
      <c r="K336" s="46"/>
      <c r="L336" s="46"/>
      <c r="M336" s="33">
        <f t="shared" si="307"/>
        <v>0</v>
      </c>
      <c r="N336" s="157">
        <f>IF(E336="","",IF(ISERROR(INDEX('Standard cost - Testing'!$A$1:$N$497,MATCH(RIGHT($C336,4),'Standard cost - Testing'!$A$1:$A$497,0),MATCH($E336,'Standard cost - Testing'!$K$1:$N$1,0)+10)),"NA",INDEX('Standard cost - Testing'!$A$1:$N$497,MATCH(RIGHT($C336,4),'Standard cost - Testing'!$A$1:$A$497,0),MATCH($E336,'Standard cost - Testing'!$K$1:$N$1,0)+10)))</f>
        <v>5295</v>
      </c>
      <c r="O336" s="45">
        <f>IF(OR(ISERROR($N336),$N336="",$N336="NA"),0,H336*$N336)*(1+INDEX('For Finance Control'!$B$27:$E$29,2,MATCH('Project information'!$A$4,'For Finance Control'!$B$27:$E$27,0)))</f>
        <v>0</v>
      </c>
      <c r="P336" s="45">
        <f>IF(OR(ISERROR($N336),$N336="",$N336="NA"),0,I336*$N336)*(1+INDEX('For Finance Control'!$B$27:$E$29,2,MATCH('Project information'!$A$4,'For Finance Control'!$B$27:$E$27,0)))</f>
        <v>0</v>
      </c>
      <c r="Q336" s="45">
        <f>IF(OR(ISERROR($N336),$N336="",$N336="NA"),0,J336*$N336)*(1+INDEX('For Finance Control'!$B$27:$E$29,2,MATCH('Project information'!$A$4,'For Finance Control'!$B$27:$E$27,0)))</f>
        <v>0</v>
      </c>
      <c r="R336" s="45">
        <f>IF(OR(ISERROR($N336),$N336="",$N336="NA"),0,K336*$N336)*(1+INDEX('For Finance Control'!$B$27:$E$29,2,MATCH('Project information'!$A$4,'For Finance Control'!$B$27:$E$27,0)))</f>
        <v>0</v>
      </c>
      <c r="S336" s="45">
        <f>IF(OR(ISERROR($N336),$N336="",$N336="NA"),0,L336*$N336)*(1+INDEX('For Finance Control'!$B$27:$E$29,2,MATCH('Project information'!$A$4,'For Finance Control'!$B$27:$E$27,0)))</f>
        <v>0</v>
      </c>
      <c r="T336" s="45">
        <f t="shared" si="300"/>
        <v>0</v>
      </c>
      <c r="U336" s="33" cm="1">
        <f t="array" ref="U336">IF($N336="NA","NA",$N336*INDEX('Exchange rate'!$A$1:$G$7,MATCH('Project information'!$A$13,'Exchange rate'!$A$1:$A$7,0),MATCH(LOOKUP(2,1/({"China";"Korea";"India";"Japan";"EUR";"NAO"}=$E336),{"CNY";"KRW";"INR";"JPY";"EUR";"USD"}),'Exchange rate'!$A$1:$G$1,0)))</f>
        <v>5295</v>
      </c>
      <c r="V336" s="33">
        <f t="shared" si="301"/>
        <v>0</v>
      </c>
      <c r="W336" s="33">
        <f t="shared" si="302"/>
        <v>0</v>
      </c>
      <c r="X336" s="33">
        <f t="shared" si="303"/>
        <v>0</v>
      </c>
      <c r="Y336" s="33">
        <f t="shared" si="304"/>
        <v>0</v>
      </c>
      <c r="Z336" s="33">
        <f t="shared" si="305"/>
        <v>0</v>
      </c>
      <c r="AA336" s="33">
        <f t="shared" si="306"/>
        <v>0</v>
      </c>
      <c r="AB336" s="246"/>
      <c r="AC336" s="247"/>
      <c r="AZ336" s="148" t="str">
        <f t="shared" si="309"/>
        <v>5.214</v>
      </c>
      <c r="BA336" s="149" t="s">
        <v>423</v>
      </c>
    </row>
    <row r="337" spans="1:53" ht="25" outlineLevel="1">
      <c r="A337" s="148" t="str">
        <f t="shared" si="308"/>
        <v>5.215</v>
      </c>
      <c r="B337" s="148" t="str">
        <f>INDEX('Standard cost - Testing'!$A$1:$N$497,MATCH(RIGHT($C337,4),'Standard cost - Testing'!$A$1:$A$497,0),3)</f>
        <v>LVE</v>
      </c>
      <c r="C337" s="149" t="str">
        <f>'Standard cost - Testing'!B216&amp;" - "&amp;'Standard cost - Testing'!A216</f>
        <v>Others - O006</v>
      </c>
      <c r="D337" s="150" t="str">
        <f>IF(RIGHT(INDEX('Standard cost - Testing'!$A$1:$N$497,MATCH(RIGHT($C337,4),'Standard cost - Testing'!$A$1:$A$497,0),4),1)="]",INDEX('Standard cost - Testing'!$A$1:$N$497,MATCH(RIGHT($C337,4),'Standard cost - Testing'!$A$1:$A$497,0),4),IF(INDEX('Standard cost - Testing'!$A$1:$N$497,MATCH(RIGHT($C337,4),'Standard cost - Testing'!$A$1:$A$497,0),10)=1,INDEX('Standard cost - Testing'!$A$1:$N$497,MATCH(RIGHT($C337,4),'Standard cost - Testing'!$A$1:$A$497,0),4)&amp;" [1 part]",INDEX('Standard cost - Testing'!$A$1:$N$497,MATCH(RIGHT($C337,4),'Standard cost - Testing'!$A$1:$A$497,0),4)&amp;" ["&amp;INDEX('Standard cost - Testing'!$A$1:$N$497,MATCH(RIGHT($C337,4),'Standard cost - Testing'!$A$1:$A$497,0),10)&amp;" parts]"))</f>
        <v>Dynamic characteristic for rubber hanger [1 part]</v>
      </c>
      <c r="E337" s="51" t="str">
        <f>IF('Project information'!$A$4="","",'Project information'!$A$4)</f>
        <v>China</v>
      </c>
      <c r="F337" s="149" t="str">
        <f>INDEX('Standard cost - Testing'!$A$1:$N$497,MATCH(RIGHT($C337,4),'Standard cost - Testing'!$A$1:$A$497,0),5)</f>
        <v>HMC</v>
      </c>
      <c r="G337" s="149" t="str">
        <f>IF($E337='Standard cost - Testing'!$F$1,INDEX('Standard cost - Testing'!$A$1:$N$497,MATCH(RIGHT($C337,4),'Standard cost - Testing'!$A$1:$A$497,0),6),INDEX('Standard cost - Testing'!$A$1:$N$497,MATCH(RIGHT($C337,4),'Standard cost - Testing'!$A$1:$A$497,0),7))</f>
        <v>ES28600-26 7</v>
      </c>
      <c r="H337" s="46"/>
      <c r="I337" s="46"/>
      <c r="J337" s="46"/>
      <c r="K337" s="46"/>
      <c r="L337" s="46"/>
      <c r="M337" s="33">
        <f t="shared" si="307"/>
        <v>0</v>
      </c>
      <c r="N337" s="157">
        <f>IF(E337="","",IF(ISERROR(INDEX('Standard cost - Testing'!$A$1:$N$497,MATCH(RIGHT($C337,4),'Standard cost - Testing'!$A$1:$A$497,0),MATCH($E337,'Standard cost - Testing'!$K$1:$N$1,0)+10)),"NA",INDEX('Standard cost - Testing'!$A$1:$N$497,MATCH(RIGHT($C337,4),'Standard cost - Testing'!$A$1:$A$497,0),MATCH($E337,'Standard cost - Testing'!$K$1:$N$1,0)+10)))</f>
        <v>5295</v>
      </c>
      <c r="O337" s="45">
        <f>IF(OR(ISERROR($N337),$N337="",$N337="NA"),0,H337*$N337)*(1+INDEX('For Finance Control'!$B$27:$E$29,2,MATCH('Project information'!$A$4,'For Finance Control'!$B$27:$E$27,0)))</f>
        <v>0</v>
      </c>
      <c r="P337" s="45">
        <f>IF(OR(ISERROR($N337),$N337="",$N337="NA"),0,I337*$N337)*(1+INDEX('For Finance Control'!$B$27:$E$29,2,MATCH('Project information'!$A$4,'For Finance Control'!$B$27:$E$27,0)))</f>
        <v>0</v>
      </c>
      <c r="Q337" s="45">
        <f>IF(OR(ISERROR($N337),$N337="",$N337="NA"),0,J337*$N337)*(1+INDEX('For Finance Control'!$B$27:$E$29,2,MATCH('Project information'!$A$4,'For Finance Control'!$B$27:$E$27,0)))</f>
        <v>0</v>
      </c>
      <c r="R337" s="45">
        <f>IF(OR(ISERROR($N337),$N337="",$N337="NA"),0,K337*$N337)*(1+INDEX('For Finance Control'!$B$27:$E$29,2,MATCH('Project information'!$A$4,'For Finance Control'!$B$27:$E$27,0)))</f>
        <v>0</v>
      </c>
      <c r="S337" s="45">
        <f>IF(OR(ISERROR($N337),$N337="",$N337="NA"),0,L337*$N337)*(1+INDEX('For Finance Control'!$B$27:$E$29,2,MATCH('Project information'!$A$4,'For Finance Control'!$B$27:$E$27,0)))</f>
        <v>0</v>
      </c>
      <c r="T337" s="45">
        <f t="shared" si="300"/>
        <v>0</v>
      </c>
      <c r="U337" s="33" cm="1">
        <f t="array" ref="U337">IF($N337="NA","NA",$N337*INDEX('Exchange rate'!$A$1:$G$7,MATCH('Project information'!$A$13,'Exchange rate'!$A$1:$A$7,0),MATCH(LOOKUP(2,1/({"China";"Korea";"India";"Japan";"EUR";"NAO"}=$E337),{"CNY";"KRW";"INR";"JPY";"EUR";"USD"}),'Exchange rate'!$A$1:$G$1,0)))</f>
        <v>5295</v>
      </c>
      <c r="V337" s="33">
        <f t="shared" si="301"/>
        <v>0</v>
      </c>
      <c r="W337" s="33">
        <f t="shared" si="302"/>
        <v>0</v>
      </c>
      <c r="X337" s="33">
        <f t="shared" si="303"/>
        <v>0</v>
      </c>
      <c r="Y337" s="33">
        <f t="shared" si="304"/>
        <v>0</v>
      </c>
      <c r="Z337" s="33">
        <f t="shared" si="305"/>
        <v>0</v>
      </c>
      <c r="AA337" s="33">
        <f t="shared" si="306"/>
        <v>0</v>
      </c>
      <c r="AB337" s="246"/>
      <c r="AC337" s="247"/>
      <c r="AZ337" s="148" t="str">
        <f t="shared" si="309"/>
        <v>5.215</v>
      </c>
      <c r="BA337" s="149" t="s">
        <v>101</v>
      </c>
    </row>
    <row r="338" spans="1:53" ht="25" outlineLevel="1">
      <c r="A338" s="148" t="str">
        <f t="shared" si="308"/>
        <v>5.216</v>
      </c>
      <c r="B338" s="148" t="str">
        <f>INDEX('Standard cost - Testing'!$A$1:$N$497,MATCH(RIGHT($C338,4),'Standard cost - Testing'!$A$1:$A$497,0),3)</f>
        <v>Common</v>
      </c>
      <c r="C338" s="149" t="str">
        <f>'Standard cost - Testing'!B217&amp;" - "&amp;'Standard cost - Testing'!A217</f>
        <v>Others - O007</v>
      </c>
      <c r="D338" s="150" t="str">
        <f>IF(RIGHT(INDEX('Standard cost - Testing'!$A$1:$N$497,MATCH(RIGHT($C338,4),'Standard cost - Testing'!$A$1:$A$497,0),4),1)="]",INDEX('Standard cost - Testing'!$A$1:$N$497,MATCH(RIGHT($C338,4),'Standard cost - Testing'!$A$1:$A$497,0),4),IF(INDEX('Standard cost - Testing'!$A$1:$N$497,MATCH(RIGHT($C338,4),'Standard cost - Testing'!$A$1:$A$497,0),10)=1,INDEX('Standard cost - Testing'!$A$1:$N$497,MATCH(RIGHT($C338,4),'Standard cost - Testing'!$A$1:$A$497,0),4)&amp;" [1 part]",INDEX('Standard cost - Testing'!$A$1:$N$497,MATCH(RIGHT($C338,4),'Standard cost - Testing'!$A$1:$A$497,0),4)&amp;" ["&amp;INDEX('Standard cost - Testing'!$A$1:$N$497,MATCH(RIGHT($C338,4),'Standard cost - Testing'!$A$1:$A$497,0),10)&amp;" parts]"))</f>
        <v>Urea crystallization test (6 EOP) on CVE engine bench [1 part]</v>
      </c>
      <c r="E338" s="51" t="str">
        <f>IF('Project information'!$A$4="","",'Project information'!$A$4)</f>
        <v>China</v>
      </c>
      <c r="F338" s="149" t="str">
        <f>INDEX('Standard cost - Testing'!$A$1:$N$497,MATCH(RIGHT($C338,4),'Standard cost - Testing'!$A$1:$A$497,0),5)</f>
        <v>Faurecia</v>
      </c>
      <c r="G338" s="149" t="str">
        <f>IF($E338='Standard cost - Testing'!$F$1,INDEX('Standard cost - Testing'!$A$1:$N$497,MATCH(RIGHT($C338,4),'Standard cost - Testing'!$A$1:$A$497,0),6),INDEX('Standard cost - Testing'!$A$1:$N$497,MATCH(RIGHT($C338,4),'Standard cost - Testing'!$A$1:$A$497,0),7))</f>
        <v>CHD-I-DSE-2070</v>
      </c>
      <c r="H338" s="46"/>
      <c r="I338" s="46"/>
      <c r="J338" s="46"/>
      <c r="K338" s="46"/>
      <c r="L338" s="46"/>
      <c r="M338" s="33">
        <f t="shared" si="307"/>
        <v>0</v>
      </c>
      <c r="N338" s="157">
        <f>IF(E338="","",IF(ISERROR(INDEX('Standard cost - Testing'!$A$1:$N$497,MATCH(RIGHT($C338,4),'Standard cost - Testing'!$A$1:$A$497,0),MATCH($E338,'Standard cost - Testing'!$K$1:$N$1,0)+10)),"NA",INDEX('Standard cost - Testing'!$A$1:$N$497,MATCH(RIGHT($C338,4),'Standard cost - Testing'!$A$1:$A$497,0),MATCH($E338,'Standard cost - Testing'!$K$1:$N$1,0)+10)))</f>
        <v>68580</v>
      </c>
      <c r="O338" s="45">
        <f>IF(OR(ISERROR($N338),$N338="",$N338="NA"),0,H338*$N338)*(1+INDEX('For Finance Control'!$B$27:$E$29,2,MATCH('Project information'!$A$4,'For Finance Control'!$B$27:$E$27,0)))</f>
        <v>0</v>
      </c>
      <c r="P338" s="45">
        <f>IF(OR(ISERROR($N338),$N338="",$N338="NA"),0,I338*$N338)*(1+INDEX('For Finance Control'!$B$27:$E$29,2,MATCH('Project information'!$A$4,'For Finance Control'!$B$27:$E$27,0)))</f>
        <v>0</v>
      </c>
      <c r="Q338" s="45">
        <f>IF(OR(ISERROR($N338),$N338="",$N338="NA"),0,J338*$N338)*(1+INDEX('For Finance Control'!$B$27:$E$29,2,MATCH('Project information'!$A$4,'For Finance Control'!$B$27:$E$27,0)))</f>
        <v>0</v>
      </c>
      <c r="R338" s="45">
        <f>IF(OR(ISERROR($N338),$N338="",$N338="NA"),0,K338*$N338)*(1+INDEX('For Finance Control'!$B$27:$E$29,2,MATCH('Project information'!$A$4,'For Finance Control'!$B$27:$E$27,0)))</f>
        <v>0</v>
      </c>
      <c r="S338" s="45">
        <f>IF(OR(ISERROR($N338),$N338="",$N338="NA"),0,L338*$N338)*(1+INDEX('For Finance Control'!$B$27:$E$29,2,MATCH('Project information'!$A$4,'For Finance Control'!$B$27:$E$27,0)))</f>
        <v>0</v>
      </c>
      <c r="T338" s="45">
        <f t="shared" si="300"/>
        <v>0</v>
      </c>
      <c r="U338" s="33" cm="1">
        <f t="array" ref="U338">IF($N338="NA","NA",$N338*INDEX('Exchange rate'!$A$1:$G$7,MATCH('Project information'!$A$13,'Exchange rate'!$A$1:$A$7,0),MATCH(LOOKUP(2,1/({"China";"Korea";"India";"Japan";"EUR";"NAO"}=$E338),{"CNY";"KRW";"INR";"JPY";"EUR";"USD"}),'Exchange rate'!$A$1:$G$1,0)))</f>
        <v>68580</v>
      </c>
      <c r="V338" s="33">
        <f t="shared" si="301"/>
        <v>0</v>
      </c>
      <c r="W338" s="33">
        <f t="shared" si="302"/>
        <v>0</v>
      </c>
      <c r="X338" s="33">
        <f t="shared" si="303"/>
        <v>0</v>
      </c>
      <c r="Y338" s="33">
        <f t="shared" si="304"/>
        <v>0</v>
      </c>
      <c r="Z338" s="33">
        <f t="shared" si="305"/>
        <v>0</v>
      </c>
      <c r="AA338" s="33">
        <f t="shared" si="306"/>
        <v>0</v>
      </c>
      <c r="AB338" s="246"/>
      <c r="AC338" s="247"/>
      <c r="AZ338" s="148" t="str">
        <f t="shared" si="309"/>
        <v>5.216</v>
      </c>
      <c r="BA338" s="149" t="s">
        <v>423</v>
      </c>
    </row>
    <row r="339" spans="1:53" ht="25" outlineLevel="1">
      <c r="A339" s="148" t="str">
        <f t="shared" si="308"/>
        <v>5.217</v>
      </c>
      <c r="B339" s="148" t="str">
        <f>INDEX('Standard cost - Testing'!$A$1:$N$497,MATCH(RIGHT($C339,4),'Standard cost - Testing'!$A$1:$A$497,0),3)</f>
        <v>Common</v>
      </c>
      <c r="C339" s="149" t="str">
        <f>'Standard cost - Testing'!B218&amp;" - "&amp;'Standard cost - Testing'!A218</f>
        <v>Others - O008</v>
      </c>
      <c r="D339" s="150" t="str">
        <f>IF(RIGHT(INDEX('Standard cost - Testing'!$A$1:$N$497,MATCH(RIGHT($C339,4),'Standard cost - Testing'!$A$1:$A$497,0),4),1)="]",INDEX('Standard cost - Testing'!$A$1:$N$497,MATCH(RIGHT($C339,4),'Standard cost - Testing'!$A$1:$A$497,0),4),IF(INDEX('Standard cost - Testing'!$A$1:$N$497,MATCH(RIGHT($C339,4),'Standard cost - Testing'!$A$1:$A$497,0),10)=1,INDEX('Standard cost - Testing'!$A$1:$N$497,MATCH(RIGHT($C339,4),'Standard cost - Testing'!$A$1:$A$497,0),4)&amp;" [1 part]",INDEX('Standard cost - Testing'!$A$1:$N$497,MATCH(RIGHT($C339,4),'Standard cost - Testing'!$A$1:$A$497,0),4)&amp;" ["&amp;INDEX('Standard cost - Testing'!$A$1:$N$497,MATCH(RIGHT($C339,4),'Standard cost - Testing'!$A$1:$A$497,0),10)&amp;" parts]"))</f>
        <v>Ammonia uniformity measurement test (4 EOP) on CVE engine bench [1 part]</v>
      </c>
      <c r="E339" s="51" t="str">
        <f>IF('Project information'!$A$4="","",'Project information'!$A$4)</f>
        <v>China</v>
      </c>
      <c r="F339" s="149" t="str">
        <f>INDEX('Standard cost - Testing'!$A$1:$N$497,MATCH(RIGHT($C339,4),'Standard cost - Testing'!$A$1:$A$497,0),5)</f>
        <v>Faurecia</v>
      </c>
      <c r="G339" s="149">
        <f>IF($E339='Standard cost - Testing'!$F$1,INDEX('Standard cost - Testing'!$A$1:$N$497,MATCH(RIGHT($C339,4),'Standard cost - Testing'!$A$1:$A$497,0),6),INDEX('Standard cost - Testing'!$A$1:$N$497,MATCH(RIGHT($C339,4),'Standard cost - Testing'!$A$1:$A$497,0),7))</f>
        <v>0</v>
      </c>
      <c r="H339" s="46"/>
      <c r="I339" s="46"/>
      <c r="J339" s="46"/>
      <c r="K339" s="46"/>
      <c r="L339" s="46"/>
      <c r="M339" s="33">
        <f t="shared" si="307"/>
        <v>0</v>
      </c>
      <c r="N339" s="157">
        <f>IF(E339="","",IF(ISERROR(INDEX('Standard cost - Testing'!$A$1:$N$497,MATCH(RIGHT($C339,4),'Standard cost - Testing'!$A$1:$A$497,0),MATCH($E339,'Standard cost - Testing'!$K$1:$N$1,0)+10)),"NA",INDEX('Standard cost - Testing'!$A$1:$N$497,MATCH(RIGHT($C339,4),'Standard cost - Testing'!$A$1:$A$497,0),MATCH($E339,'Standard cost - Testing'!$K$1:$N$1,0)+10)))</f>
        <v>63446</v>
      </c>
      <c r="O339" s="45">
        <f>IF(OR(ISERROR($N339),$N339="",$N339="NA"),0,H339*$N339)*(1+INDEX('For Finance Control'!$B$27:$E$29,2,MATCH('Project information'!$A$4,'For Finance Control'!$B$27:$E$27,0)))</f>
        <v>0</v>
      </c>
      <c r="P339" s="45">
        <f>IF(OR(ISERROR($N339),$N339="",$N339="NA"),0,I339*$N339)*(1+INDEX('For Finance Control'!$B$27:$E$29,2,MATCH('Project information'!$A$4,'For Finance Control'!$B$27:$E$27,0)))</f>
        <v>0</v>
      </c>
      <c r="Q339" s="45">
        <f>IF(OR(ISERROR($N339),$N339="",$N339="NA"),0,J339*$N339)*(1+INDEX('For Finance Control'!$B$27:$E$29,2,MATCH('Project information'!$A$4,'For Finance Control'!$B$27:$E$27,0)))</f>
        <v>0</v>
      </c>
      <c r="R339" s="45">
        <f>IF(OR(ISERROR($N339),$N339="",$N339="NA"),0,K339*$N339)*(1+INDEX('For Finance Control'!$B$27:$E$29,2,MATCH('Project information'!$A$4,'For Finance Control'!$B$27:$E$27,0)))</f>
        <v>0</v>
      </c>
      <c r="S339" s="45">
        <f>IF(OR(ISERROR($N339),$N339="",$N339="NA"),0,L339*$N339)*(1+INDEX('For Finance Control'!$B$27:$E$29,2,MATCH('Project information'!$A$4,'For Finance Control'!$B$27:$E$27,0)))</f>
        <v>0</v>
      </c>
      <c r="T339" s="45">
        <f t="shared" si="300"/>
        <v>0</v>
      </c>
      <c r="U339" s="33" cm="1">
        <f t="array" ref="U339">IF($N339="NA","NA",$N339*INDEX('Exchange rate'!$A$1:$G$7,MATCH('Project information'!$A$13,'Exchange rate'!$A$1:$A$7,0),MATCH(LOOKUP(2,1/({"China";"Korea";"India";"Japan";"EUR";"NAO"}=$E339),{"CNY";"KRW";"INR";"JPY";"EUR";"USD"}),'Exchange rate'!$A$1:$G$1,0)))</f>
        <v>63446</v>
      </c>
      <c r="V339" s="33">
        <f t="shared" si="301"/>
        <v>0</v>
      </c>
      <c r="W339" s="33">
        <f t="shared" si="302"/>
        <v>0</v>
      </c>
      <c r="X339" s="33">
        <f t="shared" si="303"/>
        <v>0</v>
      </c>
      <c r="Y339" s="33">
        <f t="shared" si="304"/>
        <v>0</v>
      </c>
      <c r="Z339" s="33">
        <f t="shared" si="305"/>
        <v>0</v>
      </c>
      <c r="AA339" s="33">
        <f t="shared" si="306"/>
        <v>0</v>
      </c>
      <c r="AB339" s="246"/>
      <c r="AC339" s="247"/>
      <c r="AZ339" s="148" t="str">
        <f t="shared" si="309"/>
        <v>5.217</v>
      </c>
      <c r="BA339" s="149" t="s">
        <v>101</v>
      </c>
    </row>
    <row r="340" spans="1:53" ht="25" outlineLevel="1">
      <c r="A340" s="148" t="str">
        <f t="shared" si="308"/>
        <v>5.218</v>
      </c>
      <c r="B340" s="148" t="str">
        <f>INDEX('Standard cost - Testing'!$A$1:$N$497,MATCH(RIGHT($C340,4),'Standard cost - Testing'!$A$1:$A$497,0),3)</f>
        <v>Common</v>
      </c>
      <c r="C340" s="149" t="str">
        <f>'Standard cost - Testing'!B219&amp;" - "&amp;'Standard cost - Testing'!A219</f>
        <v>Others - O009</v>
      </c>
      <c r="D340" s="150" t="str">
        <f>IF(RIGHT(INDEX('Standard cost - Testing'!$A$1:$N$497,MATCH(RIGHT($C340,4),'Standard cost - Testing'!$A$1:$A$497,0),4),1)="]",INDEX('Standard cost - Testing'!$A$1:$N$497,MATCH(RIGHT($C340,4),'Standard cost - Testing'!$A$1:$A$497,0),4),IF(INDEX('Standard cost - Testing'!$A$1:$N$497,MATCH(RIGHT($C340,4),'Standard cost - Testing'!$A$1:$A$497,0),10)=1,INDEX('Standard cost - Testing'!$A$1:$N$497,MATCH(RIGHT($C340,4),'Standard cost - Testing'!$A$1:$A$497,0),4)&amp;" [1 part]",INDEX('Standard cost - Testing'!$A$1:$N$497,MATCH(RIGHT($C340,4),'Standard cost - Testing'!$A$1:$A$497,0),4)&amp;" ["&amp;INDEX('Standard cost - Testing'!$A$1:$N$497,MATCH(RIGHT($C340,4),'Standard cost - Testing'!$A$1:$A$497,0),10)&amp;" parts]"))</f>
        <v>Urea crystallization test (12 EOP) on CVE engine bench [1 part]</v>
      </c>
      <c r="E340" s="51" t="str">
        <f>IF('Project information'!$A$4="","",'Project information'!$A$4)</f>
        <v>China</v>
      </c>
      <c r="F340" s="149" t="str">
        <f>INDEX('Standard cost - Testing'!$A$1:$N$497,MATCH(RIGHT($C340,4),'Standard cost - Testing'!$A$1:$A$497,0),5)</f>
        <v>Faurecia</v>
      </c>
      <c r="G340" s="149" t="str">
        <f>IF($E340='Standard cost - Testing'!$F$1,INDEX('Standard cost - Testing'!$A$1:$N$497,MATCH(RIGHT($C340,4),'Standard cost - Testing'!$A$1:$A$497,0),6),INDEX('Standard cost - Testing'!$A$1:$N$497,MATCH(RIGHT($C340,4),'Standard cost - Testing'!$A$1:$A$497,0),7))</f>
        <v>CHD-I-DSE-2070</v>
      </c>
      <c r="H340" s="46"/>
      <c r="I340" s="46"/>
      <c r="J340" s="46"/>
      <c r="K340" s="46"/>
      <c r="L340" s="46"/>
      <c r="M340" s="33">
        <f t="shared" si="307"/>
        <v>0</v>
      </c>
      <c r="N340" s="157">
        <f>IF(E340="","",IF(ISERROR(INDEX('Standard cost - Testing'!$A$1:$N$497,MATCH(RIGHT($C340,4),'Standard cost - Testing'!$A$1:$A$497,0),MATCH($E340,'Standard cost - Testing'!$K$1:$N$1,0)+10)),"NA",INDEX('Standard cost - Testing'!$A$1:$N$497,MATCH(RIGHT($C340,4),'Standard cost - Testing'!$A$1:$A$497,0),MATCH($E340,'Standard cost - Testing'!$K$1:$N$1,0)+10)))</f>
        <v>149136</v>
      </c>
      <c r="O340" s="45">
        <f>IF(OR(ISERROR($N340),$N340="",$N340="NA"),0,H340*$N340)*(1+INDEX('For Finance Control'!$B$27:$E$29,2,MATCH('Project information'!$A$4,'For Finance Control'!$B$27:$E$27,0)))</f>
        <v>0</v>
      </c>
      <c r="P340" s="45">
        <f>IF(OR(ISERROR($N340),$N340="",$N340="NA"),0,I340*$N340)*(1+INDEX('For Finance Control'!$B$27:$E$29,2,MATCH('Project information'!$A$4,'For Finance Control'!$B$27:$E$27,0)))</f>
        <v>0</v>
      </c>
      <c r="Q340" s="45">
        <f>IF(OR(ISERROR($N340),$N340="",$N340="NA"),0,J340*$N340)*(1+INDEX('For Finance Control'!$B$27:$E$29,2,MATCH('Project information'!$A$4,'For Finance Control'!$B$27:$E$27,0)))</f>
        <v>0</v>
      </c>
      <c r="R340" s="45">
        <f>IF(OR(ISERROR($N340),$N340="",$N340="NA"),0,K340*$N340)*(1+INDEX('For Finance Control'!$B$27:$E$29,2,MATCH('Project information'!$A$4,'For Finance Control'!$B$27:$E$27,0)))</f>
        <v>0</v>
      </c>
      <c r="S340" s="45">
        <f>IF(OR(ISERROR($N340),$N340="",$N340="NA"),0,L340*$N340)*(1+INDEX('For Finance Control'!$B$27:$E$29,2,MATCH('Project information'!$A$4,'For Finance Control'!$B$27:$E$27,0)))</f>
        <v>0</v>
      </c>
      <c r="T340" s="45">
        <f t="shared" ref="T340:T372" si="318">SUM(O340:S340)</f>
        <v>0</v>
      </c>
      <c r="U340" s="33" cm="1">
        <f t="array" ref="U340">IF($N340="NA","NA",$N340*INDEX('Exchange rate'!$A$1:$G$7,MATCH('Project information'!$A$13,'Exchange rate'!$A$1:$A$7,0),MATCH(LOOKUP(2,1/({"China";"Korea";"India";"Japan";"EUR";"NAO"}=$E340),{"CNY";"KRW";"INR";"JPY";"EUR";"USD"}),'Exchange rate'!$A$1:$G$1,0)))</f>
        <v>149136</v>
      </c>
      <c r="V340" s="33">
        <f t="shared" ref="V340:V372" si="319">IF(OR(ISERROR($U340),$U340="",$U340="NA"),0,H340*$U340)</f>
        <v>0</v>
      </c>
      <c r="W340" s="33">
        <f t="shared" ref="W340:W372" si="320">IF(OR(ISERROR($U340),$U340="",$U340="NA"),0,I340*$U340)</f>
        <v>0</v>
      </c>
      <c r="X340" s="33">
        <f t="shared" ref="X340:X372" si="321">IF(OR(ISERROR($U340),$U340="",$U340="NA"),0,J340*$U340)</f>
        <v>0</v>
      </c>
      <c r="Y340" s="33">
        <f t="shared" ref="Y340:Y372" si="322">IF(OR(ISERROR($U340),$U340="",$U340="NA"),0,K340*$U340)</f>
        <v>0</v>
      </c>
      <c r="Z340" s="33">
        <f t="shared" ref="Z340:Z372" si="323">IF(OR(ISERROR($U340),$U340="",$U340="NA"),0,L340*$U340)</f>
        <v>0</v>
      </c>
      <c r="AA340" s="33">
        <f t="shared" si="306"/>
        <v>0</v>
      </c>
      <c r="AB340" s="246"/>
      <c r="AC340" s="247"/>
      <c r="AZ340" s="148" t="str">
        <f t="shared" si="309"/>
        <v>5.218</v>
      </c>
      <c r="BA340" s="149" t="s">
        <v>424</v>
      </c>
    </row>
    <row r="341" spans="1:53" outlineLevel="1">
      <c r="A341" s="148" t="str">
        <f t="shared" si="308"/>
        <v>5.219</v>
      </c>
      <c r="B341" s="148" t="str">
        <f>INDEX('Standard cost - Testing'!$A$1:$N$497,MATCH(RIGHT($C341,4),'Standard cost - Testing'!$A$1:$A$497,0),3)</f>
        <v>CVE</v>
      </c>
      <c r="C341" s="149" t="str">
        <f>'Standard cost - Testing'!B220&amp;" - "&amp;'Standard cost - Testing'!A220</f>
        <v>Others - O010</v>
      </c>
      <c r="D341" s="150" t="str">
        <f>IF(RIGHT(INDEX('Standard cost - Testing'!$A$1:$N$497,MATCH(RIGHT($C341,4),'Standard cost - Testing'!$A$1:$A$497,0),4),1)="]",INDEX('Standard cost - Testing'!$A$1:$N$497,MATCH(RIGHT($C341,4),'Standard cost - Testing'!$A$1:$A$497,0),4),IF(INDEX('Standard cost - Testing'!$A$1:$N$497,MATCH(RIGHT($C341,4),'Standard cost - Testing'!$A$1:$A$497,0),10)=1,INDEX('Standard cost - Testing'!$A$1:$N$497,MATCH(RIGHT($C341,4),'Standard cost - Testing'!$A$1:$A$497,0),4)&amp;" [1 part]",INDEX('Standard cost - Testing'!$A$1:$N$497,MATCH(RIGHT($C341,4),'Standard cost - Testing'!$A$1:$A$497,0),4)&amp;" ["&amp;INDEX('Standard cost - Testing'!$A$1:$N$497,MATCH(RIGHT($C341,4),'Standard cost - Testing'!$A$1:$A$497,0),10)&amp;" parts]"))</f>
        <v>transient deposit test [1 part]</v>
      </c>
      <c r="E341" s="51" t="str">
        <f>IF('Project information'!$A$4="","",'Project information'!$A$4)</f>
        <v>China</v>
      </c>
      <c r="F341" s="149" t="str">
        <f>INDEX('Standard cost - Testing'!$A$1:$N$497,MATCH(RIGHT($C341,4),'Standard cost - Testing'!$A$1:$A$497,0),5)</f>
        <v>Weichai</v>
      </c>
      <c r="G341" s="149">
        <f>IF($E341='Standard cost - Testing'!$F$1,INDEX('Standard cost - Testing'!$A$1:$N$497,MATCH(RIGHT($C341,4),'Standard cost - Testing'!$A$1:$A$497,0),6),INDEX('Standard cost - Testing'!$A$1:$N$497,MATCH(RIGHT($C341,4),'Standard cost - Testing'!$A$1:$A$497,0),7))</f>
        <v>0</v>
      </c>
      <c r="H341" s="46"/>
      <c r="I341" s="46"/>
      <c r="J341" s="46"/>
      <c r="K341" s="46"/>
      <c r="L341" s="46"/>
      <c r="M341" s="33">
        <f t="shared" si="307"/>
        <v>0</v>
      </c>
      <c r="N341" s="157">
        <f>IF(E341="","",IF(ISERROR(INDEX('Standard cost - Testing'!$A$1:$N$497,MATCH(RIGHT($C341,4),'Standard cost - Testing'!$A$1:$A$497,0),MATCH($E341,'Standard cost - Testing'!$K$1:$N$1,0)+10)),"NA",INDEX('Standard cost - Testing'!$A$1:$N$497,MATCH(RIGHT($C341,4),'Standard cost - Testing'!$A$1:$A$497,0),MATCH($E341,'Standard cost - Testing'!$K$1:$N$1,0)+10)))</f>
        <v>81914</v>
      </c>
      <c r="O341" s="45">
        <f>IF(OR(ISERROR($N341),$N341="",$N341="NA"),0,H341*$N341)*(1+INDEX('For Finance Control'!$B$27:$E$29,2,MATCH('Project information'!$A$4,'For Finance Control'!$B$27:$E$27,0)))</f>
        <v>0</v>
      </c>
      <c r="P341" s="45">
        <f>IF(OR(ISERROR($N341),$N341="",$N341="NA"),0,I341*$N341)*(1+INDEX('For Finance Control'!$B$27:$E$29,2,MATCH('Project information'!$A$4,'For Finance Control'!$B$27:$E$27,0)))</f>
        <v>0</v>
      </c>
      <c r="Q341" s="45">
        <f>IF(OR(ISERROR($N341),$N341="",$N341="NA"),0,J341*$N341)*(1+INDEX('For Finance Control'!$B$27:$E$29,2,MATCH('Project information'!$A$4,'For Finance Control'!$B$27:$E$27,0)))</f>
        <v>0</v>
      </c>
      <c r="R341" s="45">
        <f>IF(OR(ISERROR($N341),$N341="",$N341="NA"),0,K341*$N341)*(1+INDEX('For Finance Control'!$B$27:$E$29,2,MATCH('Project information'!$A$4,'For Finance Control'!$B$27:$E$27,0)))</f>
        <v>0</v>
      </c>
      <c r="S341" s="45">
        <f>IF(OR(ISERROR($N341),$N341="",$N341="NA"),0,L341*$N341)*(1+INDEX('For Finance Control'!$B$27:$E$29,2,MATCH('Project information'!$A$4,'For Finance Control'!$B$27:$E$27,0)))</f>
        <v>0</v>
      </c>
      <c r="T341" s="45">
        <f t="shared" si="318"/>
        <v>0</v>
      </c>
      <c r="U341" s="33" cm="1">
        <f t="array" ref="U341">IF($N341="NA","NA",$N341*INDEX('Exchange rate'!$A$1:$G$7,MATCH('Project information'!$A$13,'Exchange rate'!$A$1:$A$7,0),MATCH(LOOKUP(2,1/({"China";"Korea";"India";"Japan";"EUR";"NAO"}=$E341),{"CNY";"KRW";"INR";"JPY";"EUR";"USD"}),'Exchange rate'!$A$1:$G$1,0)))</f>
        <v>81914</v>
      </c>
      <c r="V341" s="33">
        <f t="shared" si="319"/>
        <v>0</v>
      </c>
      <c r="W341" s="33">
        <f t="shared" si="320"/>
        <v>0</v>
      </c>
      <c r="X341" s="33">
        <f t="shared" si="321"/>
        <v>0</v>
      </c>
      <c r="Y341" s="33">
        <f t="shared" si="322"/>
        <v>0</v>
      </c>
      <c r="Z341" s="33">
        <f t="shared" si="323"/>
        <v>0</v>
      </c>
      <c r="AA341" s="33">
        <f t="shared" ref="AA341:AA372" si="324">SUM(V341:Z341)</f>
        <v>0</v>
      </c>
      <c r="AB341" s="246"/>
      <c r="AC341" s="247"/>
      <c r="AZ341" s="148" t="str">
        <f t="shared" si="309"/>
        <v>5.219</v>
      </c>
      <c r="BA341" s="149" t="s">
        <v>397</v>
      </c>
    </row>
    <row r="342" spans="1:53" ht="37.5" outlineLevel="1">
      <c r="A342" s="148" t="str">
        <f t="shared" si="308"/>
        <v>5.220</v>
      </c>
      <c r="B342" s="148" t="str">
        <f>INDEX('Standard cost - Testing'!$A$1:$N$497,MATCH(RIGHT($C342,4),'Standard cost - Testing'!$A$1:$A$497,0),3)</f>
        <v>LVE</v>
      </c>
      <c r="C342" s="149" t="str">
        <f>'Standard cost - Testing'!B221&amp;" - "&amp;'Standard cost - Testing'!A221</f>
        <v>Workshop - O011</v>
      </c>
      <c r="D342" s="150" t="str">
        <f>IF(RIGHT(INDEX('Standard cost - Testing'!$A$1:$N$497,MATCH(RIGHT($C342,4),'Standard cost - Testing'!$A$1:$A$497,0),4),1)="]",INDEX('Standard cost - Testing'!$A$1:$N$497,MATCH(RIGHT($C342,4),'Standard cost - Testing'!$A$1:$A$497,0),4),IF(INDEX('Standard cost - Testing'!$A$1:$N$497,MATCH(RIGHT($C342,4),'Standard cost - Testing'!$A$1:$A$497,0),10)=1,INDEX('Standard cost - Testing'!$A$1:$N$497,MATCH(RIGHT($C342,4),'Standard cost - Testing'!$A$1:$A$497,0),4)&amp;" [1 part]",INDEX('Standard cost - Testing'!$A$1:$N$497,MATCH(RIGHT($C342,4),'Standard cost - Testing'!$A$1:$A$497,0),4)&amp;" ["&amp;INDEX('Standard cost - Testing'!$A$1:$N$497,MATCH(RIGHT($C342,4),'Standard cost - Testing'!$A$1:$A$497,0),10)&amp;" parts]"))</f>
        <v>Engine preparation (+ set-up dyno with running in &amp; performance check test) [1 part]</v>
      </c>
      <c r="E342" s="51" t="str">
        <f>IF('Project information'!$A$4="","",'Project information'!$A$4)</f>
        <v>China</v>
      </c>
      <c r="F342" s="149" t="str">
        <f>INDEX('Standard cost - Testing'!$A$1:$N$497,MATCH(RIGHT($C342,4),'Standard cost - Testing'!$A$1:$A$497,0),5)</f>
        <v>Faurecia</v>
      </c>
      <c r="G342" s="149" t="str">
        <f>IF($E342='Standard cost - Testing'!$F$1,INDEX('Standard cost - Testing'!$A$1:$N$497,MATCH(RIGHT($C342,4),'Standard cost - Testing'!$A$1:$A$497,0),6),INDEX('Standard cost - Testing'!$A$1:$N$497,MATCH(RIGHT($C342,4),'Standard cost - Testing'!$A$1:$A$497,0),7))</f>
        <v>CHD-I-DSE-2038</v>
      </c>
      <c r="H342" s="46"/>
      <c r="I342" s="46"/>
      <c r="J342" s="46"/>
      <c r="K342" s="46"/>
      <c r="L342" s="46"/>
      <c r="M342" s="33">
        <f t="shared" si="307"/>
        <v>0</v>
      </c>
      <c r="N342" s="157">
        <f>IF(E342="","",IF(ISERROR(INDEX('Standard cost - Testing'!$A$1:$N$497,MATCH(RIGHT($C342,4),'Standard cost - Testing'!$A$1:$A$497,0),MATCH($E342,'Standard cost - Testing'!$K$1:$N$1,0)+10)),"NA",INDEX('Standard cost - Testing'!$A$1:$N$497,MATCH(RIGHT($C342,4),'Standard cost - Testing'!$A$1:$A$497,0),MATCH($E342,'Standard cost - Testing'!$K$1:$N$1,0)+10)))</f>
        <v>87450</v>
      </c>
      <c r="O342" s="45">
        <f>IF(OR(ISERROR($N342),$N342="",$N342="NA"),0,H342*$N342)*(1+INDEX('For Finance Control'!$B$27:$E$29,2,MATCH('Project information'!$A$4,'For Finance Control'!$B$27:$E$27,0)))</f>
        <v>0</v>
      </c>
      <c r="P342" s="45">
        <f>IF(OR(ISERROR($N342),$N342="",$N342="NA"),0,I342*$N342)*(1+INDEX('For Finance Control'!$B$27:$E$29,2,MATCH('Project information'!$A$4,'For Finance Control'!$B$27:$E$27,0)))</f>
        <v>0</v>
      </c>
      <c r="Q342" s="45">
        <f>IF(OR(ISERROR($N342),$N342="",$N342="NA"),0,J342*$N342)*(1+INDEX('For Finance Control'!$B$27:$E$29,2,MATCH('Project information'!$A$4,'For Finance Control'!$B$27:$E$27,0)))</f>
        <v>0</v>
      </c>
      <c r="R342" s="45">
        <f>IF(OR(ISERROR($N342),$N342="",$N342="NA"),0,K342*$N342)*(1+INDEX('For Finance Control'!$B$27:$E$29,2,MATCH('Project information'!$A$4,'For Finance Control'!$B$27:$E$27,0)))</f>
        <v>0</v>
      </c>
      <c r="S342" s="45">
        <f>IF(OR(ISERROR($N342),$N342="",$N342="NA"),0,L342*$N342)*(1+INDEX('For Finance Control'!$B$27:$E$29,2,MATCH('Project information'!$A$4,'For Finance Control'!$B$27:$E$27,0)))</f>
        <v>0</v>
      </c>
      <c r="T342" s="45">
        <f t="shared" si="318"/>
        <v>0</v>
      </c>
      <c r="U342" s="33" cm="1">
        <f t="array" ref="U342">IF($N342="NA","NA",$N342*INDEX('Exchange rate'!$A$1:$G$7,MATCH('Project information'!$A$13,'Exchange rate'!$A$1:$A$7,0),MATCH(LOOKUP(2,1/({"China";"Korea";"India";"Japan";"EUR";"NAO"}=$E342),{"CNY";"KRW";"INR";"JPY";"EUR";"USD"}),'Exchange rate'!$A$1:$G$1,0)))</f>
        <v>87450</v>
      </c>
      <c r="V342" s="33">
        <f t="shared" si="319"/>
        <v>0</v>
      </c>
      <c r="W342" s="33">
        <f t="shared" si="320"/>
        <v>0</v>
      </c>
      <c r="X342" s="33">
        <f t="shared" si="321"/>
        <v>0</v>
      </c>
      <c r="Y342" s="33">
        <f t="shared" si="322"/>
        <v>0</v>
      </c>
      <c r="Z342" s="33">
        <f t="shared" si="323"/>
        <v>0</v>
      </c>
      <c r="AA342" s="33">
        <f t="shared" si="324"/>
        <v>0</v>
      </c>
      <c r="AB342" s="246"/>
      <c r="AC342" s="247"/>
      <c r="AZ342" s="148" t="str">
        <f t="shared" si="309"/>
        <v>5.220</v>
      </c>
      <c r="BA342" s="149" t="s">
        <v>425</v>
      </c>
    </row>
    <row r="343" spans="1:53" ht="25" outlineLevel="1">
      <c r="A343" s="148" t="str">
        <f t="shared" si="308"/>
        <v>5.221</v>
      </c>
      <c r="B343" s="148" t="str">
        <f>INDEX('Standard cost - Testing'!$A$1:$N$497,MATCH(RIGHT($C343,4),'Standard cost - Testing'!$A$1:$A$497,0),3)</f>
        <v>Common</v>
      </c>
      <c r="C343" s="149" t="str">
        <f>'Standard cost - Testing'!B222&amp;" - "&amp;'Standard cost - Testing'!A222</f>
        <v>Workshop - O012</v>
      </c>
      <c r="D343" s="150" t="str">
        <f>IF(RIGHT(INDEX('Standard cost - Testing'!$A$1:$N$497,MATCH(RIGHT($C343,4),'Standard cost - Testing'!$A$1:$A$497,0),4),1)="]",INDEX('Standard cost - Testing'!$A$1:$N$497,MATCH(RIGHT($C343,4),'Standard cost - Testing'!$A$1:$A$497,0),4),IF(INDEX('Standard cost - Testing'!$A$1:$N$497,MATCH(RIGHT($C343,4),'Standard cost - Testing'!$A$1:$A$497,0),10)=1,INDEX('Standard cost - Testing'!$A$1:$N$497,MATCH(RIGHT($C343,4),'Standard cost - Testing'!$A$1:$A$497,0),4)&amp;" [1 part]",INDEX('Standard cost - Testing'!$A$1:$N$497,MATCH(RIGHT($C343,4),'Standard cost - Testing'!$A$1:$A$497,0),4)&amp;" ["&amp;INDEX('Standard cost - Testing'!$A$1:$N$497,MATCH(RIGHT($C343,4),'Standard cost - Testing'!$A$1:$A$497,0),10)&amp;" parts]"))</f>
        <v>Normal external leakage test [1 part]</v>
      </c>
      <c r="E343" s="51" t="str">
        <f>IF('Project information'!$A$4="","",'Project information'!$A$4)</f>
        <v>China</v>
      </c>
      <c r="F343" s="149" t="str">
        <f>INDEX('Standard cost - Testing'!$A$1:$N$497,MATCH(RIGHT($C343,4),'Standard cost - Testing'!$A$1:$A$497,0),5)</f>
        <v>Faurecia</v>
      </c>
      <c r="G343" s="149" t="str">
        <f>IF($E343='Standard cost - Testing'!$F$1,INDEX('Standard cost - Testing'!$A$1:$N$497,MATCH(RIGHT($C343,4),'Standard cost - Testing'!$A$1:$A$497,0),6),INDEX('Standard cost - Testing'!$A$1:$N$497,MATCH(RIGHT($C343,4),'Standard cost - Testing'!$A$1:$A$497,0),7))</f>
        <v>CHD-I-DSE-2043</v>
      </c>
      <c r="H343" s="46"/>
      <c r="I343" s="46"/>
      <c r="J343" s="46"/>
      <c r="K343" s="46"/>
      <c r="L343" s="46"/>
      <c r="M343" s="33">
        <f t="shared" si="307"/>
        <v>0</v>
      </c>
      <c r="N343" s="157">
        <f>IF(E343="","",IF(ISERROR(INDEX('Standard cost - Testing'!$A$1:$N$497,MATCH(RIGHT($C343,4),'Standard cost - Testing'!$A$1:$A$497,0),MATCH($E343,'Standard cost - Testing'!$K$1:$N$1,0)+10)),"NA",INDEX('Standard cost - Testing'!$A$1:$N$497,MATCH(RIGHT($C343,4),'Standard cost - Testing'!$A$1:$A$497,0),MATCH($E343,'Standard cost - Testing'!$K$1:$N$1,0)+10)))</f>
        <v>769</v>
      </c>
      <c r="O343" s="45">
        <f>IF(OR(ISERROR($N343),$N343="",$N343="NA"),0,H343*$N343)*(1+INDEX('For Finance Control'!$B$27:$E$29,2,MATCH('Project information'!$A$4,'For Finance Control'!$B$27:$E$27,0)))</f>
        <v>0</v>
      </c>
      <c r="P343" s="45">
        <f>IF(OR(ISERROR($N343),$N343="",$N343="NA"),0,I343*$N343)*(1+INDEX('For Finance Control'!$B$27:$E$29,2,MATCH('Project information'!$A$4,'For Finance Control'!$B$27:$E$27,0)))</f>
        <v>0</v>
      </c>
      <c r="Q343" s="45">
        <f>IF(OR(ISERROR($N343),$N343="",$N343="NA"),0,J343*$N343)*(1+INDEX('For Finance Control'!$B$27:$E$29,2,MATCH('Project information'!$A$4,'For Finance Control'!$B$27:$E$27,0)))</f>
        <v>0</v>
      </c>
      <c r="R343" s="45">
        <f>IF(OR(ISERROR($N343),$N343="",$N343="NA"),0,K343*$N343)*(1+INDEX('For Finance Control'!$B$27:$E$29,2,MATCH('Project information'!$A$4,'For Finance Control'!$B$27:$E$27,0)))</f>
        <v>0</v>
      </c>
      <c r="S343" s="45">
        <f>IF(OR(ISERROR($N343),$N343="",$N343="NA"),0,L343*$N343)*(1+INDEX('For Finance Control'!$B$27:$E$29,2,MATCH('Project information'!$A$4,'For Finance Control'!$B$27:$E$27,0)))</f>
        <v>0</v>
      </c>
      <c r="T343" s="45">
        <f t="shared" si="318"/>
        <v>0</v>
      </c>
      <c r="U343" s="33" cm="1">
        <f t="array" ref="U343">IF($N343="NA","NA",$N343*INDEX('Exchange rate'!$A$1:$G$7,MATCH('Project information'!$A$13,'Exchange rate'!$A$1:$A$7,0),MATCH(LOOKUP(2,1/({"China";"Korea";"India";"Japan";"EUR";"NAO"}=$E343),{"CNY";"KRW";"INR";"JPY";"EUR";"USD"}),'Exchange rate'!$A$1:$G$1,0)))</f>
        <v>769</v>
      </c>
      <c r="V343" s="33">
        <f t="shared" si="319"/>
        <v>0</v>
      </c>
      <c r="W343" s="33">
        <f t="shared" si="320"/>
        <v>0</v>
      </c>
      <c r="X343" s="33">
        <f t="shared" si="321"/>
        <v>0</v>
      </c>
      <c r="Y343" s="33">
        <f t="shared" si="322"/>
        <v>0</v>
      </c>
      <c r="Z343" s="33">
        <f t="shared" si="323"/>
        <v>0</v>
      </c>
      <c r="AA343" s="33">
        <f t="shared" si="324"/>
        <v>0</v>
      </c>
      <c r="AB343" s="246"/>
      <c r="AC343" s="247"/>
      <c r="AZ343" s="148" t="str">
        <f t="shared" si="309"/>
        <v>5.221</v>
      </c>
      <c r="BA343" s="149" t="s">
        <v>426</v>
      </c>
    </row>
    <row r="344" spans="1:53" ht="37.5" outlineLevel="1">
      <c r="A344" s="148" t="str">
        <f t="shared" si="308"/>
        <v>5.222</v>
      </c>
      <c r="B344" s="148" t="str">
        <f>INDEX('Standard cost - Testing'!$A$1:$N$497,MATCH(RIGHT($C344,4),'Standard cost - Testing'!$A$1:$A$497,0),3)</f>
        <v>LVE</v>
      </c>
      <c r="C344" s="149" t="str">
        <f>'Standard cost - Testing'!B223&amp;" - "&amp;'Standard cost - Testing'!A223</f>
        <v>RLDA - R001</v>
      </c>
      <c r="D344" s="150" t="str">
        <f>IF(RIGHT(INDEX('Standard cost - Testing'!$A$1:$N$497,MATCH(RIGHT($C344,4),'Standard cost - Testing'!$A$1:$A$497,0),4),1)="]",INDEX('Standard cost - Testing'!$A$1:$N$497,MATCH(RIGHT($C344,4),'Standard cost - Testing'!$A$1:$A$497,0),4),IF(INDEX('Standard cost - Testing'!$A$1:$N$497,MATCH(RIGHT($C344,4),'Standard cost - Testing'!$A$1:$A$497,0),10)=1,INDEX('Standard cost - Testing'!$A$1:$N$497,MATCH(RIGHT($C344,4),'Standard cost - Testing'!$A$1:$A$497,0),4)&amp;" [1 part]",INDEX('Standard cost - Testing'!$A$1:$N$497,MATCH(RIGHT($C344,4),'Standard cost - Testing'!$A$1:$A$497,0),4)&amp;" ["&amp;INDEX('Standard cost - Testing'!$A$1:$N$497,MATCH(RIGHT($C344,4),'Standard cost - Testing'!$A$1:$A$497,0),10)&amp;" parts]"))</f>
        <v>RLDA on proving ground - 1 for temperature + 1 for cold strain gauge [2 parts]</v>
      </c>
      <c r="E344" s="51" t="str">
        <f>IF('Project information'!$A$4="","",'Project information'!$A$4)</f>
        <v>China</v>
      </c>
      <c r="F344" s="149" t="str">
        <f>INDEX('Standard cost - Testing'!$A$1:$N$497,MATCH(RIGHT($C344,4),'Standard cost - Testing'!$A$1:$A$497,0),5)</f>
        <v>Faurecia</v>
      </c>
      <c r="G344" s="149" t="str">
        <f>IF($E344='Standard cost - Testing'!$F$1,INDEX('Standard cost - Testing'!$A$1:$N$497,MATCH(RIGHT($C344,4),'Standard cost - Testing'!$A$1:$A$497,0),6),INDEX('Standard cost - Testing'!$A$1:$N$497,MATCH(RIGHT($C344,4),'Standard cost - Testing'!$A$1:$A$497,0),7))</f>
        <v>CHD-I-DSE-2037</v>
      </c>
      <c r="H344" s="46"/>
      <c r="I344" s="46"/>
      <c r="J344" s="46"/>
      <c r="K344" s="46"/>
      <c r="L344" s="46"/>
      <c r="M344" s="33">
        <f t="shared" si="307"/>
        <v>0</v>
      </c>
      <c r="N344" s="157">
        <f>IF(E344="","",IF(ISERROR(INDEX('Standard cost - Testing'!$A$1:$N$497,MATCH(RIGHT($C344,4),'Standard cost - Testing'!$A$1:$A$497,0),MATCH($E344,'Standard cost - Testing'!$K$1:$N$1,0)+10)),"NA",INDEX('Standard cost - Testing'!$A$1:$N$497,MATCH(RIGHT($C344,4),'Standard cost - Testing'!$A$1:$A$497,0),MATCH($E344,'Standard cost - Testing'!$K$1:$N$1,0)+10)))</f>
        <v>115255</v>
      </c>
      <c r="O344" s="45">
        <f>IF(OR(ISERROR($N344),$N344="",$N344="NA"),0,H344*$N344)*(1+INDEX('For Finance Control'!$B$27:$E$29,2,MATCH('Project information'!$A$4,'For Finance Control'!$B$27:$E$27,0)))</f>
        <v>0</v>
      </c>
      <c r="P344" s="45">
        <f>IF(OR(ISERROR($N344),$N344="",$N344="NA"),0,I344*$N344)*(1+INDEX('For Finance Control'!$B$27:$E$29,2,MATCH('Project information'!$A$4,'For Finance Control'!$B$27:$E$27,0)))</f>
        <v>0</v>
      </c>
      <c r="Q344" s="45">
        <f>IF(OR(ISERROR($N344),$N344="",$N344="NA"),0,J344*$N344)*(1+INDEX('For Finance Control'!$B$27:$E$29,2,MATCH('Project information'!$A$4,'For Finance Control'!$B$27:$E$27,0)))</f>
        <v>0</v>
      </c>
      <c r="R344" s="45">
        <f>IF(OR(ISERROR($N344),$N344="",$N344="NA"),0,K344*$N344)*(1+INDEX('For Finance Control'!$B$27:$E$29,2,MATCH('Project information'!$A$4,'For Finance Control'!$B$27:$E$27,0)))</f>
        <v>0</v>
      </c>
      <c r="S344" s="45">
        <f>IF(OR(ISERROR($N344),$N344="",$N344="NA"),0,L344*$N344)*(1+INDEX('For Finance Control'!$B$27:$E$29,2,MATCH('Project information'!$A$4,'For Finance Control'!$B$27:$E$27,0)))</f>
        <v>0</v>
      </c>
      <c r="T344" s="45">
        <f t="shared" si="318"/>
        <v>0</v>
      </c>
      <c r="U344" s="33" cm="1">
        <f t="array" ref="U344">IF($N344="NA","NA",$N344*INDEX('Exchange rate'!$A$1:$G$7,MATCH('Project information'!$A$13,'Exchange rate'!$A$1:$A$7,0),MATCH(LOOKUP(2,1/({"China";"Korea";"India";"Japan";"EUR";"NAO"}=$E344),{"CNY";"KRW";"INR";"JPY";"EUR";"USD"}),'Exchange rate'!$A$1:$G$1,0)))</f>
        <v>115255</v>
      </c>
      <c r="V344" s="33">
        <f t="shared" si="319"/>
        <v>0</v>
      </c>
      <c r="W344" s="33">
        <f t="shared" si="320"/>
        <v>0</v>
      </c>
      <c r="X344" s="33">
        <f t="shared" si="321"/>
        <v>0</v>
      </c>
      <c r="Y344" s="33">
        <f t="shared" si="322"/>
        <v>0</v>
      </c>
      <c r="Z344" s="33">
        <f t="shared" si="323"/>
        <v>0</v>
      </c>
      <c r="AA344" s="33">
        <f t="shared" si="324"/>
        <v>0</v>
      </c>
      <c r="AB344" s="246"/>
      <c r="AC344" s="247"/>
      <c r="AZ344" s="148" t="str">
        <f t="shared" si="309"/>
        <v>5.222</v>
      </c>
      <c r="BA344" s="149" t="s">
        <v>359</v>
      </c>
    </row>
    <row r="345" spans="1:53" outlineLevel="1">
      <c r="A345" s="148" t="str">
        <f t="shared" si="308"/>
        <v>5.223</v>
      </c>
      <c r="B345" s="148" t="str">
        <f>INDEX('Standard cost - Testing'!$A$1:$N$497,MATCH(RIGHT($C345,4),'Standard cost - Testing'!$A$1:$A$497,0),3)</f>
        <v>LVE</v>
      </c>
      <c r="C345" s="149" t="str">
        <f>'Standard cost - Testing'!B224&amp;" - "&amp;'Standard cost - Testing'!A224</f>
        <v>RLDA - R002</v>
      </c>
      <c r="D345" s="150" t="str">
        <f>IF(RIGHT(INDEX('Standard cost - Testing'!$A$1:$N$497,MATCH(RIGHT($C345,4),'Standard cost - Testing'!$A$1:$A$497,0),4),1)="]",INDEX('Standard cost - Testing'!$A$1:$N$497,MATCH(RIGHT($C345,4),'Standard cost - Testing'!$A$1:$A$497,0),4),IF(INDEX('Standard cost - Testing'!$A$1:$N$497,MATCH(RIGHT($C345,4),'Standard cost - Testing'!$A$1:$A$497,0),10)=1,INDEX('Standard cost - Testing'!$A$1:$N$497,MATCH(RIGHT($C345,4),'Standard cost - Testing'!$A$1:$A$497,0),4)&amp;" [1 part]",INDEX('Standard cost - Testing'!$A$1:$N$497,MATCH(RIGHT($C345,4),'Standard cost - Testing'!$A$1:$A$497,0),4)&amp;" ["&amp;INDEX('Standard cost - Testing'!$A$1:$N$497,MATCH(RIGHT($C345,4),'Standard cost - Testing'!$A$1:$A$497,0),10)&amp;" parts]"))</f>
        <v>RLDA on proving ground [2 parts]</v>
      </c>
      <c r="E345" s="51" t="str">
        <f>IF('Project information'!$A$4="","",'Project information'!$A$4)</f>
        <v>China</v>
      </c>
      <c r="F345" s="149" t="str">
        <f>INDEX('Standard cost - Testing'!$A$1:$N$497,MATCH(RIGHT($C345,4),'Standard cost - Testing'!$A$1:$A$497,0),5)</f>
        <v>GM</v>
      </c>
      <c r="G345" s="149" t="str">
        <f>IF($E345='Standard cost - Testing'!$F$1,INDEX('Standard cost - Testing'!$A$1:$N$497,MATCH(RIGHT($C345,4),'Standard cost - Testing'!$A$1:$A$497,0),6),INDEX('Standard cost - Testing'!$A$1:$N$497,MATCH(RIGHT($C345,4),'Standard cost - Testing'!$A$1:$A$497,0),7))</f>
        <v>GMW14566</v>
      </c>
      <c r="H345" s="46"/>
      <c r="I345" s="46"/>
      <c r="J345" s="46"/>
      <c r="K345" s="46"/>
      <c r="L345" s="46"/>
      <c r="M345" s="33">
        <f t="shared" si="307"/>
        <v>0</v>
      </c>
      <c r="N345" s="157">
        <f>IF(E345="","",IF(ISERROR(INDEX('Standard cost - Testing'!$A$1:$N$497,MATCH(RIGHT($C345,4),'Standard cost - Testing'!$A$1:$A$497,0),MATCH($E345,'Standard cost - Testing'!$K$1:$N$1,0)+10)),"NA",INDEX('Standard cost - Testing'!$A$1:$N$497,MATCH(RIGHT($C345,4),'Standard cost - Testing'!$A$1:$A$497,0),MATCH($E345,'Standard cost - Testing'!$K$1:$N$1,0)+10)))</f>
        <v>110380</v>
      </c>
      <c r="O345" s="45">
        <f>IF(OR(ISERROR($N345),$N345="",$N345="NA"),0,H345*$N345)*(1+INDEX('For Finance Control'!$B$27:$E$29,2,MATCH('Project information'!$A$4,'For Finance Control'!$B$27:$E$27,0)))</f>
        <v>0</v>
      </c>
      <c r="P345" s="45">
        <f>IF(OR(ISERROR($N345),$N345="",$N345="NA"),0,I345*$N345)*(1+INDEX('For Finance Control'!$B$27:$E$29,2,MATCH('Project information'!$A$4,'For Finance Control'!$B$27:$E$27,0)))</f>
        <v>0</v>
      </c>
      <c r="Q345" s="45">
        <f>IF(OR(ISERROR($N345),$N345="",$N345="NA"),0,J345*$N345)*(1+INDEX('For Finance Control'!$B$27:$E$29,2,MATCH('Project information'!$A$4,'For Finance Control'!$B$27:$E$27,0)))</f>
        <v>0</v>
      </c>
      <c r="R345" s="45">
        <f>IF(OR(ISERROR($N345),$N345="",$N345="NA"),0,K345*$N345)*(1+INDEX('For Finance Control'!$B$27:$E$29,2,MATCH('Project information'!$A$4,'For Finance Control'!$B$27:$E$27,0)))</f>
        <v>0</v>
      </c>
      <c r="S345" s="45">
        <f>IF(OR(ISERROR($N345),$N345="",$N345="NA"),0,L345*$N345)*(1+INDEX('For Finance Control'!$B$27:$E$29,2,MATCH('Project information'!$A$4,'For Finance Control'!$B$27:$E$27,0)))</f>
        <v>0</v>
      </c>
      <c r="T345" s="45">
        <f t="shared" si="318"/>
        <v>0</v>
      </c>
      <c r="U345" s="33" cm="1">
        <f t="array" ref="U345">IF($N345="NA","NA",$N345*INDEX('Exchange rate'!$A$1:$G$7,MATCH('Project information'!$A$13,'Exchange rate'!$A$1:$A$7,0),MATCH(LOOKUP(2,1/({"China";"Korea";"India";"Japan";"EUR";"NAO"}=$E345),{"CNY";"KRW";"INR";"JPY";"EUR";"USD"}),'Exchange rate'!$A$1:$G$1,0)))</f>
        <v>110380</v>
      </c>
      <c r="V345" s="33">
        <f t="shared" si="319"/>
        <v>0</v>
      </c>
      <c r="W345" s="33">
        <f t="shared" si="320"/>
        <v>0</v>
      </c>
      <c r="X345" s="33">
        <f t="shared" si="321"/>
        <v>0</v>
      </c>
      <c r="Y345" s="33">
        <f t="shared" si="322"/>
        <v>0</v>
      </c>
      <c r="Z345" s="33">
        <f t="shared" si="323"/>
        <v>0</v>
      </c>
      <c r="AA345" s="33">
        <f t="shared" si="324"/>
        <v>0</v>
      </c>
      <c r="AB345" s="246"/>
      <c r="AC345" s="247"/>
      <c r="AZ345" s="148" t="str">
        <f t="shared" si="309"/>
        <v>5.223</v>
      </c>
      <c r="BA345" s="149" t="s">
        <v>427</v>
      </c>
    </row>
    <row r="346" spans="1:53" outlineLevel="1">
      <c r="A346" s="148" t="str">
        <f t="shared" si="308"/>
        <v>5.224</v>
      </c>
      <c r="B346" s="148" t="str">
        <f>INDEX('Standard cost - Testing'!$A$1:$N$497,MATCH(RIGHT($C346,4),'Standard cost - Testing'!$A$1:$A$497,0),3)</f>
        <v>LVE</v>
      </c>
      <c r="C346" s="149" t="str">
        <f>'Standard cost - Testing'!B225&amp;" - "&amp;'Standard cost - Testing'!A225</f>
        <v>RLDA - R003</v>
      </c>
      <c r="D346" s="150" t="str">
        <f>IF(RIGHT(INDEX('Standard cost - Testing'!$A$1:$N$497,MATCH(RIGHT($C346,4),'Standard cost - Testing'!$A$1:$A$497,0),4),1)="]",INDEX('Standard cost - Testing'!$A$1:$N$497,MATCH(RIGHT($C346,4),'Standard cost - Testing'!$A$1:$A$497,0),4),IF(INDEX('Standard cost - Testing'!$A$1:$N$497,MATCH(RIGHT($C346,4),'Standard cost - Testing'!$A$1:$A$497,0),10)=1,INDEX('Standard cost - Testing'!$A$1:$N$497,MATCH(RIGHT($C346,4),'Standard cost - Testing'!$A$1:$A$497,0),4)&amp;" [1 part]",INDEX('Standard cost - Testing'!$A$1:$N$497,MATCH(RIGHT($C346,4),'Standard cost - Testing'!$A$1:$A$497,0),4)&amp;" ["&amp;INDEX('Standard cost - Testing'!$A$1:$N$497,MATCH(RIGHT($C346,4),'Standard cost - Testing'!$A$1:$A$497,0),10)&amp;" parts]"))</f>
        <v>RLDA on proving ground [1 part]</v>
      </c>
      <c r="E346" s="51" t="str">
        <f>IF('Project information'!$A$4="","",'Project information'!$A$4)</f>
        <v>China</v>
      </c>
      <c r="F346" s="149" t="str">
        <f>INDEX('Standard cost - Testing'!$A$1:$N$497,MATCH(RIGHT($C346,4),'Standard cost - Testing'!$A$1:$A$497,0),5)</f>
        <v>HMC</v>
      </c>
      <c r="G346" s="149" t="str">
        <f>IF($E346='Standard cost - Testing'!$F$1,INDEX('Standard cost - Testing'!$A$1:$N$497,MATCH(RIGHT($C346,4),'Standard cost - Testing'!$A$1:$A$497,0),6),INDEX('Standard cost - Testing'!$A$1:$N$497,MATCH(RIGHT($C346,4),'Standard cost - Testing'!$A$1:$A$497,0),7))</f>
        <v>ES28600-22</v>
      </c>
      <c r="H346" s="46"/>
      <c r="I346" s="46"/>
      <c r="J346" s="46"/>
      <c r="K346" s="46"/>
      <c r="L346" s="46"/>
      <c r="M346" s="33">
        <f t="shared" si="307"/>
        <v>0</v>
      </c>
      <c r="N346" s="157">
        <f>IF(E346="","",IF(ISERROR(INDEX('Standard cost - Testing'!$A$1:$N$497,MATCH(RIGHT($C346,4),'Standard cost - Testing'!$A$1:$A$497,0),MATCH($E346,'Standard cost - Testing'!$K$1:$N$1,0)+10)),"NA",INDEX('Standard cost - Testing'!$A$1:$N$497,MATCH(RIGHT($C346,4),'Standard cost - Testing'!$A$1:$A$497,0),MATCH($E346,'Standard cost - Testing'!$K$1:$N$1,0)+10)))</f>
        <v>100000</v>
      </c>
      <c r="O346" s="45">
        <f>IF(OR(ISERROR($N346),$N346="",$N346="NA"),0,H346*$N346)*(1+INDEX('For Finance Control'!$B$27:$E$29,2,MATCH('Project information'!$A$4,'For Finance Control'!$B$27:$E$27,0)))</f>
        <v>0</v>
      </c>
      <c r="P346" s="45">
        <f>IF(OR(ISERROR($N346),$N346="",$N346="NA"),0,I346*$N346)*(1+INDEX('For Finance Control'!$B$27:$E$29,2,MATCH('Project information'!$A$4,'For Finance Control'!$B$27:$E$27,0)))</f>
        <v>0</v>
      </c>
      <c r="Q346" s="45">
        <f>IF(OR(ISERROR($N346),$N346="",$N346="NA"),0,J346*$N346)*(1+INDEX('For Finance Control'!$B$27:$E$29,2,MATCH('Project information'!$A$4,'For Finance Control'!$B$27:$E$27,0)))</f>
        <v>0</v>
      </c>
      <c r="R346" s="45">
        <f>IF(OR(ISERROR($N346),$N346="",$N346="NA"),0,K346*$N346)*(1+INDEX('For Finance Control'!$B$27:$E$29,2,MATCH('Project information'!$A$4,'For Finance Control'!$B$27:$E$27,0)))</f>
        <v>0</v>
      </c>
      <c r="S346" s="45">
        <f>IF(OR(ISERROR($N346),$N346="",$N346="NA"),0,L346*$N346)*(1+INDEX('For Finance Control'!$B$27:$E$29,2,MATCH('Project information'!$A$4,'For Finance Control'!$B$27:$E$27,0)))</f>
        <v>0</v>
      </c>
      <c r="T346" s="45">
        <f t="shared" si="318"/>
        <v>0</v>
      </c>
      <c r="U346" s="33" cm="1">
        <f t="array" ref="U346">IF($N346="NA","NA",$N346*INDEX('Exchange rate'!$A$1:$G$7,MATCH('Project information'!$A$13,'Exchange rate'!$A$1:$A$7,0),MATCH(LOOKUP(2,1/({"China";"Korea";"India";"Japan";"EUR";"NAO"}=$E346),{"CNY";"KRW";"INR";"JPY";"EUR";"USD"}),'Exchange rate'!$A$1:$G$1,0)))</f>
        <v>100000</v>
      </c>
      <c r="V346" s="33">
        <f t="shared" si="319"/>
        <v>0</v>
      </c>
      <c r="W346" s="33">
        <f t="shared" si="320"/>
        <v>0</v>
      </c>
      <c r="X346" s="33">
        <f t="shared" si="321"/>
        <v>0</v>
      </c>
      <c r="Y346" s="33">
        <f t="shared" si="322"/>
        <v>0</v>
      </c>
      <c r="Z346" s="33">
        <f t="shared" si="323"/>
        <v>0</v>
      </c>
      <c r="AA346" s="33">
        <f t="shared" si="324"/>
        <v>0</v>
      </c>
      <c r="AB346" s="246"/>
      <c r="AC346" s="247"/>
      <c r="AZ346" s="148" t="str">
        <f t="shared" si="309"/>
        <v>5.224</v>
      </c>
      <c r="BA346" s="149" t="s">
        <v>428</v>
      </c>
    </row>
    <row r="347" spans="1:53" ht="25" outlineLevel="1">
      <c r="A347" s="148" t="str">
        <f t="shared" si="308"/>
        <v>5.225</v>
      </c>
      <c r="B347" s="148" t="str">
        <f>INDEX('Standard cost - Testing'!$A$1:$N$497,MATCH(RIGHT($C347,4),'Standard cost - Testing'!$A$1:$A$497,0),3)</f>
        <v>LVE</v>
      </c>
      <c r="C347" s="149" t="str">
        <f>'Standard cost - Testing'!B226&amp;" - "&amp;'Standard cost - Testing'!A226</f>
        <v>RLDA - R004</v>
      </c>
      <c r="D347" s="150" t="str">
        <f>IF(RIGHT(INDEX('Standard cost - Testing'!$A$1:$N$497,MATCH(RIGHT($C347,4),'Standard cost - Testing'!$A$1:$A$497,0),4),1)="]",INDEX('Standard cost - Testing'!$A$1:$N$497,MATCH(RIGHT($C347,4),'Standard cost - Testing'!$A$1:$A$497,0),4),IF(INDEX('Standard cost - Testing'!$A$1:$N$497,MATCH(RIGHT($C347,4),'Standard cost - Testing'!$A$1:$A$497,0),10)=1,INDEX('Standard cost - Testing'!$A$1:$N$497,MATCH(RIGHT($C347,4),'Standard cost - Testing'!$A$1:$A$497,0),4)&amp;" [1 part]",INDEX('Standard cost - Testing'!$A$1:$N$497,MATCH(RIGHT($C347,4),'Standard cost - Testing'!$A$1:$A$497,0),4)&amp;" ["&amp;INDEX('Standard cost - Testing'!$A$1:$N$497,MATCH(RIGHT($C347,4),'Standard cost - Testing'!$A$1:$A$497,0),10)&amp;" parts]"))</f>
        <v>Strain gauge measurement - roller dyno [1 part]</v>
      </c>
      <c r="E347" s="51" t="str">
        <f>IF('Project information'!$A$4="","",'Project information'!$A$4)</f>
        <v>China</v>
      </c>
      <c r="F347" s="149" t="str">
        <f>INDEX('Standard cost - Testing'!$A$1:$N$497,MATCH(RIGHT($C347,4),'Standard cost - Testing'!$A$1:$A$497,0),5)</f>
        <v>Volvo</v>
      </c>
      <c r="G347" s="149" t="str">
        <f>IF($E347='Standard cost - Testing'!$F$1,INDEX('Standard cost - Testing'!$A$1:$N$497,MATCH(RIGHT($C347,4),'Standard cost - Testing'!$A$1:$A$497,0),6),INDEX('Standard cost - Testing'!$A$1:$N$497,MATCH(RIGHT($C347,4),'Standard cost - Testing'!$A$1:$A$497,0),7))</f>
        <v>ES4007</v>
      </c>
      <c r="H347" s="46"/>
      <c r="I347" s="46"/>
      <c r="J347" s="46"/>
      <c r="K347" s="46"/>
      <c r="L347" s="46"/>
      <c r="M347" s="33">
        <f t="shared" si="307"/>
        <v>0</v>
      </c>
      <c r="N347" s="157">
        <f>IF(E347="","",IF(ISERROR(INDEX('Standard cost - Testing'!$A$1:$N$497,MATCH(RIGHT($C347,4),'Standard cost - Testing'!$A$1:$A$497,0),MATCH($E347,'Standard cost - Testing'!$K$1:$N$1,0)+10)),"NA",INDEX('Standard cost - Testing'!$A$1:$N$497,MATCH(RIGHT($C347,4),'Standard cost - Testing'!$A$1:$A$497,0),MATCH($E347,'Standard cost - Testing'!$K$1:$N$1,0)+10)))</f>
        <v>190002</v>
      </c>
      <c r="O347" s="45">
        <f>IF(OR(ISERROR($N347),$N347="",$N347="NA"),0,H347*$N347)*(1+INDEX('For Finance Control'!$B$27:$E$29,2,MATCH('Project information'!$A$4,'For Finance Control'!$B$27:$E$27,0)))</f>
        <v>0</v>
      </c>
      <c r="P347" s="45">
        <f>IF(OR(ISERROR($N347),$N347="",$N347="NA"),0,I347*$N347)*(1+INDEX('For Finance Control'!$B$27:$E$29,2,MATCH('Project information'!$A$4,'For Finance Control'!$B$27:$E$27,0)))</f>
        <v>0</v>
      </c>
      <c r="Q347" s="45">
        <f>IF(OR(ISERROR($N347),$N347="",$N347="NA"),0,J347*$N347)*(1+INDEX('For Finance Control'!$B$27:$E$29,2,MATCH('Project information'!$A$4,'For Finance Control'!$B$27:$E$27,0)))</f>
        <v>0</v>
      </c>
      <c r="R347" s="45">
        <f>IF(OR(ISERROR($N347),$N347="",$N347="NA"),0,K347*$N347)*(1+INDEX('For Finance Control'!$B$27:$E$29,2,MATCH('Project information'!$A$4,'For Finance Control'!$B$27:$E$27,0)))</f>
        <v>0</v>
      </c>
      <c r="S347" s="45">
        <f>IF(OR(ISERROR($N347),$N347="",$N347="NA"),0,L347*$N347)*(1+INDEX('For Finance Control'!$B$27:$E$29,2,MATCH('Project information'!$A$4,'For Finance Control'!$B$27:$E$27,0)))</f>
        <v>0</v>
      </c>
      <c r="T347" s="45">
        <f t="shared" si="318"/>
        <v>0</v>
      </c>
      <c r="U347" s="33" cm="1">
        <f t="array" ref="U347">IF($N347="NA","NA",$N347*INDEX('Exchange rate'!$A$1:$G$7,MATCH('Project information'!$A$13,'Exchange rate'!$A$1:$A$7,0),MATCH(LOOKUP(2,1/({"China";"Korea";"India";"Japan";"EUR";"NAO"}=$E347),{"CNY";"KRW";"INR";"JPY";"EUR";"USD"}),'Exchange rate'!$A$1:$G$1,0)))</f>
        <v>190002</v>
      </c>
      <c r="V347" s="33">
        <f t="shared" si="319"/>
        <v>0</v>
      </c>
      <c r="W347" s="33">
        <f t="shared" si="320"/>
        <v>0</v>
      </c>
      <c r="X347" s="33">
        <f t="shared" si="321"/>
        <v>0</v>
      </c>
      <c r="Y347" s="33">
        <f t="shared" si="322"/>
        <v>0</v>
      </c>
      <c r="Z347" s="33">
        <f t="shared" si="323"/>
        <v>0</v>
      </c>
      <c r="AA347" s="33">
        <f t="shared" si="324"/>
        <v>0</v>
      </c>
      <c r="AB347" s="246"/>
      <c r="AC347" s="247"/>
      <c r="AZ347" s="148" t="str">
        <f t="shared" si="309"/>
        <v>5.225</v>
      </c>
      <c r="BA347" s="149" t="s">
        <v>429</v>
      </c>
    </row>
    <row r="348" spans="1:53" outlineLevel="1">
      <c r="A348" s="148" t="str">
        <f t="shared" si="308"/>
        <v>5.226</v>
      </c>
      <c r="B348" s="148" t="str">
        <f>INDEX('Standard cost - Testing'!$A$1:$N$497,MATCH(RIGHT($C348,4),'Standard cost - Testing'!$A$1:$A$497,0),3)</f>
        <v>LVE</v>
      </c>
      <c r="C348" s="149" t="str">
        <f>'Standard cost - Testing'!B227&amp;" - "&amp;'Standard cost - Testing'!A227</f>
        <v>RLDA - R005</v>
      </c>
      <c r="D348" s="150" t="str">
        <f>IF(RIGHT(INDEX('Standard cost - Testing'!$A$1:$N$497,MATCH(RIGHT($C348,4),'Standard cost - Testing'!$A$1:$A$497,0),4),1)="]",INDEX('Standard cost - Testing'!$A$1:$N$497,MATCH(RIGHT($C348,4),'Standard cost - Testing'!$A$1:$A$497,0),4),IF(INDEX('Standard cost - Testing'!$A$1:$N$497,MATCH(RIGHT($C348,4),'Standard cost - Testing'!$A$1:$A$497,0),10)=1,INDEX('Standard cost - Testing'!$A$1:$N$497,MATCH(RIGHT($C348,4),'Standard cost - Testing'!$A$1:$A$497,0),4)&amp;" [1 part]",INDEX('Standard cost - Testing'!$A$1:$N$497,MATCH(RIGHT($C348,4),'Standard cost - Testing'!$A$1:$A$497,0),4)&amp;" ["&amp;INDEX('Standard cost - Testing'!$A$1:$N$497,MATCH(RIGHT($C348,4),'Standard cost - Testing'!$A$1:$A$497,0),10)&amp;" parts]"))</f>
        <v>FRA measurement - roller dyno [1 part]</v>
      </c>
      <c r="E348" s="51" t="str">
        <f>IF('Project information'!$A$4="","",'Project information'!$A$4)</f>
        <v>China</v>
      </c>
      <c r="F348" s="149" t="str">
        <f>INDEX('Standard cost - Testing'!$A$1:$N$497,MATCH(RIGHT($C348,4),'Standard cost - Testing'!$A$1:$A$497,0),5)</f>
        <v>Volvo</v>
      </c>
      <c r="G348" s="149" t="str">
        <f>IF($E348='Standard cost - Testing'!$F$1,INDEX('Standard cost - Testing'!$A$1:$N$497,MATCH(RIGHT($C348,4),'Standard cost - Testing'!$A$1:$A$497,0),6),INDEX('Standard cost - Testing'!$A$1:$N$497,MATCH(RIGHT($C348,4),'Standard cost - Testing'!$A$1:$A$497,0),7))</f>
        <v>ES4008</v>
      </c>
      <c r="H348" s="46"/>
      <c r="I348" s="46"/>
      <c r="J348" s="46"/>
      <c r="K348" s="46"/>
      <c r="L348" s="46"/>
      <c r="M348" s="33">
        <f t="shared" si="307"/>
        <v>0</v>
      </c>
      <c r="N348" s="157">
        <f>IF(E348="","",IF(ISERROR(INDEX('Standard cost - Testing'!$A$1:$N$497,MATCH(RIGHT($C348,4),'Standard cost - Testing'!$A$1:$A$497,0),MATCH($E348,'Standard cost - Testing'!$K$1:$N$1,0)+10)),"NA",INDEX('Standard cost - Testing'!$A$1:$N$497,MATCH(RIGHT($C348,4),'Standard cost - Testing'!$A$1:$A$497,0),MATCH($E348,'Standard cost - Testing'!$K$1:$N$1,0)+10)))</f>
        <v>81642</v>
      </c>
      <c r="O348" s="45">
        <f>IF(OR(ISERROR($N348),$N348="",$N348="NA"),0,H348*$N348)*(1+INDEX('For Finance Control'!$B$27:$E$29,2,MATCH('Project information'!$A$4,'For Finance Control'!$B$27:$E$27,0)))</f>
        <v>0</v>
      </c>
      <c r="P348" s="45">
        <f>IF(OR(ISERROR($N348),$N348="",$N348="NA"),0,I348*$N348)*(1+INDEX('For Finance Control'!$B$27:$E$29,2,MATCH('Project information'!$A$4,'For Finance Control'!$B$27:$E$27,0)))</f>
        <v>0</v>
      </c>
      <c r="Q348" s="45">
        <f>IF(OR(ISERROR($N348),$N348="",$N348="NA"),0,J348*$N348)*(1+INDEX('For Finance Control'!$B$27:$E$29,2,MATCH('Project information'!$A$4,'For Finance Control'!$B$27:$E$27,0)))</f>
        <v>0</v>
      </c>
      <c r="R348" s="45">
        <f>IF(OR(ISERROR($N348),$N348="",$N348="NA"),0,K348*$N348)*(1+INDEX('For Finance Control'!$B$27:$E$29,2,MATCH('Project information'!$A$4,'For Finance Control'!$B$27:$E$27,0)))</f>
        <v>0</v>
      </c>
      <c r="S348" s="45">
        <f>IF(OR(ISERROR($N348),$N348="",$N348="NA"),0,L348*$N348)*(1+INDEX('For Finance Control'!$B$27:$E$29,2,MATCH('Project information'!$A$4,'For Finance Control'!$B$27:$E$27,0)))</f>
        <v>0</v>
      </c>
      <c r="T348" s="45">
        <f t="shared" si="318"/>
        <v>0</v>
      </c>
      <c r="U348" s="33" cm="1">
        <f t="array" ref="U348">IF($N348="NA","NA",$N348*INDEX('Exchange rate'!$A$1:$G$7,MATCH('Project information'!$A$13,'Exchange rate'!$A$1:$A$7,0),MATCH(LOOKUP(2,1/({"China";"Korea";"India";"Japan";"EUR";"NAO"}=$E348),{"CNY";"KRW";"INR";"JPY";"EUR";"USD"}),'Exchange rate'!$A$1:$G$1,0)))</f>
        <v>81642</v>
      </c>
      <c r="V348" s="33">
        <f t="shared" si="319"/>
        <v>0</v>
      </c>
      <c r="W348" s="33">
        <f t="shared" si="320"/>
        <v>0</v>
      </c>
      <c r="X348" s="33">
        <f t="shared" si="321"/>
        <v>0</v>
      </c>
      <c r="Y348" s="33">
        <f t="shared" si="322"/>
        <v>0</v>
      </c>
      <c r="Z348" s="33">
        <f t="shared" si="323"/>
        <v>0</v>
      </c>
      <c r="AA348" s="33">
        <f t="shared" si="324"/>
        <v>0</v>
      </c>
      <c r="AB348" s="246"/>
      <c r="AC348" s="247"/>
      <c r="AZ348" s="148" t="str">
        <f t="shared" si="309"/>
        <v>5.226</v>
      </c>
      <c r="BA348" s="149" t="s">
        <v>430</v>
      </c>
    </row>
    <row r="349" spans="1:53" ht="25" outlineLevel="1">
      <c r="A349" s="148" t="str">
        <f t="shared" si="308"/>
        <v>5.227</v>
      </c>
      <c r="B349" s="148" t="str">
        <f>INDEX('Standard cost - Testing'!$A$1:$N$497,MATCH(RIGHT($C349,4),'Standard cost - Testing'!$A$1:$A$497,0),3)</f>
        <v>LVE</v>
      </c>
      <c r="C349" s="149" t="str">
        <f>'Standard cost - Testing'!B228&amp;" - "&amp;'Standard cost - Testing'!A228</f>
        <v>RLDA - R006</v>
      </c>
      <c r="D349" s="150" t="str">
        <f>IF(RIGHT(INDEX('Standard cost - Testing'!$A$1:$N$497,MATCH(RIGHT($C349,4),'Standard cost - Testing'!$A$1:$A$497,0),4),1)="]",INDEX('Standard cost - Testing'!$A$1:$N$497,MATCH(RIGHT($C349,4),'Standard cost - Testing'!$A$1:$A$497,0),4),IF(INDEX('Standard cost - Testing'!$A$1:$N$497,MATCH(RIGHT($C349,4),'Standard cost - Testing'!$A$1:$A$497,0),10)=1,INDEX('Standard cost - Testing'!$A$1:$N$497,MATCH(RIGHT($C349,4),'Standard cost - Testing'!$A$1:$A$497,0),4)&amp;" [1 part]",INDEX('Standard cost - Testing'!$A$1:$N$497,MATCH(RIGHT($C349,4),'Standard cost - Testing'!$A$1:$A$497,0),4)&amp;" ["&amp;INDEX('Standard cost - Testing'!$A$1:$N$497,MATCH(RIGHT($C349,4),'Standard cost - Testing'!$A$1:$A$497,0),10)&amp;" parts]"))</f>
        <v>RLDA on proving ground - hot strain gauge [2 parts]</v>
      </c>
      <c r="E349" s="51" t="str">
        <f>IF('Project information'!$A$4="","",'Project information'!$A$4)</f>
        <v>China</v>
      </c>
      <c r="F349" s="149" t="str">
        <f>INDEX('Standard cost - Testing'!$A$1:$N$497,MATCH(RIGHT($C349,4),'Standard cost - Testing'!$A$1:$A$497,0),5)</f>
        <v>FCA</v>
      </c>
      <c r="G349" s="149" t="str">
        <f>IF($E349='Standard cost - Testing'!$F$1,INDEX('Standard cost - Testing'!$A$1:$N$497,MATCH(RIGHT($C349,4),'Standard cost - Testing'!$A$1:$A$497,0),6),INDEX('Standard cost - Testing'!$A$1:$N$497,MATCH(RIGHT($C349,4),'Standard cost - Testing'!$A$1:$A$497,0),7))</f>
        <v>PF.90160 9.3.6</v>
      </c>
      <c r="H349" s="46"/>
      <c r="I349" s="46"/>
      <c r="J349" s="46"/>
      <c r="K349" s="46"/>
      <c r="L349" s="46"/>
      <c r="M349" s="33">
        <f t="shared" si="307"/>
        <v>0</v>
      </c>
      <c r="N349" s="157">
        <f>IF(E349="","",IF(ISERROR(INDEX('Standard cost - Testing'!$A$1:$N$497,MATCH(RIGHT($C349,4),'Standard cost - Testing'!$A$1:$A$497,0),MATCH($E349,'Standard cost - Testing'!$K$1:$N$1,0)+10)),"NA",INDEX('Standard cost - Testing'!$A$1:$N$497,MATCH(RIGHT($C349,4),'Standard cost - Testing'!$A$1:$A$497,0),MATCH($E349,'Standard cost - Testing'!$K$1:$N$1,0)+10)))</f>
        <v>407732</v>
      </c>
      <c r="O349" s="45">
        <f>IF(OR(ISERROR($N349),$N349="",$N349="NA"),0,H349*$N349)*(1+INDEX('For Finance Control'!$B$27:$E$29,2,MATCH('Project information'!$A$4,'For Finance Control'!$B$27:$E$27,0)))</f>
        <v>0</v>
      </c>
      <c r="P349" s="45">
        <f>IF(OR(ISERROR($N349),$N349="",$N349="NA"),0,I349*$N349)*(1+INDEX('For Finance Control'!$B$27:$E$29,2,MATCH('Project information'!$A$4,'For Finance Control'!$B$27:$E$27,0)))</f>
        <v>0</v>
      </c>
      <c r="Q349" s="45">
        <f>IF(OR(ISERROR($N349),$N349="",$N349="NA"),0,J349*$N349)*(1+INDEX('For Finance Control'!$B$27:$E$29,2,MATCH('Project information'!$A$4,'For Finance Control'!$B$27:$E$27,0)))</f>
        <v>0</v>
      </c>
      <c r="R349" s="45">
        <f>IF(OR(ISERROR($N349),$N349="",$N349="NA"),0,K349*$N349)*(1+INDEX('For Finance Control'!$B$27:$E$29,2,MATCH('Project information'!$A$4,'For Finance Control'!$B$27:$E$27,0)))</f>
        <v>0</v>
      </c>
      <c r="S349" s="45">
        <f>IF(OR(ISERROR($N349),$N349="",$N349="NA"),0,L349*$N349)*(1+INDEX('For Finance Control'!$B$27:$E$29,2,MATCH('Project information'!$A$4,'For Finance Control'!$B$27:$E$27,0)))</f>
        <v>0</v>
      </c>
      <c r="T349" s="45">
        <f t="shared" si="318"/>
        <v>0</v>
      </c>
      <c r="U349" s="33" cm="1">
        <f t="array" ref="U349">IF($N349="NA","NA",$N349*INDEX('Exchange rate'!$A$1:$G$7,MATCH('Project information'!$A$13,'Exchange rate'!$A$1:$A$7,0),MATCH(LOOKUP(2,1/({"China";"Korea";"India";"Japan";"EUR";"NAO"}=$E349),{"CNY";"KRW";"INR";"JPY";"EUR";"USD"}),'Exchange rate'!$A$1:$G$1,0)))</f>
        <v>407732</v>
      </c>
      <c r="V349" s="33">
        <f t="shared" si="319"/>
        <v>0</v>
      </c>
      <c r="W349" s="33">
        <f t="shared" si="320"/>
        <v>0</v>
      </c>
      <c r="X349" s="33">
        <f t="shared" si="321"/>
        <v>0</v>
      </c>
      <c r="Y349" s="33">
        <f t="shared" si="322"/>
        <v>0</v>
      </c>
      <c r="Z349" s="33">
        <f t="shared" si="323"/>
        <v>0</v>
      </c>
      <c r="AA349" s="33">
        <f t="shared" si="324"/>
        <v>0</v>
      </c>
      <c r="AB349" s="246"/>
      <c r="AC349" s="247"/>
      <c r="AZ349" s="148" t="str">
        <f t="shared" si="309"/>
        <v>5.227</v>
      </c>
      <c r="BA349" s="149" t="s">
        <v>177</v>
      </c>
    </row>
    <row r="350" spans="1:53" ht="25" outlineLevel="1">
      <c r="A350" s="148" t="str">
        <f t="shared" si="308"/>
        <v>5.228</v>
      </c>
      <c r="B350" s="148" t="str">
        <f>INDEX('Standard cost - Testing'!$A$1:$N$497,MATCH(RIGHT($C350,4),'Standard cost - Testing'!$A$1:$A$497,0),3)</f>
        <v>LVE</v>
      </c>
      <c r="C350" s="149" t="str">
        <f>'Standard cost - Testing'!B229&amp;" - "&amp;'Standard cost - Testing'!A229</f>
        <v>Thermal - T001</v>
      </c>
      <c r="D350" s="150" t="str">
        <f>IF(RIGHT(INDEX('Standard cost - Testing'!$A$1:$N$497,MATCH(RIGHT($C350,4),'Standard cost - Testing'!$A$1:$A$497,0),4),1)="]",INDEX('Standard cost - Testing'!$A$1:$N$497,MATCH(RIGHT($C350,4),'Standard cost - Testing'!$A$1:$A$497,0),4),IF(INDEX('Standard cost - Testing'!$A$1:$N$497,MATCH(RIGHT($C350,4),'Standard cost - Testing'!$A$1:$A$497,0),10)=1,INDEX('Standard cost - Testing'!$A$1:$N$497,MATCH(RIGHT($C350,4),'Standard cost - Testing'!$A$1:$A$497,0),4)&amp;" [1 part]",INDEX('Standard cost - Testing'!$A$1:$N$497,MATCH(RIGHT($C350,4),'Standard cost - Testing'!$A$1:$A$497,0),4)&amp;" ["&amp;INDEX('Standard cost - Testing'!$A$1:$N$497,MATCH(RIGHT($C350,4),'Standard cost - Testing'!$A$1:$A$497,0),10)&amp;" parts]"))</f>
        <v>Thermal fatigue / Thermal shock test [1 part]</v>
      </c>
      <c r="E350" s="51" t="str">
        <f>IF('Project information'!$A$4="","",'Project information'!$A$4)</f>
        <v>China</v>
      </c>
      <c r="F350" s="149" t="str">
        <f>INDEX('Standard cost - Testing'!$A$1:$N$497,MATCH(RIGHT($C350,4),'Standard cost - Testing'!$A$1:$A$497,0),5)</f>
        <v>HMC</v>
      </c>
      <c r="G350" s="149" t="str">
        <f>IF($E350='Standard cost - Testing'!$F$1,INDEX('Standard cost - Testing'!$A$1:$N$497,MATCH(RIGHT($C350,4),'Standard cost - Testing'!$A$1:$A$497,0),6),INDEX('Standard cost - Testing'!$A$1:$N$497,MATCH(RIGHT($C350,4),'Standard cost - Testing'!$A$1:$A$497,0),7))</f>
        <v>ES28600-09 6.7</v>
      </c>
      <c r="H350" s="46"/>
      <c r="I350" s="46"/>
      <c r="J350" s="46"/>
      <c r="K350" s="46"/>
      <c r="L350" s="46"/>
      <c r="M350" s="33">
        <f t="shared" si="307"/>
        <v>0</v>
      </c>
      <c r="N350" s="157">
        <f>IF(E350="","",IF(ISERROR(INDEX('Standard cost - Testing'!$A$1:$N$497,MATCH(RIGHT($C350,4),'Standard cost - Testing'!$A$1:$A$497,0),MATCH($E350,'Standard cost - Testing'!$K$1:$N$1,0)+10)),"NA",INDEX('Standard cost - Testing'!$A$1:$N$497,MATCH(RIGHT($C350,4),'Standard cost - Testing'!$A$1:$A$497,0),MATCH($E350,'Standard cost - Testing'!$K$1:$N$1,0)+10)))</f>
        <v>38744</v>
      </c>
      <c r="O350" s="45">
        <f>IF(OR(ISERROR($N350),$N350="",$N350="NA"),0,H350*$N350)*(1+INDEX('For Finance Control'!$B$27:$E$29,2,MATCH('Project information'!$A$4,'For Finance Control'!$B$27:$E$27,0)))</f>
        <v>0</v>
      </c>
      <c r="P350" s="45">
        <f>IF(OR(ISERROR($N350),$N350="",$N350="NA"),0,I350*$N350)*(1+INDEX('For Finance Control'!$B$27:$E$29,2,MATCH('Project information'!$A$4,'For Finance Control'!$B$27:$E$27,0)))</f>
        <v>0</v>
      </c>
      <c r="Q350" s="45">
        <f>IF(OR(ISERROR($N350),$N350="",$N350="NA"),0,J350*$N350)*(1+INDEX('For Finance Control'!$B$27:$E$29,2,MATCH('Project information'!$A$4,'For Finance Control'!$B$27:$E$27,0)))</f>
        <v>0</v>
      </c>
      <c r="R350" s="45">
        <f>IF(OR(ISERROR($N350),$N350="",$N350="NA"),0,K350*$N350)*(1+INDEX('For Finance Control'!$B$27:$E$29,2,MATCH('Project information'!$A$4,'For Finance Control'!$B$27:$E$27,0)))</f>
        <v>0</v>
      </c>
      <c r="S350" s="45">
        <f>IF(OR(ISERROR($N350),$N350="",$N350="NA"),0,L350*$N350)*(1+INDEX('For Finance Control'!$B$27:$E$29,2,MATCH('Project information'!$A$4,'For Finance Control'!$B$27:$E$27,0)))</f>
        <v>0</v>
      </c>
      <c r="T350" s="45">
        <f t="shared" si="318"/>
        <v>0</v>
      </c>
      <c r="U350" s="33" cm="1">
        <f t="array" ref="U350">IF($N350="NA","NA",$N350*INDEX('Exchange rate'!$A$1:$G$7,MATCH('Project information'!$A$13,'Exchange rate'!$A$1:$A$7,0),MATCH(LOOKUP(2,1/({"China";"Korea";"India";"Japan";"EUR";"NAO"}=$E350),{"CNY";"KRW";"INR";"JPY";"EUR";"USD"}),'Exchange rate'!$A$1:$G$1,0)))</f>
        <v>38744</v>
      </c>
      <c r="V350" s="33">
        <f t="shared" si="319"/>
        <v>0</v>
      </c>
      <c r="W350" s="33">
        <f t="shared" si="320"/>
        <v>0</v>
      </c>
      <c r="X350" s="33">
        <f t="shared" si="321"/>
        <v>0</v>
      </c>
      <c r="Y350" s="33">
        <f t="shared" si="322"/>
        <v>0</v>
      </c>
      <c r="Z350" s="33">
        <f t="shared" si="323"/>
        <v>0</v>
      </c>
      <c r="AA350" s="33">
        <f t="shared" si="324"/>
        <v>0</v>
      </c>
      <c r="AB350" s="246"/>
      <c r="AC350" s="247"/>
      <c r="AZ350" s="148" t="str">
        <f t="shared" si="309"/>
        <v>5.228</v>
      </c>
      <c r="BA350" s="149" t="s">
        <v>177</v>
      </c>
    </row>
    <row r="351" spans="1:53" ht="62.5" outlineLevel="1">
      <c r="A351" s="148" t="str">
        <f t="shared" si="308"/>
        <v>5.229</v>
      </c>
      <c r="B351" s="148" t="str">
        <f>INDEX('Standard cost - Testing'!$A$1:$N$497,MATCH(RIGHT($C351,4),'Standard cost - Testing'!$A$1:$A$497,0),3)</f>
        <v>LVE</v>
      </c>
      <c r="C351" s="149" t="str">
        <f>'Standard cost - Testing'!B230&amp;" - "&amp;'Standard cost - Testing'!A230</f>
        <v>Thermal - T002</v>
      </c>
      <c r="D351" s="150" t="str">
        <f>IF(RIGHT(INDEX('Standard cost - Testing'!$A$1:$N$497,MATCH(RIGHT($C351,4),'Standard cost - Testing'!$A$1:$A$497,0),4),1)="]",INDEX('Standard cost - Testing'!$A$1:$N$497,MATCH(RIGHT($C351,4),'Standard cost - Testing'!$A$1:$A$497,0),4),IF(INDEX('Standard cost - Testing'!$A$1:$N$497,MATCH(RIGHT($C351,4),'Standard cost - Testing'!$A$1:$A$497,0),10)=1,INDEX('Standard cost - Testing'!$A$1:$N$497,MATCH(RIGHT($C351,4),'Standard cost - Testing'!$A$1:$A$497,0),4)&amp;" [1 part]",INDEX('Standard cost - Testing'!$A$1:$N$497,MATCH(RIGHT($C351,4),'Standard cost - Testing'!$A$1:$A$497,0),4)&amp;" ["&amp;INDEX('Standard cost - Testing'!$A$1:$N$497,MATCH(RIGHT($C351,4),'Standard cost - Testing'!$A$1:$A$497,0),10)&amp;" parts]"))</f>
        <v>Cold end thermal shock test (7min-7min) @ 1500 cycles
1. Max mass flow rate:500 kg/h
2. Two samples have to be tested at same time [2 parts]</v>
      </c>
      <c r="E351" s="51" t="str">
        <f>IF('Project information'!$A$4="","",'Project information'!$A$4)</f>
        <v>China</v>
      </c>
      <c r="F351" s="149" t="str">
        <f>INDEX('Standard cost - Testing'!$A$1:$N$497,MATCH(RIGHT($C351,4),'Standard cost - Testing'!$A$1:$A$497,0),5)</f>
        <v>Audi</v>
      </c>
      <c r="G351" s="149" t="str">
        <f>IF($E351='Standard cost - Testing'!$F$1,INDEX('Standard cost - Testing'!$A$1:$N$497,MATCH(RIGHT($C351,4),'Standard cost - Testing'!$A$1:$A$497,0),6),INDEX('Standard cost - Testing'!$A$1:$N$497,MATCH(RIGHT($C351,4),'Standard cost - Testing'!$A$1:$A$497,0),7))</f>
        <v>Non-standard</v>
      </c>
      <c r="H351" s="46"/>
      <c r="I351" s="46"/>
      <c r="J351" s="46"/>
      <c r="K351" s="46"/>
      <c r="L351" s="46"/>
      <c r="M351" s="33">
        <f t="shared" si="307"/>
        <v>0</v>
      </c>
      <c r="N351" s="157">
        <f>IF(E351="","",IF(ISERROR(INDEX('Standard cost - Testing'!$A$1:$N$497,MATCH(RIGHT($C351,4),'Standard cost - Testing'!$A$1:$A$497,0),MATCH($E351,'Standard cost - Testing'!$K$1:$N$1,0)+10)),"NA",INDEX('Standard cost - Testing'!$A$1:$N$497,MATCH(RIGHT($C351,4),'Standard cost - Testing'!$A$1:$A$497,0),MATCH($E351,'Standard cost - Testing'!$K$1:$N$1,0)+10)))</f>
        <v>218725</v>
      </c>
      <c r="O351" s="45">
        <f>IF(OR(ISERROR($N351),$N351="",$N351="NA"),0,H351*$N351)*(1+INDEX('For Finance Control'!$B$27:$E$29,2,MATCH('Project information'!$A$4,'For Finance Control'!$B$27:$E$27,0)))</f>
        <v>0</v>
      </c>
      <c r="P351" s="45">
        <f>IF(OR(ISERROR($N351),$N351="",$N351="NA"),0,I351*$N351)*(1+INDEX('For Finance Control'!$B$27:$E$29,2,MATCH('Project information'!$A$4,'For Finance Control'!$B$27:$E$27,0)))</f>
        <v>0</v>
      </c>
      <c r="Q351" s="45">
        <f>IF(OR(ISERROR($N351),$N351="",$N351="NA"),0,J351*$N351)*(1+INDEX('For Finance Control'!$B$27:$E$29,2,MATCH('Project information'!$A$4,'For Finance Control'!$B$27:$E$27,0)))</f>
        <v>0</v>
      </c>
      <c r="R351" s="45">
        <f>IF(OR(ISERROR($N351),$N351="",$N351="NA"),0,K351*$N351)*(1+INDEX('For Finance Control'!$B$27:$E$29,2,MATCH('Project information'!$A$4,'For Finance Control'!$B$27:$E$27,0)))</f>
        <v>0</v>
      </c>
      <c r="S351" s="45">
        <f>IF(OR(ISERROR($N351),$N351="",$N351="NA"),0,L351*$N351)*(1+INDEX('For Finance Control'!$B$27:$E$29,2,MATCH('Project information'!$A$4,'For Finance Control'!$B$27:$E$27,0)))</f>
        <v>0</v>
      </c>
      <c r="T351" s="45">
        <f t="shared" si="318"/>
        <v>0</v>
      </c>
      <c r="U351" s="33" cm="1">
        <f t="array" ref="U351">IF($N351="NA","NA",$N351*INDEX('Exchange rate'!$A$1:$G$7,MATCH('Project information'!$A$13,'Exchange rate'!$A$1:$A$7,0),MATCH(LOOKUP(2,1/({"China";"Korea";"India";"Japan";"EUR";"NAO"}=$E351),{"CNY";"KRW";"INR";"JPY";"EUR";"USD"}),'Exchange rate'!$A$1:$G$1,0)))</f>
        <v>218725</v>
      </c>
      <c r="V351" s="33">
        <f t="shared" si="319"/>
        <v>0</v>
      </c>
      <c r="W351" s="33">
        <f t="shared" si="320"/>
        <v>0</v>
      </c>
      <c r="X351" s="33">
        <f t="shared" si="321"/>
        <v>0</v>
      </c>
      <c r="Y351" s="33">
        <f t="shared" si="322"/>
        <v>0</v>
      </c>
      <c r="Z351" s="33">
        <f t="shared" si="323"/>
        <v>0</v>
      </c>
      <c r="AA351" s="33">
        <f t="shared" si="324"/>
        <v>0</v>
      </c>
      <c r="AB351" s="246"/>
      <c r="AC351" s="247"/>
      <c r="AZ351" s="148" t="str">
        <f t="shared" si="309"/>
        <v>5.229</v>
      </c>
      <c r="BA351" s="149" t="s">
        <v>177</v>
      </c>
    </row>
    <row r="352" spans="1:53" ht="62.5" outlineLevel="1">
      <c r="A352" s="148" t="str">
        <f t="shared" si="308"/>
        <v>5.230</v>
      </c>
      <c r="B352" s="148" t="str">
        <f>INDEX('Standard cost - Testing'!$A$1:$N$497,MATCH(RIGHT($C352,4),'Standard cost - Testing'!$A$1:$A$497,0),3)</f>
        <v>LVE</v>
      </c>
      <c r="C352" s="149" t="str">
        <f>'Standard cost - Testing'!B231&amp;" - "&amp;'Standard cost - Testing'!A231</f>
        <v>Thermal - T003</v>
      </c>
      <c r="D352" s="150" t="str">
        <f>IF(RIGHT(INDEX('Standard cost - Testing'!$A$1:$N$497,MATCH(RIGHT($C352,4),'Standard cost - Testing'!$A$1:$A$497,0),4),1)="]",INDEX('Standard cost - Testing'!$A$1:$N$497,MATCH(RIGHT($C352,4),'Standard cost - Testing'!$A$1:$A$497,0),4),IF(INDEX('Standard cost - Testing'!$A$1:$N$497,MATCH(RIGHT($C352,4),'Standard cost - Testing'!$A$1:$A$497,0),10)=1,INDEX('Standard cost - Testing'!$A$1:$N$497,MATCH(RIGHT($C352,4),'Standard cost - Testing'!$A$1:$A$497,0),4)&amp;" [1 part]",INDEX('Standard cost - Testing'!$A$1:$N$497,MATCH(RIGHT($C352,4),'Standard cost - Testing'!$A$1:$A$497,0),4)&amp;" ["&amp;INDEX('Standard cost - Testing'!$A$1:$N$497,MATCH(RIGHT($C352,4),'Standard cost - Testing'!$A$1:$A$497,0),10)&amp;" parts]"))</f>
        <v>Cold end thermal shock test (5min-5min) @ 1000 cycles
1. Max mass flow rate:500 kg/h
2. Two samples have to be tested at same time [2 parts]</v>
      </c>
      <c r="E352" s="51" t="str">
        <f>IF('Project information'!$A$4="","",'Project information'!$A$4)</f>
        <v>China</v>
      </c>
      <c r="F352" s="149" t="str">
        <f>INDEX('Standard cost - Testing'!$A$1:$N$497,MATCH(RIGHT($C352,4),'Standard cost - Testing'!$A$1:$A$497,0),5)</f>
        <v>Audi</v>
      </c>
      <c r="G352" s="149" t="str">
        <f>IF($E352='Standard cost - Testing'!$F$1,INDEX('Standard cost - Testing'!$A$1:$N$497,MATCH(RIGHT($C352,4),'Standard cost - Testing'!$A$1:$A$497,0),6),INDEX('Standard cost - Testing'!$A$1:$N$497,MATCH(RIGHT($C352,4),'Standard cost - Testing'!$A$1:$A$497,0),7))</f>
        <v>Non-standard</v>
      </c>
      <c r="H352" s="46"/>
      <c r="I352" s="46"/>
      <c r="J352" s="46"/>
      <c r="K352" s="46"/>
      <c r="L352" s="46"/>
      <c r="M352" s="33">
        <f t="shared" si="307"/>
        <v>0</v>
      </c>
      <c r="N352" s="157">
        <f>IF(E352="","",IF(ISERROR(INDEX('Standard cost - Testing'!$A$1:$N$497,MATCH(RIGHT($C352,4),'Standard cost - Testing'!$A$1:$A$497,0),MATCH($E352,'Standard cost - Testing'!$K$1:$N$1,0)+10)),"NA",INDEX('Standard cost - Testing'!$A$1:$N$497,MATCH(RIGHT($C352,4),'Standard cost - Testing'!$A$1:$A$497,0),MATCH($E352,'Standard cost - Testing'!$K$1:$N$1,0)+10)))</f>
        <v>118528</v>
      </c>
      <c r="O352" s="45">
        <f>IF(OR(ISERROR($N352),$N352="",$N352="NA"),0,H352*$N352)*(1+INDEX('For Finance Control'!$B$27:$E$29,2,MATCH('Project information'!$A$4,'For Finance Control'!$B$27:$E$27,0)))</f>
        <v>0</v>
      </c>
      <c r="P352" s="45">
        <f>IF(OR(ISERROR($N352),$N352="",$N352="NA"),0,I352*$N352)*(1+INDEX('For Finance Control'!$B$27:$E$29,2,MATCH('Project information'!$A$4,'For Finance Control'!$B$27:$E$27,0)))</f>
        <v>0</v>
      </c>
      <c r="Q352" s="45">
        <f>IF(OR(ISERROR($N352),$N352="",$N352="NA"),0,J352*$N352)*(1+INDEX('For Finance Control'!$B$27:$E$29,2,MATCH('Project information'!$A$4,'For Finance Control'!$B$27:$E$27,0)))</f>
        <v>0</v>
      </c>
      <c r="R352" s="45">
        <f>IF(OR(ISERROR($N352),$N352="",$N352="NA"),0,K352*$N352)*(1+INDEX('For Finance Control'!$B$27:$E$29,2,MATCH('Project information'!$A$4,'For Finance Control'!$B$27:$E$27,0)))</f>
        <v>0</v>
      </c>
      <c r="S352" s="45">
        <f>IF(OR(ISERROR($N352),$N352="",$N352="NA"),0,L352*$N352)*(1+INDEX('For Finance Control'!$B$27:$E$29,2,MATCH('Project information'!$A$4,'For Finance Control'!$B$27:$E$27,0)))</f>
        <v>0</v>
      </c>
      <c r="T352" s="45">
        <f t="shared" si="318"/>
        <v>0</v>
      </c>
      <c r="U352" s="33" cm="1">
        <f t="array" ref="U352">IF($N352="NA","NA",$N352*INDEX('Exchange rate'!$A$1:$G$7,MATCH('Project information'!$A$13,'Exchange rate'!$A$1:$A$7,0),MATCH(LOOKUP(2,1/({"China";"Korea";"India";"Japan";"EUR";"NAO"}=$E352),{"CNY";"KRW";"INR";"JPY";"EUR";"USD"}),'Exchange rate'!$A$1:$G$1,0)))</f>
        <v>118528</v>
      </c>
      <c r="V352" s="33">
        <f t="shared" si="319"/>
        <v>0</v>
      </c>
      <c r="W352" s="33">
        <f t="shared" si="320"/>
        <v>0</v>
      </c>
      <c r="X352" s="33">
        <f t="shared" si="321"/>
        <v>0</v>
      </c>
      <c r="Y352" s="33">
        <f t="shared" si="322"/>
        <v>0</v>
      </c>
      <c r="Z352" s="33">
        <f t="shared" si="323"/>
        <v>0</v>
      </c>
      <c r="AA352" s="33">
        <f t="shared" si="324"/>
        <v>0</v>
      </c>
      <c r="AB352" s="246"/>
      <c r="AC352" s="247"/>
      <c r="AZ352" s="148" t="str">
        <f t="shared" si="309"/>
        <v>5.230</v>
      </c>
      <c r="BA352" s="149" t="s">
        <v>177</v>
      </c>
    </row>
    <row r="353" spans="1:53" ht="62.5" outlineLevel="1">
      <c r="A353" s="148" t="str">
        <f t="shared" si="308"/>
        <v>5.231</v>
      </c>
      <c r="B353" s="148" t="str">
        <f>INDEX('Standard cost - Testing'!$A$1:$N$497,MATCH(RIGHT($C353,4),'Standard cost - Testing'!$A$1:$A$497,0),3)</f>
        <v>LVE</v>
      </c>
      <c r="C353" s="149" t="str">
        <f>'Standard cost - Testing'!B232&amp;" - "&amp;'Standard cost - Testing'!A232</f>
        <v>Thermal - T004</v>
      </c>
      <c r="D353" s="150" t="str">
        <f>IF(RIGHT(INDEX('Standard cost - Testing'!$A$1:$N$497,MATCH(RIGHT($C353,4),'Standard cost - Testing'!$A$1:$A$497,0),4),1)="]",INDEX('Standard cost - Testing'!$A$1:$N$497,MATCH(RIGHT($C353,4),'Standard cost - Testing'!$A$1:$A$497,0),4),IF(INDEX('Standard cost - Testing'!$A$1:$N$497,MATCH(RIGHT($C353,4),'Standard cost - Testing'!$A$1:$A$497,0),10)=1,INDEX('Standard cost - Testing'!$A$1:$N$497,MATCH(RIGHT($C353,4),'Standard cost - Testing'!$A$1:$A$497,0),4)&amp;" [1 part]",INDEX('Standard cost - Testing'!$A$1:$N$497,MATCH(RIGHT($C353,4),'Standard cost - Testing'!$A$1:$A$497,0),4)&amp;" ["&amp;INDEX('Standard cost - Testing'!$A$1:$N$497,MATCH(RIGHT($C353,4),'Standard cost - Testing'!$A$1:$A$497,0),10)&amp;" parts]"))</f>
        <v>Cold end thermal shock test (5min-5min) @ 1600 cycles
1. Max mass flow rate:500 kg/h
2. Two samples have to be tested at same time [2 parts]</v>
      </c>
      <c r="E353" s="51" t="str">
        <f>IF('Project information'!$A$4="","",'Project information'!$A$4)</f>
        <v>China</v>
      </c>
      <c r="F353" s="149" t="str">
        <f>INDEX('Standard cost - Testing'!$A$1:$N$497,MATCH(RIGHT($C353,4),'Standard cost - Testing'!$A$1:$A$497,0),5)</f>
        <v>Audi</v>
      </c>
      <c r="G353" s="149" t="str">
        <f>IF($E353='Standard cost - Testing'!$F$1,INDEX('Standard cost - Testing'!$A$1:$N$497,MATCH(RIGHT($C353,4),'Standard cost - Testing'!$A$1:$A$497,0),6),INDEX('Standard cost - Testing'!$A$1:$N$497,MATCH(RIGHT($C353,4),'Standard cost - Testing'!$A$1:$A$497,0),7))</f>
        <v>Non-standard</v>
      </c>
      <c r="H353" s="46"/>
      <c r="I353" s="46"/>
      <c r="J353" s="46"/>
      <c r="K353" s="46"/>
      <c r="L353" s="46"/>
      <c r="M353" s="33">
        <f t="shared" si="307"/>
        <v>0</v>
      </c>
      <c r="N353" s="157">
        <f>IF(E353="","",IF(ISERROR(INDEX('Standard cost - Testing'!$A$1:$N$497,MATCH(RIGHT($C353,4),'Standard cost - Testing'!$A$1:$A$497,0),MATCH($E353,'Standard cost - Testing'!$K$1:$N$1,0)+10)),"NA",INDEX('Standard cost - Testing'!$A$1:$N$497,MATCH(RIGHT($C353,4),'Standard cost - Testing'!$A$1:$A$497,0),MATCH($E353,'Standard cost - Testing'!$K$1:$N$1,0)+10)))</f>
        <v>178370</v>
      </c>
      <c r="O353" s="45">
        <f>IF(OR(ISERROR($N353),$N353="",$N353="NA"),0,H353*$N353)*(1+INDEX('For Finance Control'!$B$27:$E$29,2,MATCH('Project information'!$A$4,'For Finance Control'!$B$27:$E$27,0)))</f>
        <v>0</v>
      </c>
      <c r="P353" s="45">
        <f>IF(OR(ISERROR($N353),$N353="",$N353="NA"),0,I353*$N353)*(1+INDEX('For Finance Control'!$B$27:$E$29,2,MATCH('Project information'!$A$4,'For Finance Control'!$B$27:$E$27,0)))</f>
        <v>0</v>
      </c>
      <c r="Q353" s="45">
        <f>IF(OR(ISERROR($N353),$N353="",$N353="NA"),0,J353*$N353)*(1+INDEX('For Finance Control'!$B$27:$E$29,2,MATCH('Project information'!$A$4,'For Finance Control'!$B$27:$E$27,0)))</f>
        <v>0</v>
      </c>
      <c r="R353" s="45">
        <f>IF(OR(ISERROR($N353),$N353="",$N353="NA"),0,K353*$N353)*(1+INDEX('For Finance Control'!$B$27:$E$29,2,MATCH('Project information'!$A$4,'For Finance Control'!$B$27:$E$27,0)))</f>
        <v>0</v>
      </c>
      <c r="S353" s="45">
        <f>IF(OR(ISERROR($N353),$N353="",$N353="NA"),0,L353*$N353)*(1+INDEX('For Finance Control'!$B$27:$E$29,2,MATCH('Project information'!$A$4,'For Finance Control'!$B$27:$E$27,0)))</f>
        <v>0</v>
      </c>
      <c r="T353" s="45">
        <f t="shared" si="318"/>
        <v>0</v>
      </c>
      <c r="U353" s="33" cm="1">
        <f t="array" ref="U353">IF($N353="NA","NA",$N353*INDEX('Exchange rate'!$A$1:$G$7,MATCH('Project information'!$A$13,'Exchange rate'!$A$1:$A$7,0),MATCH(LOOKUP(2,1/({"China";"Korea";"India";"Japan";"EUR";"NAO"}=$E353),{"CNY";"KRW";"INR";"JPY";"EUR";"USD"}),'Exchange rate'!$A$1:$G$1,0)))</f>
        <v>178370</v>
      </c>
      <c r="V353" s="33">
        <f t="shared" si="319"/>
        <v>0</v>
      </c>
      <c r="W353" s="33">
        <f t="shared" si="320"/>
        <v>0</v>
      </c>
      <c r="X353" s="33">
        <f t="shared" si="321"/>
        <v>0</v>
      </c>
      <c r="Y353" s="33">
        <f t="shared" si="322"/>
        <v>0</v>
      </c>
      <c r="Z353" s="33">
        <f t="shared" si="323"/>
        <v>0</v>
      </c>
      <c r="AA353" s="33">
        <f t="shared" si="324"/>
        <v>0</v>
      </c>
      <c r="AB353" s="246"/>
      <c r="AC353" s="247"/>
      <c r="AZ353" s="148" t="str">
        <f t="shared" si="309"/>
        <v>5.231</v>
      </c>
      <c r="BA353" s="149" t="s">
        <v>177</v>
      </c>
    </row>
    <row r="354" spans="1:53" ht="62.5" outlineLevel="1">
      <c r="A354" s="148" t="str">
        <f t="shared" si="308"/>
        <v>5.232</v>
      </c>
      <c r="B354" s="148" t="str">
        <f>INDEX('Standard cost - Testing'!$A$1:$N$497,MATCH(RIGHT($C354,4),'Standard cost - Testing'!$A$1:$A$497,0),3)</f>
        <v>LVE</v>
      </c>
      <c r="C354" s="149" t="str">
        <f>'Standard cost - Testing'!B233&amp;" - "&amp;'Standard cost - Testing'!A233</f>
        <v>Thermal - T005</v>
      </c>
      <c r="D354" s="150" t="str">
        <f>IF(RIGHT(INDEX('Standard cost - Testing'!$A$1:$N$497,MATCH(RIGHT($C354,4),'Standard cost - Testing'!$A$1:$A$497,0),4),1)="]",INDEX('Standard cost - Testing'!$A$1:$N$497,MATCH(RIGHT($C354,4),'Standard cost - Testing'!$A$1:$A$497,0),4),IF(INDEX('Standard cost - Testing'!$A$1:$N$497,MATCH(RIGHT($C354,4),'Standard cost - Testing'!$A$1:$A$497,0),10)=1,INDEX('Standard cost - Testing'!$A$1:$N$497,MATCH(RIGHT($C354,4),'Standard cost - Testing'!$A$1:$A$497,0),4)&amp;" [1 part]",INDEX('Standard cost - Testing'!$A$1:$N$497,MATCH(RIGHT($C354,4),'Standard cost - Testing'!$A$1:$A$497,0),4)&amp;" ["&amp;INDEX('Standard cost - Testing'!$A$1:$N$497,MATCH(RIGHT($C354,4),'Standard cost - Testing'!$A$1:$A$497,0),10)&amp;" parts]"))</f>
        <v>Cold end thermal shock test (9min-7min) @ 1000 cycles
1. Max mass flow rate:500 kg/h
2. Two samples have to be tested at same time [2 parts]</v>
      </c>
      <c r="E354" s="51" t="str">
        <f>IF('Project information'!$A$4="","",'Project information'!$A$4)</f>
        <v>China</v>
      </c>
      <c r="F354" s="149" t="str">
        <f>INDEX('Standard cost - Testing'!$A$1:$N$497,MATCH(RIGHT($C354,4),'Standard cost - Testing'!$A$1:$A$497,0),5)</f>
        <v>Audi</v>
      </c>
      <c r="G354" s="149" t="str">
        <f>IF($E354='Standard cost - Testing'!$F$1,INDEX('Standard cost - Testing'!$A$1:$N$497,MATCH(RIGHT($C354,4),'Standard cost - Testing'!$A$1:$A$497,0),6),INDEX('Standard cost - Testing'!$A$1:$N$497,MATCH(RIGHT($C354,4),'Standard cost - Testing'!$A$1:$A$497,0),7))</f>
        <v>Non-standard</v>
      </c>
      <c r="H354" s="46"/>
      <c r="I354" s="46"/>
      <c r="J354" s="46"/>
      <c r="K354" s="46"/>
      <c r="L354" s="46"/>
      <c r="M354" s="33">
        <f t="shared" si="307"/>
        <v>0</v>
      </c>
      <c r="N354" s="157">
        <f>IF(E354="","",IF(ISERROR(INDEX('Standard cost - Testing'!$A$1:$N$497,MATCH(RIGHT($C354,4),'Standard cost - Testing'!$A$1:$A$497,0),MATCH($E354,'Standard cost - Testing'!$K$1:$N$1,0)+10)),"NA",INDEX('Standard cost - Testing'!$A$1:$N$497,MATCH(RIGHT($C354,4),'Standard cost - Testing'!$A$1:$A$497,0),MATCH($E354,'Standard cost - Testing'!$K$1:$N$1,0)+10)))</f>
        <v>178370</v>
      </c>
      <c r="O354" s="45">
        <f>IF(OR(ISERROR($N354),$N354="",$N354="NA"),0,H354*$N354)*(1+INDEX('For Finance Control'!$B$27:$E$29,2,MATCH('Project information'!$A$4,'For Finance Control'!$B$27:$E$27,0)))</f>
        <v>0</v>
      </c>
      <c r="P354" s="45">
        <f>IF(OR(ISERROR($N354),$N354="",$N354="NA"),0,I354*$N354)*(1+INDEX('For Finance Control'!$B$27:$E$29,2,MATCH('Project information'!$A$4,'For Finance Control'!$B$27:$E$27,0)))</f>
        <v>0</v>
      </c>
      <c r="Q354" s="45">
        <f>IF(OR(ISERROR($N354),$N354="",$N354="NA"),0,J354*$N354)*(1+INDEX('For Finance Control'!$B$27:$E$29,2,MATCH('Project information'!$A$4,'For Finance Control'!$B$27:$E$27,0)))</f>
        <v>0</v>
      </c>
      <c r="R354" s="45">
        <f>IF(OR(ISERROR($N354),$N354="",$N354="NA"),0,K354*$N354)*(1+INDEX('For Finance Control'!$B$27:$E$29,2,MATCH('Project information'!$A$4,'For Finance Control'!$B$27:$E$27,0)))</f>
        <v>0</v>
      </c>
      <c r="S354" s="45">
        <f>IF(OR(ISERROR($N354),$N354="",$N354="NA"),0,L354*$N354)*(1+INDEX('For Finance Control'!$B$27:$E$29,2,MATCH('Project information'!$A$4,'For Finance Control'!$B$27:$E$27,0)))</f>
        <v>0</v>
      </c>
      <c r="T354" s="45">
        <f t="shared" si="318"/>
        <v>0</v>
      </c>
      <c r="U354" s="33" cm="1">
        <f t="array" ref="U354">IF($N354="NA","NA",$N354*INDEX('Exchange rate'!$A$1:$G$7,MATCH('Project information'!$A$13,'Exchange rate'!$A$1:$A$7,0),MATCH(LOOKUP(2,1/({"China";"Korea";"India";"Japan";"EUR";"NAO"}=$E354),{"CNY";"KRW";"INR";"JPY";"EUR";"USD"}),'Exchange rate'!$A$1:$G$1,0)))</f>
        <v>178370</v>
      </c>
      <c r="V354" s="33">
        <f t="shared" si="319"/>
        <v>0</v>
      </c>
      <c r="W354" s="33">
        <f t="shared" si="320"/>
        <v>0</v>
      </c>
      <c r="X354" s="33">
        <f t="shared" si="321"/>
        <v>0</v>
      </c>
      <c r="Y354" s="33">
        <f t="shared" si="322"/>
        <v>0</v>
      </c>
      <c r="Z354" s="33">
        <f t="shared" si="323"/>
        <v>0</v>
      </c>
      <c r="AA354" s="33">
        <f t="shared" si="324"/>
        <v>0</v>
      </c>
      <c r="AB354" s="246"/>
      <c r="AC354" s="247"/>
      <c r="AZ354" s="148" t="str">
        <f t="shared" si="309"/>
        <v>5.232</v>
      </c>
      <c r="BA354" s="149" t="s">
        <v>177</v>
      </c>
    </row>
    <row r="355" spans="1:53" ht="62.5" outlineLevel="1">
      <c r="A355" s="148" t="str">
        <f t="shared" si="308"/>
        <v>5.233</v>
      </c>
      <c r="B355" s="148" t="str">
        <f>INDEX('Standard cost - Testing'!$A$1:$N$497,MATCH(RIGHT($C355,4),'Standard cost - Testing'!$A$1:$A$497,0),3)</f>
        <v>LVE</v>
      </c>
      <c r="C355" s="149" t="str">
        <f>'Standard cost - Testing'!B234&amp;" - "&amp;'Standard cost - Testing'!A234</f>
        <v>Thermal - T006</v>
      </c>
      <c r="D355" s="150" t="str">
        <f>IF(RIGHT(INDEX('Standard cost - Testing'!$A$1:$N$497,MATCH(RIGHT($C355,4),'Standard cost - Testing'!$A$1:$A$497,0),4),1)="]",INDEX('Standard cost - Testing'!$A$1:$N$497,MATCH(RIGHT($C355,4),'Standard cost - Testing'!$A$1:$A$497,0),4),IF(INDEX('Standard cost - Testing'!$A$1:$N$497,MATCH(RIGHT($C355,4),'Standard cost - Testing'!$A$1:$A$497,0),10)=1,INDEX('Standard cost - Testing'!$A$1:$N$497,MATCH(RIGHT($C355,4),'Standard cost - Testing'!$A$1:$A$497,0),4)&amp;" [1 part]",INDEX('Standard cost - Testing'!$A$1:$N$497,MATCH(RIGHT($C355,4),'Standard cost - Testing'!$A$1:$A$497,0),4)&amp;" ["&amp;INDEX('Standard cost - Testing'!$A$1:$N$497,MATCH(RIGHT($C355,4),'Standard cost - Testing'!$A$1:$A$497,0),10)&amp;" parts]"))</f>
        <v>Cold end thermal shock test (7min-7min) @ 1500 cycles
1. Max mass flow rate:500 kg/h
2. Two samples have to be tested at same time [2 parts]</v>
      </c>
      <c r="E355" s="51" t="str">
        <f>IF('Project information'!$A$4="","",'Project information'!$A$4)</f>
        <v>China</v>
      </c>
      <c r="F355" s="149" t="str">
        <f>INDEX('Standard cost - Testing'!$A$1:$N$497,MATCH(RIGHT($C355,4),'Standard cost - Testing'!$A$1:$A$497,0),5)</f>
        <v>VW</v>
      </c>
      <c r="G355" s="149" t="str">
        <f>IF($E355='Standard cost - Testing'!$F$1,INDEX('Standard cost - Testing'!$A$1:$N$497,MATCH(RIGHT($C355,4),'Standard cost - Testing'!$A$1:$A$497,0),6),INDEX('Standard cost - Testing'!$A$1:$N$497,MATCH(RIGHT($C355,4),'Standard cost - Testing'!$A$1:$A$497,0),7))</f>
        <v>Non-standard</v>
      </c>
      <c r="H355" s="46"/>
      <c r="I355" s="46"/>
      <c r="J355" s="46"/>
      <c r="K355" s="46"/>
      <c r="L355" s="46"/>
      <c r="M355" s="33">
        <f t="shared" si="307"/>
        <v>0</v>
      </c>
      <c r="N355" s="157">
        <f>IF(E355="","",IF(ISERROR(INDEX('Standard cost - Testing'!$A$1:$N$497,MATCH(RIGHT($C355,4),'Standard cost - Testing'!$A$1:$A$497,0),MATCH($E355,'Standard cost - Testing'!$K$1:$N$1,0)+10)),"NA",INDEX('Standard cost - Testing'!$A$1:$N$497,MATCH(RIGHT($C355,4),'Standard cost - Testing'!$A$1:$A$497,0),MATCH($E355,'Standard cost - Testing'!$K$1:$N$1,0)+10)))</f>
        <v>218725</v>
      </c>
      <c r="O355" s="45">
        <f>IF(OR(ISERROR($N355),$N355="",$N355="NA"),0,H355*$N355)*(1+INDEX('For Finance Control'!$B$27:$E$29,2,MATCH('Project information'!$A$4,'For Finance Control'!$B$27:$E$27,0)))</f>
        <v>0</v>
      </c>
      <c r="P355" s="45">
        <f>IF(OR(ISERROR($N355),$N355="",$N355="NA"),0,I355*$N355)*(1+INDEX('For Finance Control'!$B$27:$E$29,2,MATCH('Project information'!$A$4,'For Finance Control'!$B$27:$E$27,0)))</f>
        <v>0</v>
      </c>
      <c r="Q355" s="45">
        <f>IF(OR(ISERROR($N355),$N355="",$N355="NA"),0,J355*$N355)*(1+INDEX('For Finance Control'!$B$27:$E$29,2,MATCH('Project information'!$A$4,'For Finance Control'!$B$27:$E$27,0)))</f>
        <v>0</v>
      </c>
      <c r="R355" s="45">
        <f>IF(OR(ISERROR($N355),$N355="",$N355="NA"),0,K355*$N355)*(1+INDEX('For Finance Control'!$B$27:$E$29,2,MATCH('Project information'!$A$4,'For Finance Control'!$B$27:$E$27,0)))</f>
        <v>0</v>
      </c>
      <c r="S355" s="45">
        <f>IF(OR(ISERROR($N355),$N355="",$N355="NA"),0,L355*$N355)*(1+INDEX('For Finance Control'!$B$27:$E$29,2,MATCH('Project information'!$A$4,'For Finance Control'!$B$27:$E$27,0)))</f>
        <v>0</v>
      </c>
      <c r="T355" s="45">
        <f t="shared" si="318"/>
        <v>0</v>
      </c>
      <c r="U355" s="33" cm="1">
        <f t="array" ref="U355">IF($N355="NA","NA",$N355*INDEX('Exchange rate'!$A$1:$G$7,MATCH('Project information'!$A$13,'Exchange rate'!$A$1:$A$7,0),MATCH(LOOKUP(2,1/({"China";"Korea";"India";"Japan";"EUR";"NAO"}=$E355),{"CNY";"KRW";"INR";"JPY";"EUR";"USD"}),'Exchange rate'!$A$1:$G$1,0)))</f>
        <v>218725</v>
      </c>
      <c r="V355" s="33">
        <f t="shared" si="319"/>
        <v>0</v>
      </c>
      <c r="W355" s="33">
        <f t="shared" si="320"/>
        <v>0</v>
      </c>
      <c r="X355" s="33">
        <f t="shared" si="321"/>
        <v>0</v>
      </c>
      <c r="Y355" s="33">
        <f t="shared" si="322"/>
        <v>0</v>
      </c>
      <c r="Z355" s="33">
        <f t="shared" si="323"/>
        <v>0</v>
      </c>
      <c r="AA355" s="33">
        <f t="shared" si="324"/>
        <v>0</v>
      </c>
      <c r="AB355" s="246"/>
      <c r="AC355" s="247"/>
      <c r="AZ355" s="148" t="str">
        <f t="shared" si="309"/>
        <v>5.233</v>
      </c>
      <c r="BA355" s="149" t="s">
        <v>177</v>
      </c>
    </row>
    <row r="356" spans="1:53" ht="62.5" outlineLevel="1">
      <c r="A356" s="148" t="str">
        <f t="shared" si="308"/>
        <v>5.234</v>
      </c>
      <c r="B356" s="148" t="str">
        <f>INDEX('Standard cost - Testing'!$A$1:$N$497,MATCH(RIGHT($C356,4),'Standard cost - Testing'!$A$1:$A$497,0),3)</f>
        <v>LVE</v>
      </c>
      <c r="C356" s="149" t="str">
        <f>'Standard cost - Testing'!B235&amp;" - "&amp;'Standard cost - Testing'!A235</f>
        <v>Thermal - T007</v>
      </c>
      <c r="D356" s="150" t="str">
        <f>IF(RIGHT(INDEX('Standard cost - Testing'!$A$1:$N$497,MATCH(RIGHT($C356,4),'Standard cost - Testing'!$A$1:$A$497,0),4),1)="]",INDEX('Standard cost - Testing'!$A$1:$N$497,MATCH(RIGHT($C356,4),'Standard cost - Testing'!$A$1:$A$497,0),4),IF(INDEX('Standard cost - Testing'!$A$1:$N$497,MATCH(RIGHT($C356,4),'Standard cost - Testing'!$A$1:$A$497,0),10)=1,INDEX('Standard cost - Testing'!$A$1:$N$497,MATCH(RIGHT($C356,4),'Standard cost - Testing'!$A$1:$A$497,0),4)&amp;" [1 part]",INDEX('Standard cost - Testing'!$A$1:$N$497,MATCH(RIGHT($C356,4),'Standard cost - Testing'!$A$1:$A$497,0),4)&amp;" ["&amp;INDEX('Standard cost - Testing'!$A$1:$N$497,MATCH(RIGHT($C356,4),'Standard cost - Testing'!$A$1:$A$497,0),10)&amp;" parts]"))</f>
        <v>Cold end thermal shock test (5min-5min) @ 1000 cycles
1. Max mass flow rate:500 kg/h
2. Two samples have to be tested at same time [2 parts]</v>
      </c>
      <c r="E356" s="51" t="str">
        <f>IF('Project information'!$A$4="","",'Project information'!$A$4)</f>
        <v>China</v>
      </c>
      <c r="F356" s="149" t="str">
        <f>INDEX('Standard cost - Testing'!$A$1:$N$497,MATCH(RIGHT($C356,4),'Standard cost - Testing'!$A$1:$A$497,0),5)</f>
        <v>VW</v>
      </c>
      <c r="G356" s="149" t="str">
        <f>IF($E356='Standard cost - Testing'!$F$1,INDEX('Standard cost - Testing'!$A$1:$N$497,MATCH(RIGHT($C356,4),'Standard cost - Testing'!$A$1:$A$497,0),6),INDEX('Standard cost - Testing'!$A$1:$N$497,MATCH(RIGHT($C356,4),'Standard cost - Testing'!$A$1:$A$497,0),7))</f>
        <v>Non-standard</v>
      </c>
      <c r="H356" s="46"/>
      <c r="I356" s="46"/>
      <c r="J356" s="46"/>
      <c r="K356" s="46"/>
      <c r="L356" s="46"/>
      <c r="M356" s="33">
        <f t="shared" si="307"/>
        <v>0</v>
      </c>
      <c r="N356" s="157">
        <f>IF(E356="","",IF(ISERROR(INDEX('Standard cost - Testing'!$A$1:$N$497,MATCH(RIGHT($C356,4),'Standard cost - Testing'!$A$1:$A$497,0),MATCH($E356,'Standard cost - Testing'!$K$1:$N$1,0)+10)),"NA",INDEX('Standard cost - Testing'!$A$1:$N$497,MATCH(RIGHT($C356,4),'Standard cost - Testing'!$A$1:$A$497,0),MATCH($E356,'Standard cost - Testing'!$K$1:$N$1,0)+10)))</f>
        <v>118528</v>
      </c>
      <c r="O356" s="45">
        <f>IF(OR(ISERROR($N356),$N356="",$N356="NA"),0,H356*$N356)*(1+INDEX('For Finance Control'!$B$27:$E$29,2,MATCH('Project information'!$A$4,'For Finance Control'!$B$27:$E$27,0)))</f>
        <v>0</v>
      </c>
      <c r="P356" s="45">
        <f>IF(OR(ISERROR($N356),$N356="",$N356="NA"),0,I356*$N356)*(1+INDEX('For Finance Control'!$B$27:$E$29,2,MATCH('Project information'!$A$4,'For Finance Control'!$B$27:$E$27,0)))</f>
        <v>0</v>
      </c>
      <c r="Q356" s="45">
        <f>IF(OR(ISERROR($N356),$N356="",$N356="NA"),0,J356*$N356)*(1+INDEX('For Finance Control'!$B$27:$E$29,2,MATCH('Project information'!$A$4,'For Finance Control'!$B$27:$E$27,0)))</f>
        <v>0</v>
      </c>
      <c r="R356" s="45">
        <f>IF(OR(ISERROR($N356),$N356="",$N356="NA"),0,K356*$N356)*(1+INDEX('For Finance Control'!$B$27:$E$29,2,MATCH('Project information'!$A$4,'For Finance Control'!$B$27:$E$27,0)))</f>
        <v>0</v>
      </c>
      <c r="S356" s="45">
        <f>IF(OR(ISERROR($N356),$N356="",$N356="NA"),0,L356*$N356)*(1+INDEX('For Finance Control'!$B$27:$E$29,2,MATCH('Project information'!$A$4,'For Finance Control'!$B$27:$E$27,0)))</f>
        <v>0</v>
      </c>
      <c r="T356" s="45">
        <f t="shared" si="318"/>
        <v>0</v>
      </c>
      <c r="U356" s="33" cm="1">
        <f t="array" ref="U356">IF($N356="NA","NA",$N356*INDEX('Exchange rate'!$A$1:$G$7,MATCH('Project information'!$A$13,'Exchange rate'!$A$1:$A$7,0),MATCH(LOOKUP(2,1/({"China";"Korea";"India";"Japan";"EUR";"NAO"}=$E356),{"CNY";"KRW";"INR";"JPY";"EUR";"USD"}),'Exchange rate'!$A$1:$G$1,0)))</f>
        <v>118528</v>
      </c>
      <c r="V356" s="33">
        <f t="shared" si="319"/>
        <v>0</v>
      </c>
      <c r="W356" s="33">
        <f t="shared" si="320"/>
        <v>0</v>
      </c>
      <c r="X356" s="33">
        <f t="shared" si="321"/>
        <v>0</v>
      </c>
      <c r="Y356" s="33">
        <f t="shared" si="322"/>
        <v>0</v>
      </c>
      <c r="Z356" s="33">
        <f t="shared" si="323"/>
        <v>0</v>
      </c>
      <c r="AA356" s="33">
        <f t="shared" si="324"/>
        <v>0</v>
      </c>
      <c r="AB356" s="246"/>
      <c r="AC356" s="247"/>
      <c r="AZ356" s="148" t="str">
        <f t="shared" si="309"/>
        <v>5.234</v>
      </c>
      <c r="BA356" s="149" t="s">
        <v>177</v>
      </c>
    </row>
    <row r="357" spans="1:53" ht="62.5" outlineLevel="1">
      <c r="A357" s="148" t="str">
        <f t="shared" si="308"/>
        <v>5.235</v>
      </c>
      <c r="B357" s="148" t="str">
        <f>INDEX('Standard cost - Testing'!$A$1:$N$497,MATCH(RIGHT($C357,4),'Standard cost - Testing'!$A$1:$A$497,0),3)</f>
        <v>LVE</v>
      </c>
      <c r="C357" s="149" t="str">
        <f>'Standard cost - Testing'!B236&amp;" - "&amp;'Standard cost - Testing'!A236</f>
        <v>Thermal - T008</v>
      </c>
      <c r="D357" s="150" t="str">
        <f>IF(RIGHT(INDEX('Standard cost - Testing'!$A$1:$N$497,MATCH(RIGHT($C357,4),'Standard cost - Testing'!$A$1:$A$497,0),4),1)="]",INDEX('Standard cost - Testing'!$A$1:$N$497,MATCH(RIGHT($C357,4),'Standard cost - Testing'!$A$1:$A$497,0),4),IF(INDEX('Standard cost - Testing'!$A$1:$N$497,MATCH(RIGHT($C357,4),'Standard cost - Testing'!$A$1:$A$497,0),10)=1,INDEX('Standard cost - Testing'!$A$1:$N$497,MATCH(RIGHT($C357,4),'Standard cost - Testing'!$A$1:$A$497,0),4)&amp;" [1 part]",INDEX('Standard cost - Testing'!$A$1:$N$497,MATCH(RIGHT($C357,4),'Standard cost - Testing'!$A$1:$A$497,0),4)&amp;" ["&amp;INDEX('Standard cost - Testing'!$A$1:$N$497,MATCH(RIGHT($C357,4),'Standard cost - Testing'!$A$1:$A$497,0),10)&amp;" parts]"))</f>
        <v>Cold end thermal shock test (5min-5min) @ 1600 cycles
1. Max mass flow rate:500 kg/h
2. Two samples have to be tested at same time [2 parts]</v>
      </c>
      <c r="E357" s="51" t="str">
        <f>IF('Project information'!$A$4="","",'Project information'!$A$4)</f>
        <v>China</v>
      </c>
      <c r="F357" s="149" t="str">
        <f>INDEX('Standard cost - Testing'!$A$1:$N$497,MATCH(RIGHT($C357,4),'Standard cost - Testing'!$A$1:$A$497,0),5)</f>
        <v>VW</v>
      </c>
      <c r="G357" s="149" t="str">
        <f>IF($E357='Standard cost - Testing'!$F$1,INDEX('Standard cost - Testing'!$A$1:$N$497,MATCH(RIGHT($C357,4),'Standard cost - Testing'!$A$1:$A$497,0),6),INDEX('Standard cost - Testing'!$A$1:$N$497,MATCH(RIGHT($C357,4),'Standard cost - Testing'!$A$1:$A$497,0),7))</f>
        <v>Non-standard</v>
      </c>
      <c r="H357" s="46"/>
      <c r="I357" s="46"/>
      <c r="J357" s="46"/>
      <c r="K357" s="46"/>
      <c r="L357" s="46"/>
      <c r="M357" s="33">
        <f t="shared" si="307"/>
        <v>0</v>
      </c>
      <c r="N357" s="157">
        <f>IF(E357="","",IF(ISERROR(INDEX('Standard cost - Testing'!$A$1:$N$497,MATCH(RIGHT($C357,4),'Standard cost - Testing'!$A$1:$A$497,0),MATCH($E357,'Standard cost - Testing'!$K$1:$N$1,0)+10)),"NA",INDEX('Standard cost - Testing'!$A$1:$N$497,MATCH(RIGHT($C357,4),'Standard cost - Testing'!$A$1:$A$497,0),MATCH($E357,'Standard cost - Testing'!$K$1:$N$1,0)+10)))</f>
        <v>178370</v>
      </c>
      <c r="O357" s="45">
        <f>IF(OR(ISERROR($N357),$N357="",$N357="NA"),0,H357*$N357)*(1+INDEX('For Finance Control'!$B$27:$E$29,2,MATCH('Project information'!$A$4,'For Finance Control'!$B$27:$E$27,0)))</f>
        <v>0</v>
      </c>
      <c r="P357" s="45">
        <f>IF(OR(ISERROR($N357),$N357="",$N357="NA"),0,I357*$N357)*(1+INDEX('For Finance Control'!$B$27:$E$29,2,MATCH('Project information'!$A$4,'For Finance Control'!$B$27:$E$27,0)))</f>
        <v>0</v>
      </c>
      <c r="Q357" s="45">
        <f>IF(OR(ISERROR($N357),$N357="",$N357="NA"),0,J357*$N357)*(1+INDEX('For Finance Control'!$B$27:$E$29,2,MATCH('Project information'!$A$4,'For Finance Control'!$B$27:$E$27,0)))</f>
        <v>0</v>
      </c>
      <c r="R357" s="45">
        <f>IF(OR(ISERROR($N357),$N357="",$N357="NA"),0,K357*$N357)*(1+INDEX('For Finance Control'!$B$27:$E$29,2,MATCH('Project information'!$A$4,'For Finance Control'!$B$27:$E$27,0)))</f>
        <v>0</v>
      </c>
      <c r="S357" s="45">
        <f>IF(OR(ISERROR($N357),$N357="",$N357="NA"),0,L357*$N357)*(1+INDEX('For Finance Control'!$B$27:$E$29,2,MATCH('Project information'!$A$4,'For Finance Control'!$B$27:$E$27,0)))</f>
        <v>0</v>
      </c>
      <c r="T357" s="45">
        <f t="shared" si="318"/>
        <v>0</v>
      </c>
      <c r="U357" s="33" cm="1">
        <f t="array" ref="U357">IF($N357="NA","NA",$N357*INDEX('Exchange rate'!$A$1:$G$7,MATCH('Project information'!$A$13,'Exchange rate'!$A$1:$A$7,0),MATCH(LOOKUP(2,1/({"China";"Korea";"India";"Japan";"EUR";"NAO"}=$E357),{"CNY";"KRW";"INR";"JPY";"EUR";"USD"}),'Exchange rate'!$A$1:$G$1,0)))</f>
        <v>178370</v>
      </c>
      <c r="V357" s="33">
        <f t="shared" si="319"/>
        <v>0</v>
      </c>
      <c r="W357" s="33">
        <f t="shared" si="320"/>
        <v>0</v>
      </c>
      <c r="X357" s="33">
        <f t="shared" si="321"/>
        <v>0</v>
      </c>
      <c r="Y357" s="33">
        <f t="shared" si="322"/>
        <v>0</v>
      </c>
      <c r="Z357" s="33">
        <f t="shared" si="323"/>
        <v>0</v>
      </c>
      <c r="AA357" s="33">
        <f t="shared" si="324"/>
        <v>0</v>
      </c>
      <c r="AB357" s="246"/>
      <c r="AC357" s="247"/>
      <c r="AZ357" s="148" t="str">
        <f t="shared" si="309"/>
        <v>5.235</v>
      </c>
      <c r="BA357" s="149" t="s">
        <v>431</v>
      </c>
    </row>
    <row r="358" spans="1:53" ht="62.5" outlineLevel="1">
      <c r="A358" s="148" t="str">
        <f t="shared" si="308"/>
        <v>5.236</v>
      </c>
      <c r="B358" s="148" t="str">
        <f>INDEX('Standard cost - Testing'!$A$1:$N$497,MATCH(RIGHT($C358,4),'Standard cost - Testing'!$A$1:$A$497,0),3)</f>
        <v>LVE</v>
      </c>
      <c r="C358" s="149" t="str">
        <f>'Standard cost - Testing'!B237&amp;" - "&amp;'Standard cost - Testing'!A237</f>
        <v>Thermal - T009</v>
      </c>
      <c r="D358" s="150" t="str">
        <f>IF(RIGHT(INDEX('Standard cost - Testing'!$A$1:$N$497,MATCH(RIGHT($C358,4),'Standard cost - Testing'!$A$1:$A$497,0),4),1)="]",INDEX('Standard cost - Testing'!$A$1:$N$497,MATCH(RIGHT($C358,4),'Standard cost - Testing'!$A$1:$A$497,0),4),IF(INDEX('Standard cost - Testing'!$A$1:$N$497,MATCH(RIGHT($C358,4),'Standard cost - Testing'!$A$1:$A$497,0),10)=1,INDEX('Standard cost - Testing'!$A$1:$N$497,MATCH(RIGHT($C358,4),'Standard cost - Testing'!$A$1:$A$497,0),4)&amp;" [1 part]",INDEX('Standard cost - Testing'!$A$1:$N$497,MATCH(RIGHT($C358,4),'Standard cost - Testing'!$A$1:$A$497,0),4)&amp;" ["&amp;INDEX('Standard cost - Testing'!$A$1:$N$497,MATCH(RIGHT($C358,4),'Standard cost - Testing'!$A$1:$A$497,0),10)&amp;" parts]"))</f>
        <v>Cold end thermal shock test (9min-7min) @ 1000 cycles
1. Max mass flow rate:500 kg/h
2. Two samples have to be tested at same time [2 parts]</v>
      </c>
      <c r="E358" s="51" t="str">
        <f>IF('Project information'!$A$4="","",'Project information'!$A$4)</f>
        <v>China</v>
      </c>
      <c r="F358" s="149" t="str">
        <f>INDEX('Standard cost - Testing'!$A$1:$N$497,MATCH(RIGHT($C358,4),'Standard cost - Testing'!$A$1:$A$497,0),5)</f>
        <v>VW</v>
      </c>
      <c r="G358" s="149" t="str">
        <f>IF($E358='Standard cost - Testing'!$F$1,INDEX('Standard cost - Testing'!$A$1:$N$497,MATCH(RIGHT($C358,4),'Standard cost - Testing'!$A$1:$A$497,0),6),INDEX('Standard cost - Testing'!$A$1:$N$497,MATCH(RIGHT($C358,4),'Standard cost - Testing'!$A$1:$A$497,0),7))</f>
        <v>Non-standard</v>
      </c>
      <c r="H358" s="46"/>
      <c r="I358" s="46"/>
      <c r="J358" s="46"/>
      <c r="K358" s="46"/>
      <c r="L358" s="46"/>
      <c r="M358" s="33">
        <f t="shared" ref="M358:M372" si="325">SUM(H358:L358)</f>
        <v>0</v>
      </c>
      <c r="N358" s="157">
        <f>IF(E358="","",IF(ISERROR(INDEX('Standard cost - Testing'!$A$1:$N$497,MATCH(RIGHT($C358,4),'Standard cost - Testing'!$A$1:$A$497,0),MATCH($E358,'Standard cost - Testing'!$K$1:$N$1,0)+10)),"NA",INDEX('Standard cost - Testing'!$A$1:$N$497,MATCH(RIGHT($C358,4),'Standard cost - Testing'!$A$1:$A$497,0),MATCH($E358,'Standard cost - Testing'!$K$1:$N$1,0)+10)))</f>
        <v>178370</v>
      </c>
      <c r="O358" s="45">
        <f>IF(OR(ISERROR($N358),$N358="",$N358="NA"),0,H358*$N358)*(1+INDEX('For Finance Control'!$B$27:$E$29,2,MATCH('Project information'!$A$4,'For Finance Control'!$B$27:$E$27,0)))</f>
        <v>0</v>
      </c>
      <c r="P358" s="45">
        <f>IF(OR(ISERROR($N358),$N358="",$N358="NA"),0,I358*$N358)*(1+INDEX('For Finance Control'!$B$27:$E$29,2,MATCH('Project information'!$A$4,'For Finance Control'!$B$27:$E$27,0)))</f>
        <v>0</v>
      </c>
      <c r="Q358" s="45">
        <f>IF(OR(ISERROR($N358),$N358="",$N358="NA"),0,J358*$N358)*(1+INDEX('For Finance Control'!$B$27:$E$29,2,MATCH('Project information'!$A$4,'For Finance Control'!$B$27:$E$27,0)))</f>
        <v>0</v>
      </c>
      <c r="R358" s="45">
        <f>IF(OR(ISERROR($N358),$N358="",$N358="NA"),0,K358*$N358)*(1+INDEX('For Finance Control'!$B$27:$E$29,2,MATCH('Project information'!$A$4,'For Finance Control'!$B$27:$E$27,0)))</f>
        <v>0</v>
      </c>
      <c r="S358" s="45">
        <f>IF(OR(ISERROR($N358),$N358="",$N358="NA"),0,L358*$N358)*(1+INDEX('For Finance Control'!$B$27:$E$29,2,MATCH('Project information'!$A$4,'For Finance Control'!$B$27:$E$27,0)))</f>
        <v>0</v>
      </c>
      <c r="T358" s="45">
        <f t="shared" si="318"/>
        <v>0</v>
      </c>
      <c r="U358" s="33" cm="1">
        <f t="array" ref="U358">IF($N358="NA","NA",$N358*INDEX('Exchange rate'!$A$1:$G$7,MATCH('Project information'!$A$13,'Exchange rate'!$A$1:$A$7,0),MATCH(LOOKUP(2,1/({"China";"Korea";"India";"Japan";"EUR";"NAO"}=$E358),{"CNY";"KRW";"INR";"JPY";"EUR";"USD"}),'Exchange rate'!$A$1:$G$1,0)))</f>
        <v>178370</v>
      </c>
      <c r="V358" s="33">
        <f t="shared" si="319"/>
        <v>0</v>
      </c>
      <c r="W358" s="33">
        <f t="shared" si="320"/>
        <v>0</v>
      </c>
      <c r="X358" s="33">
        <f t="shared" si="321"/>
        <v>0</v>
      </c>
      <c r="Y358" s="33">
        <f t="shared" si="322"/>
        <v>0</v>
      </c>
      <c r="Z358" s="33">
        <f t="shared" si="323"/>
        <v>0</v>
      </c>
      <c r="AA358" s="33">
        <f t="shared" si="324"/>
        <v>0</v>
      </c>
      <c r="AB358" s="246"/>
      <c r="AC358" s="247"/>
      <c r="AZ358" s="148" t="str">
        <f t="shared" si="309"/>
        <v>5.236</v>
      </c>
      <c r="BA358" s="149" t="s">
        <v>432</v>
      </c>
    </row>
    <row r="359" spans="1:53" ht="25" outlineLevel="1">
      <c r="A359" s="148" t="str">
        <f t="shared" ref="A359:A391" si="326">$A$122&amp;"."&amp;ROW(A359)-ROW($A$122)</f>
        <v>5.237</v>
      </c>
      <c r="B359" s="148" t="str">
        <f>INDEX('Standard cost - Testing'!$A$1:$N$497,MATCH(RIGHT($C359,4),'Standard cost - Testing'!$A$1:$A$497,0),3)</f>
        <v>LVE</v>
      </c>
      <c r="C359" s="149" t="str">
        <f>'Standard cost - Testing'!B238&amp;" - "&amp;'Standard cost - Testing'!A238</f>
        <v>Thermal - T010</v>
      </c>
      <c r="D359" s="150" t="str">
        <f>IF(RIGHT(INDEX('Standard cost - Testing'!$A$1:$N$497,MATCH(RIGHT($C359,4),'Standard cost - Testing'!$A$1:$A$497,0),4),1)="]",INDEX('Standard cost - Testing'!$A$1:$N$497,MATCH(RIGHT($C359,4),'Standard cost - Testing'!$A$1:$A$497,0),4),IF(INDEX('Standard cost - Testing'!$A$1:$N$497,MATCH(RIGHT($C359,4),'Standard cost - Testing'!$A$1:$A$497,0),10)=1,INDEX('Standard cost - Testing'!$A$1:$N$497,MATCH(RIGHT($C359,4),'Standard cost - Testing'!$A$1:$A$497,0),4)&amp;" [1 part]",INDEX('Standard cost - Testing'!$A$1:$N$497,MATCH(RIGHT($C359,4),'Standard cost - Testing'!$A$1:$A$497,0),4)&amp;" ["&amp;INDEX('Standard cost - Testing'!$A$1:$N$497,MATCH(RIGHT($C359,4),'Standard cost - Testing'!$A$1:$A$497,0),10)&amp;" parts]"))</f>
        <v>Hot end thermal Fatigue test - Gasoline [1 part]</v>
      </c>
      <c r="E359" s="51" t="str">
        <f>IF('Project information'!$A$4="","",'Project information'!$A$4)</f>
        <v>China</v>
      </c>
      <c r="F359" s="149" t="str">
        <f>INDEX('Standard cost - Testing'!$A$1:$N$497,MATCH(RIGHT($C359,4),'Standard cost - Testing'!$A$1:$A$497,0),5)</f>
        <v>HMC</v>
      </c>
      <c r="G359" s="149" t="str">
        <f>IF($E359='Standard cost - Testing'!$F$1,INDEX('Standard cost - Testing'!$A$1:$N$497,MATCH(RIGHT($C359,4),'Standard cost - Testing'!$A$1:$A$497,0),6),INDEX('Standard cost - Testing'!$A$1:$N$497,MATCH(RIGHT($C359,4),'Standard cost - Testing'!$A$1:$A$497,0),7))</f>
        <v>ES28530-01 4.3.2</v>
      </c>
      <c r="H359" s="46"/>
      <c r="I359" s="46"/>
      <c r="J359" s="46"/>
      <c r="K359" s="46"/>
      <c r="L359" s="46"/>
      <c r="M359" s="33">
        <f t="shared" si="325"/>
        <v>0</v>
      </c>
      <c r="N359" s="157">
        <f>IF(E359="","",IF(ISERROR(INDEX('Standard cost - Testing'!$A$1:$N$497,MATCH(RIGHT($C359,4),'Standard cost - Testing'!$A$1:$A$497,0),MATCH($E359,'Standard cost - Testing'!$K$1:$N$1,0)+10)),"NA",INDEX('Standard cost - Testing'!$A$1:$N$497,MATCH(RIGHT($C359,4),'Standard cost - Testing'!$A$1:$A$497,0),MATCH($E359,'Standard cost - Testing'!$K$1:$N$1,0)+10)))</f>
        <v>81806</v>
      </c>
      <c r="O359" s="45">
        <f>IF(OR(ISERROR($N359),$N359="",$N359="NA"),0,H359*$N359)*(1+INDEX('For Finance Control'!$B$27:$E$29,2,MATCH('Project information'!$A$4,'For Finance Control'!$B$27:$E$27,0)))</f>
        <v>0</v>
      </c>
      <c r="P359" s="45">
        <f>IF(OR(ISERROR($N359),$N359="",$N359="NA"),0,I359*$N359)*(1+INDEX('For Finance Control'!$B$27:$E$29,2,MATCH('Project information'!$A$4,'For Finance Control'!$B$27:$E$27,0)))</f>
        <v>0</v>
      </c>
      <c r="Q359" s="45">
        <f>IF(OR(ISERROR($N359),$N359="",$N359="NA"),0,J359*$N359)*(1+INDEX('For Finance Control'!$B$27:$E$29,2,MATCH('Project information'!$A$4,'For Finance Control'!$B$27:$E$27,0)))</f>
        <v>0</v>
      </c>
      <c r="R359" s="45">
        <f>IF(OR(ISERROR($N359),$N359="",$N359="NA"),0,K359*$N359)*(1+INDEX('For Finance Control'!$B$27:$E$29,2,MATCH('Project information'!$A$4,'For Finance Control'!$B$27:$E$27,0)))</f>
        <v>0</v>
      </c>
      <c r="S359" s="45">
        <f>IF(OR(ISERROR($N359),$N359="",$N359="NA"),0,L359*$N359)*(1+INDEX('For Finance Control'!$B$27:$E$29,2,MATCH('Project information'!$A$4,'For Finance Control'!$B$27:$E$27,0)))</f>
        <v>0</v>
      </c>
      <c r="T359" s="45">
        <f t="shared" si="318"/>
        <v>0</v>
      </c>
      <c r="U359" s="33" cm="1">
        <f t="array" ref="U359">IF($N359="NA","NA",$N359*INDEX('Exchange rate'!$A$1:$G$7,MATCH('Project information'!$A$13,'Exchange rate'!$A$1:$A$7,0),MATCH(LOOKUP(2,1/({"China";"Korea";"India";"Japan";"EUR";"NAO"}=$E359),{"CNY";"KRW";"INR";"JPY";"EUR";"USD"}),'Exchange rate'!$A$1:$G$1,0)))</f>
        <v>81806</v>
      </c>
      <c r="V359" s="33">
        <f t="shared" si="319"/>
        <v>0</v>
      </c>
      <c r="W359" s="33">
        <f t="shared" si="320"/>
        <v>0</v>
      </c>
      <c r="X359" s="33">
        <f t="shared" si="321"/>
        <v>0</v>
      </c>
      <c r="Y359" s="33">
        <f t="shared" si="322"/>
        <v>0</v>
      </c>
      <c r="Z359" s="33">
        <f t="shared" si="323"/>
        <v>0</v>
      </c>
      <c r="AA359" s="33">
        <f t="shared" si="324"/>
        <v>0</v>
      </c>
      <c r="AB359" s="246"/>
      <c r="AC359" s="247"/>
      <c r="AZ359" s="148" t="str">
        <f t="shared" si="309"/>
        <v>5.237</v>
      </c>
      <c r="BA359" s="149" t="s">
        <v>433</v>
      </c>
    </row>
    <row r="360" spans="1:53" ht="25" outlineLevel="1">
      <c r="A360" s="148" t="str">
        <f t="shared" si="326"/>
        <v>5.238</v>
      </c>
      <c r="B360" s="148" t="str">
        <f>INDEX('Standard cost - Testing'!$A$1:$N$497,MATCH(RIGHT($C360,4),'Standard cost - Testing'!$A$1:$A$497,0),3)</f>
        <v>LVE</v>
      </c>
      <c r="C360" s="149" t="str">
        <f>'Standard cost - Testing'!B239&amp;" - "&amp;'Standard cost - Testing'!A239</f>
        <v>Thermal - T011</v>
      </c>
      <c r="D360" s="150" t="str">
        <f>IF(RIGHT(INDEX('Standard cost - Testing'!$A$1:$N$497,MATCH(RIGHT($C360,4),'Standard cost - Testing'!$A$1:$A$497,0),4),1)="]",INDEX('Standard cost - Testing'!$A$1:$N$497,MATCH(RIGHT($C360,4),'Standard cost - Testing'!$A$1:$A$497,0),4),IF(INDEX('Standard cost - Testing'!$A$1:$N$497,MATCH(RIGHT($C360,4),'Standard cost - Testing'!$A$1:$A$497,0),10)=1,INDEX('Standard cost - Testing'!$A$1:$N$497,MATCH(RIGHT($C360,4),'Standard cost - Testing'!$A$1:$A$497,0),4)&amp;" [1 part]",INDEX('Standard cost - Testing'!$A$1:$N$497,MATCH(RIGHT($C360,4),'Standard cost - Testing'!$A$1:$A$497,0),4)&amp;" ["&amp;INDEX('Standard cost - Testing'!$A$1:$N$497,MATCH(RIGHT($C360,4),'Standard cost - Testing'!$A$1:$A$497,0),10)&amp;" parts]"))</f>
        <v>Hot end water quench test - Gasoline [1 part]</v>
      </c>
      <c r="E360" s="51" t="str">
        <f>IF('Project information'!$A$4="","",'Project information'!$A$4)</f>
        <v>China</v>
      </c>
      <c r="F360" s="149" t="str">
        <f>INDEX('Standard cost - Testing'!$A$1:$N$497,MATCH(RIGHT($C360,4),'Standard cost - Testing'!$A$1:$A$497,0),5)</f>
        <v>HMC</v>
      </c>
      <c r="G360" s="149" t="str">
        <f>IF($E360='Standard cost - Testing'!$F$1,INDEX('Standard cost - Testing'!$A$1:$N$497,MATCH(RIGHT($C360,4),'Standard cost - Testing'!$A$1:$A$497,0),6),INDEX('Standard cost - Testing'!$A$1:$N$497,MATCH(RIGHT($C360,4),'Standard cost - Testing'!$A$1:$A$497,0),7))</f>
        <v>ES28530-01 4.3.3</v>
      </c>
      <c r="H360" s="46"/>
      <c r="I360" s="46"/>
      <c r="J360" s="46"/>
      <c r="K360" s="46"/>
      <c r="L360" s="46"/>
      <c r="M360" s="33">
        <f t="shared" si="325"/>
        <v>0</v>
      </c>
      <c r="N360" s="157">
        <f>IF(E360="","",IF(ISERROR(INDEX('Standard cost - Testing'!$A$1:$N$497,MATCH(RIGHT($C360,4),'Standard cost - Testing'!$A$1:$A$497,0),MATCH($E360,'Standard cost - Testing'!$K$1:$N$1,0)+10)),"NA",INDEX('Standard cost - Testing'!$A$1:$N$497,MATCH(RIGHT($C360,4),'Standard cost - Testing'!$A$1:$A$497,0),MATCH($E360,'Standard cost - Testing'!$K$1:$N$1,0)+10)))</f>
        <v>11174</v>
      </c>
      <c r="O360" s="45">
        <f>IF(OR(ISERROR($N360),$N360="",$N360="NA"),0,H360*$N360)*(1+INDEX('For Finance Control'!$B$27:$E$29,2,MATCH('Project information'!$A$4,'For Finance Control'!$B$27:$E$27,0)))</f>
        <v>0</v>
      </c>
      <c r="P360" s="45">
        <f>IF(OR(ISERROR($N360),$N360="",$N360="NA"),0,I360*$N360)*(1+INDEX('For Finance Control'!$B$27:$E$29,2,MATCH('Project information'!$A$4,'For Finance Control'!$B$27:$E$27,0)))</f>
        <v>0</v>
      </c>
      <c r="Q360" s="45">
        <f>IF(OR(ISERROR($N360),$N360="",$N360="NA"),0,J360*$N360)*(1+INDEX('For Finance Control'!$B$27:$E$29,2,MATCH('Project information'!$A$4,'For Finance Control'!$B$27:$E$27,0)))</f>
        <v>0</v>
      </c>
      <c r="R360" s="45">
        <f>IF(OR(ISERROR($N360),$N360="",$N360="NA"),0,K360*$N360)*(1+INDEX('For Finance Control'!$B$27:$E$29,2,MATCH('Project information'!$A$4,'For Finance Control'!$B$27:$E$27,0)))</f>
        <v>0</v>
      </c>
      <c r="S360" s="45">
        <f>IF(OR(ISERROR($N360),$N360="",$N360="NA"),0,L360*$N360)*(1+INDEX('For Finance Control'!$B$27:$E$29,2,MATCH('Project information'!$A$4,'For Finance Control'!$B$27:$E$27,0)))</f>
        <v>0</v>
      </c>
      <c r="T360" s="45">
        <f t="shared" si="318"/>
        <v>0</v>
      </c>
      <c r="U360" s="33" cm="1">
        <f t="array" ref="U360">IF($N360="NA","NA",$N360*INDEX('Exchange rate'!$A$1:$G$7,MATCH('Project information'!$A$13,'Exchange rate'!$A$1:$A$7,0),MATCH(LOOKUP(2,1/({"China";"Korea";"India";"Japan";"EUR";"NAO"}=$E360),{"CNY";"KRW";"INR";"JPY";"EUR";"USD"}),'Exchange rate'!$A$1:$G$1,0)))</f>
        <v>11174</v>
      </c>
      <c r="V360" s="33">
        <f t="shared" si="319"/>
        <v>0</v>
      </c>
      <c r="W360" s="33">
        <f t="shared" si="320"/>
        <v>0</v>
      </c>
      <c r="X360" s="33">
        <f t="shared" si="321"/>
        <v>0</v>
      </c>
      <c r="Y360" s="33">
        <f t="shared" si="322"/>
        <v>0</v>
      </c>
      <c r="Z360" s="33">
        <f t="shared" si="323"/>
        <v>0</v>
      </c>
      <c r="AA360" s="33">
        <f t="shared" si="324"/>
        <v>0</v>
      </c>
      <c r="AB360" s="246"/>
      <c r="AC360" s="247"/>
      <c r="AZ360" s="148" t="str">
        <f t="shared" ref="AZ360:AZ391" si="327">$A$122&amp;"."&amp;ROW(AZ360)-ROW($A$122)</f>
        <v>5.238</v>
      </c>
      <c r="BA360" s="149" t="s">
        <v>434</v>
      </c>
    </row>
    <row r="361" spans="1:53" ht="25" outlineLevel="1">
      <c r="A361" s="148" t="str">
        <f t="shared" si="326"/>
        <v>5.239</v>
      </c>
      <c r="B361" s="148" t="str">
        <f>INDEX('Standard cost - Testing'!$A$1:$N$497,MATCH(RIGHT($C361,4),'Standard cost - Testing'!$A$1:$A$497,0),3)</f>
        <v>LVE</v>
      </c>
      <c r="C361" s="149" t="str">
        <f>'Standard cost - Testing'!B240&amp;" - "&amp;'Standard cost - Testing'!A240</f>
        <v>Thermal - T012</v>
      </c>
      <c r="D361" s="150" t="str">
        <f>IF(RIGHT(INDEX('Standard cost - Testing'!$A$1:$N$497,MATCH(RIGHT($C361,4),'Standard cost - Testing'!$A$1:$A$497,0),4),1)="]",INDEX('Standard cost - Testing'!$A$1:$N$497,MATCH(RIGHT($C361,4),'Standard cost - Testing'!$A$1:$A$497,0),4),IF(INDEX('Standard cost - Testing'!$A$1:$N$497,MATCH(RIGHT($C361,4),'Standard cost - Testing'!$A$1:$A$497,0),10)=1,INDEX('Standard cost - Testing'!$A$1:$N$497,MATCH(RIGHT($C361,4),'Standard cost - Testing'!$A$1:$A$497,0),4)&amp;" [1 part]",INDEX('Standard cost - Testing'!$A$1:$N$497,MATCH(RIGHT($C361,4),'Standard cost - Testing'!$A$1:$A$497,0),4)&amp;" ["&amp;INDEX('Standard cost - Testing'!$A$1:$N$497,MATCH(RIGHT($C361,4),'Standard cost - Testing'!$A$1:$A$497,0),10)&amp;" parts]"))</f>
        <v>Hot end water quench test - Diesel DOC &amp; DPF [1 part]</v>
      </c>
      <c r="E361" s="51" t="str">
        <f>IF('Project information'!$A$4="","",'Project information'!$A$4)</f>
        <v>China</v>
      </c>
      <c r="F361" s="149" t="str">
        <f>INDEX('Standard cost - Testing'!$A$1:$N$497,MATCH(RIGHT($C361,4),'Standard cost - Testing'!$A$1:$A$497,0),5)</f>
        <v>HMC</v>
      </c>
      <c r="G361" s="149" t="str">
        <f>IF($E361='Standard cost - Testing'!$F$1,INDEX('Standard cost - Testing'!$A$1:$N$497,MATCH(RIGHT($C361,4),'Standard cost - Testing'!$A$1:$A$497,0),6),INDEX('Standard cost - Testing'!$A$1:$N$497,MATCH(RIGHT($C361,4),'Standard cost - Testing'!$A$1:$A$497,0),7))</f>
        <v>ES28530-02 4.3.3
ES28990-01 4.3.3</v>
      </c>
      <c r="H361" s="46"/>
      <c r="I361" s="46"/>
      <c r="J361" s="46"/>
      <c r="K361" s="46"/>
      <c r="L361" s="46"/>
      <c r="M361" s="33">
        <f t="shared" si="325"/>
        <v>0</v>
      </c>
      <c r="N361" s="157">
        <f>IF(E361="","",IF(ISERROR(INDEX('Standard cost - Testing'!$A$1:$N$497,MATCH(RIGHT($C361,4),'Standard cost - Testing'!$A$1:$A$497,0),MATCH($E361,'Standard cost - Testing'!$K$1:$N$1,0)+10)),"NA",INDEX('Standard cost - Testing'!$A$1:$N$497,MATCH(RIGHT($C361,4),'Standard cost - Testing'!$A$1:$A$497,0),MATCH($E361,'Standard cost - Testing'!$K$1:$N$1,0)+10)))</f>
        <v>11174</v>
      </c>
      <c r="O361" s="45">
        <f>IF(OR(ISERROR($N361),$N361="",$N361="NA"),0,H361*$N361)*(1+INDEX('For Finance Control'!$B$27:$E$29,2,MATCH('Project information'!$A$4,'For Finance Control'!$B$27:$E$27,0)))</f>
        <v>0</v>
      </c>
      <c r="P361" s="45">
        <f>IF(OR(ISERROR($N361),$N361="",$N361="NA"),0,I361*$N361)*(1+INDEX('For Finance Control'!$B$27:$E$29,2,MATCH('Project information'!$A$4,'For Finance Control'!$B$27:$E$27,0)))</f>
        <v>0</v>
      </c>
      <c r="Q361" s="45">
        <f>IF(OR(ISERROR($N361),$N361="",$N361="NA"),0,J361*$N361)*(1+INDEX('For Finance Control'!$B$27:$E$29,2,MATCH('Project information'!$A$4,'For Finance Control'!$B$27:$E$27,0)))</f>
        <v>0</v>
      </c>
      <c r="R361" s="45">
        <f>IF(OR(ISERROR($N361),$N361="",$N361="NA"),0,K361*$N361)*(1+INDEX('For Finance Control'!$B$27:$E$29,2,MATCH('Project information'!$A$4,'For Finance Control'!$B$27:$E$27,0)))</f>
        <v>0</v>
      </c>
      <c r="S361" s="45">
        <f>IF(OR(ISERROR($N361),$N361="",$N361="NA"),0,L361*$N361)*(1+INDEX('For Finance Control'!$B$27:$E$29,2,MATCH('Project information'!$A$4,'For Finance Control'!$B$27:$E$27,0)))</f>
        <v>0</v>
      </c>
      <c r="T361" s="45">
        <f t="shared" si="318"/>
        <v>0</v>
      </c>
      <c r="U361" s="33" cm="1">
        <f t="array" ref="U361">IF($N361="NA","NA",$N361*INDEX('Exchange rate'!$A$1:$G$7,MATCH('Project information'!$A$13,'Exchange rate'!$A$1:$A$7,0),MATCH(LOOKUP(2,1/({"China";"Korea";"India";"Japan";"EUR";"NAO"}=$E361),{"CNY";"KRW";"INR";"JPY";"EUR";"USD"}),'Exchange rate'!$A$1:$G$1,0)))</f>
        <v>11174</v>
      </c>
      <c r="V361" s="33">
        <f t="shared" si="319"/>
        <v>0</v>
      </c>
      <c r="W361" s="33">
        <f t="shared" si="320"/>
        <v>0</v>
      </c>
      <c r="X361" s="33">
        <f t="shared" si="321"/>
        <v>0</v>
      </c>
      <c r="Y361" s="33">
        <f t="shared" si="322"/>
        <v>0</v>
      </c>
      <c r="Z361" s="33">
        <f t="shared" si="323"/>
        <v>0</v>
      </c>
      <c r="AA361" s="33">
        <f t="shared" si="324"/>
        <v>0</v>
      </c>
      <c r="AB361" s="246"/>
      <c r="AC361" s="247"/>
      <c r="AZ361" s="148" t="str">
        <f t="shared" si="327"/>
        <v>5.239</v>
      </c>
      <c r="BA361" s="149" t="s">
        <v>435</v>
      </c>
    </row>
    <row r="362" spans="1:53" ht="25" outlineLevel="1">
      <c r="A362" s="148" t="str">
        <f t="shared" si="326"/>
        <v>5.240</v>
      </c>
      <c r="B362" s="148" t="str">
        <f>INDEX('Standard cost - Testing'!$A$1:$N$497,MATCH(RIGHT($C362,4),'Standard cost - Testing'!$A$1:$A$497,0),3)</f>
        <v>LVE</v>
      </c>
      <c r="C362" s="149" t="str">
        <f>'Standard cost - Testing'!B241&amp;" - "&amp;'Standard cost - Testing'!A241</f>
        <v>Thermal - T013</v>
      </c>
      <c r="D362" s="150" t="str">
        <f>IF(RIGHT(INDEX('Standard cost - Testing'!$A$1:$N$497,MATCH(RIGHT($C362,4),'Standard cost - Testing'!$A$1:$A$497,0),4),1)="]",INDEX('Standard cost - Testing'!$A$1:$N$497,MATCH(RIGHT($C362,4),'Standard cost - Testing'!$A$1:$A$497,0),4),IF(INDEX('Standard cost - Testing'!$A$1:$N$497,MATCH(RIGHT($C362,4),'Standard cost - Testing'!$A$1:$A$497,0),10)=1,INDEX('Standard cost - Testing'!$A$1:$N$497,MATCH(RIGHT($C362,4),'Standard cost - Testing'!$A$1:$A$497,0),4)&amp;" [1 part]",INDEX('Standard cost - Testing'!$A$1:$N$497,MATCH(RIGHT($C362,4),'Standard cost - Testing'!$A$1:$A$497,0),4)&amp;" ["&amp;INDEX('Standard cost - Testing'!$A$1:$N$497,MATCH(RIGHT($C362,4),'Standard cost - Testing'!$A$1:$A$497,0),10)&amp;" parts]"))</f>
        <v>Hot end thermal Fatigue test - Diesel DOC &amp; DPF [1 part]</v>
      </c>
      <c r="E362" s="51" t="str">
        <f>IF('Project information'!$A$4="","",'Project information'!$A$4)</f>
        <v>China</v>
      </c>
      <c r="F362" s="149" t="str">
        <f>INDEX('Standard cost - Testing'!$A$1:$N$497,MATCH(RIGHT($C362,4),'Standard cost - Testing'!$A$1:$A$497,0),5)</f>
        <v>HMC</v>
      </c>
      <c r="G362" s="149" t="str">
        <f>IF($E362='Standard cost - Testing'!$F$1,INDEX('Standard cost - Testing'!$A$1:$N$497,MATCH(RIGHT($C362,4),'Standard cost - Testing'!$A$1:$A$497,0),6),INDEX('Standard cost - Testing'!$A$1:$N$497,MATCH(RIGHT($C362,4),'Standard cost - Testing'!$A$1:$A$497,0),7))</f>
        <v>ES28530-02 4.3.2
ES28990-01 4.3.2</v>
      </c>
      <c r="H362" s="46"/>
      <c r="I362" s="46"/>
      <c r="J362" s="46"/>
      <c r="K362" s="46"/>
      <c r="L362" s="46"/>
      <c r="M362" s="33">
        <f t="shared" si="325"/>
        <v>0</v>
      </c>
      <c r="N362" s="157">
        <f>IF(E362="","",IF(ISERROR(INDEX('Standard cost - Testing'!$A$1:$N$497,MATCH(RIGHT($C362,4),'Standard cost - Testing'!$A$1:$A$497,0),MATCH($E362,'Standard cost - Testing'!$K$1:$N$1,0)+10)),"NA",INDEX('Standard cost - Testing'!$A$1:$N$497,MATCH(RIGHT($C362,4),'Standard cost - Testing'!$A$1:$A$497,0),MATCH($E362,'Standard cost - Testing'!$K$1:$N$1,0)+10)))</f>
        <v>81806</v>
      </c>
      <c r="O362" s="45">
        <f>IF(OR(ISERROR($N362),$N362="",$N362="NA"),0,H362*$N362)*(1+INDEX('For Finance Control'!$B$27:$E$29,2,MATCH('Project information'!$A$4,'For Finance Control'!$B$27:$E$27,0)))</f>
        <v>0</v>
      </c>
      <c r="P362" s="45">
        <f>IF(OR(ISERROR($N362),$N362="",$N362="NA"),0,I362*$N362)*(1+INDEX('For Finance Control'!$B$27:$E$29,2,MATCH('Project information'!$A$4,'For Finance Control'!$B$27:$E$27,0)))</f>
        <v>0</v>
      </c>
      <c r="Q362" s="45">
        <f>IF(OR(ISERROR($N362),$N362="",$N362="NA"),0,J362*$N362)*(1+INDEX('For Finance Control'!$B$27:$E$29,2,MATCH('Project information'!$A$4,'For Finance Control'!$B$27:$E$27,0)))</f>
        <v>0</v>
      </c>
      <c r="R362" s="45">
        <f>IF(OR(ISERROR($N362),$N362="",$N362="NA"),0,K362*$N362)*(1+INDEX('For Finance Control'!$B$27:$E$29,2,MATCH('Project information'!$A$4,'For Finance Control'!$B$27:$E$27,0)))</f>
        <v>0</v>
      </c>
      <c r="S362" s="45">
        <f>IF(OR(ISERROR($N362),$N362="",$N362="NA"),0,L362*$N362)*(1+INDEX('For Finance Control'!$B$27:$E$29,2,MATCH('Project information'!$A$4,'For Finance Control'!$B$27:$E$27,0)))</f>
        <v>0</v>
      </c>
      <c r="T362" s="45">
        <f t="shared" si="318"/>
        <v>0</v>
      </c>
      <c r="U362" s="33" cm="1">
        <f t="array" ref="U362">IF($N362="NA","NA",$N362*INDEX('Exchange rate'!$A$1:$G$7,MATCH('Project information'!$A$13,'Exchange rate'!$A$1:$A$7,0),MATCH(LOOKUP(2,1/({"China";"Korea";"India";"Japan";"EUR";"NAO"}=$E362),{"CNY";"KRW";"INR";"JPY";"EUR";"USD"}),'Exchange rate'!$A$1:$G$1,0)))</f>
        <v>81806</v>
      </c>
      <c r="V362" s="33">
        <f t="shared" si="319"/>
        <v>0</v>
      </c>
      <c r="W362" s="33">
        <f t="shared" si="320"/>
        <v>0</v>
      </c>
      <c r="X362" s="33">
        <f t="shared" si="321"/>
        <v>0</v>
      </c>
      <c r="Y362" s="33">
        <f t="shared" si="322"/>
        <v>0</v>
      </c>
      <c r="Z362" s="33">
        <f t="shared" si="323"/>
        <v>0</v>
      </c>
      <c r="AA362" s="33">
        <f t="shared" si="324"/>
        <v>0</v>
      </c>
      <c r="AB362" s="246"/>
      <c r="AC362" s="247"/>
      <c r="AZ362" s="148" t="str">
        <f t="shared" si="327"/>
        <v>5.240</v>
      </c>
      <c r="BA362" s="149" t="s">
        <v>436</v>
      </c>
    </row>
    <row r="363" spans="1:53" ht="25" outlineLevel="1">
      <c r="A363" s="148" t="str">
        <f t="shared" si="326"/>
        <v>5.241</v>
      </c>
      <c r="B363" s="148" t="str">
        <f>INDEX('Standard cost - Testing'!$A$1:$N$497,MATCH(RIGHT($C363,4),'Standard cost - Testing'!$A$1:$A$497,0),3)</f>
        <v>LVE</v>
      </c>
      <c r="C363" s="149" t="str">
        <f>'Standard cost - Testing'!B242&amp;" - "&amp;'Standard cost - Testing'!A242</f>
        <v>Thermal - T014</v>
      </c>
      <c r="D363" s="150" t="str">
        <f>IF(RIGHT(INDEX('Standard cost - Testing'!$A$1:$N$497,MATCH(RIGHT($C363,4),'Standard cost - Testing'!$A$1:$A$497,0),4),1)="]",INDEX('Standard cost - Testing'!$A$1:$N$497,MATCH(RIGHT($C363,4),'Standard cost - Testing'!$A$1:$A$497,0),4),IF(INDEX('Standard cost - Testing'!$A$1:$N$497,MATCH(RIGHT($C363,4),'Standard cost - Testing'!$A$1:$A$497,0),10)=1,INDEX('Standard cost - Testing'!$A$1:$N$497,MATCH(RIGHT($C363,4),'Standard cost - Testing'!$A$1:$A$497,0),4)&amp;" [1 part]",INDEX('Standard cost - Testing'!$A$1:$N$497,MATCH(RIGHT($C363,4),'Standard cost - Testing'!$A$1:$A$497,0),4)&amp;" ["&amp;INDEX('Standard cost - Testing'!$A$1:$N$497,MATCH(RIGHT($C363,4),'Standard cost - Testing'!$A$1:$A$497,0),10)&amp;" parts]"))</f>
        <v>Cold end thermal shock with water quench [3 parts]</v>
      </c>
      <c r="E363" s="51" t="str">
        <f>IF('Project information'!$A$4="","",'Project information'!$A$4)</f>
        <v>China</v>
      </c>
      <c r="F363" s="149" t="str">
        <f>INDEX('Standard cost - Testing'!$A$1:$N$497,MATCH(RIGHT($C363,4),'Standard cost - Testing'!$A$1:$A$497,0),5)</f>
        <v>Faurecia</v>
      </c>
      <c r="G363" s="149" t="str">
        <f>IF($E363='Standard cost - Testing'!$F$1,INDEX('Standard cost - Testing'!$A$1:$N$497,MATCH(RIGHT($C363,4),'Standard cost - Testing'!$A$1:$A$497,0),6),INDEX('Standard cost - Testing'!$A$1:$N$497,MATCH(RIGHT($C363,4),'Standard cost - Testing'!$A$1:$A$497,0),7))</f>
        <v>CHD-I-DSE-2026</v>
      </c>
      <c r="H363" s="46"/>
      <c r="I363" s="46"/>
      <c r="J363" s="46"/>
      <c r="K363" s="46"/>
      <c r="L363" s="46"/>
      <c r="M363" s="33">
        <f t="shared" si="325"/>
        <v>0</v>
      </c>
      <c r="N363" s="157">
        <f>IF(E363="","",IF(ISERROR(INDEX('Standard cost - Testing'!$A$1:$N$497,MATCH(RIGHT($C363,4),'Standard cost - Testing'!$A$1:$A$497,0),MATCH($E363,'Standard cost - Testing'!$K$1:$N$1,0)+10)),"NA",INDEX('Standard cost - Testing'!$A$1:$N$497,MATCH(RIGHT($C363,4),'Standard cost - Testing'!$A$1:$A$497,0),MATCH($E363,'Standard cost - Testing'!$K$1:$N$1,0)+10)))</f>
        <v>91059</v>
      </c>
      <c r="O363" s="45">
        <f>IF(OR(ISERROR($N363),$N363="",$N363="NA"),0,H363*$N363)*(1+INDEX('For Finance Control'!$B$27:$E$29,2,MATCH('Project information'!$A$4,'For Finance Control'!$B$27:$E$27,0)))</f>
        <v>0</v>
      </c>
      <c r="P363" s="45">
        <f>IF(OR(ISERROR($N363),$N363="",$N363="NA"),0,I363*$N363)*(1+INDEX('For Finance Control'!$B$27:$E$29,2,MATCH('Project information'!$A$4,'For Finance Control'!$B$27:$E$27,0)))</f>
        <v>0</v>
      </c>
      <c r="Q363" s="45">
        <f>IF(OR(ISERROR($N363),$N363="",$N363="NA"),0,J363*$N363)*(1+INDEX('For Finance Control'!$B$27:$E$29,2,MATCH('Project information'!$A$4,'For Finance Control'!$B$27:$E$27,0)))</f>
        <v>0</v>
      </c>
      <c r="R363" s="45">
        <f>IF(OR(ISERROR($N363),$N363="",$N363="NA"),0,K363*$N363)*(1+INDEX('For Finance Control'!$B$27:$E$29,2,MATCH('Project information'!$A$4,'For Finance Control'!$B$27:$E$27,0)))</f>
        <v>0</v>
      </c>
      <c r="S363" s="45">
        <f>IF(OR(ISERROR($N363),$N363="",$N363="NA"),0,L363*$N363)*(1+INDEX('For Finance Control'!$B$27:$E$29,2,MATCH('Project information'!$A$4,'For Finance Control'!$B$27:$E$27,0)))</f>
        <v>0</v>
      </c>
      <c r="T363" s="45">
        <f t="shared" si="318"/>
        <v>0</v>
      </c>
      <c r="U363" s="33" cm="1">
        <f t="array" ref="U363">IF($N363="NA","NA",$N363*INDEX('Exchange rate'!$A$1:$G$7,MATCH('Project information'!$A$13,'Exchange rate'!$A$1:$A$7,0),MATCH(LOOKUP(2,1/({"China";"Korea";"India";"Japan";"EUR";"NAO"}=$E363),{"CNY";"KRW";"INR";"JPY";"EUR";"USD"}),'Exchange rate'!$A$1:$G$1,0)))</f>
        <v>91059</v>
      </c>
      <c r="V363" s="33">
        <f t="shared" si="319"/>
        <v>0</v>
      </c>
      <c r="W363" s="33">
        <f t="shared" si="320"/>
        <v>0</v>
      </c>
      <c r="X363" s="33">
        <f t="shared" si="321"/>
        <v>0</v>
      </c>
      <c r="Y363" s="33">
        <f t="shared" si="322"/>
        <v>0</v>
      </c>
      <c r="Z363" s="33">
        <f t="shared" si="323"/>
        <v>0</v>
      </c>
      <c r="AA363" s="33">
        <f t="shared" si="324"/>
        <v>0</v>
      </c>
      <c r="AB363" s="246"/>
      <c r="AC363" s="247"/>
      <c r="AZ363" s="148" t="str">
        <f t="shared" si="327"/>
        <v>5.241</v>
      </c>
      <c r="BA363" s="149" t="s">
        <v>437</v>
      </c>
    </row>
    <row r="364" spans="1:53" ht="25" outlineLevel="1">
      <c r="A364" s="148" t="str">
        <f t="shared" si="326"/>
        <v>5.242</v>
      </c>
      <c r="B364" s="148" t="str">
        <f>INDEX('Standard cost - Testing'!$A$1:$N$497,MATCH(RIGHT($C364,4),'Standard cost - Testing'!$A$1:$A$497,0),3)</f>
        <v>LVE</v>
      </c>
      <c r="C364" s="149" t="str">
        <f>'Standard cost - Testing'!B243&amp;" - "&amp;'Standard cost - Testing'!A243</f>
        <v>Thermal - T015</v>
      </c>
      <c r="D364" s="150" t="str">
        <f>IF(RIGHT(INDEX('Standard cost - Testing'!$A$1:$N$497,MATCH(RIGHT($C364,4),'Standard cost - Testing'!$A$1:$A$497,0),4),1)="]",INDEX('Standard cost - Testing'!$A$1:$N$497,MATCH(RIGHT($C364,4),'Standard cost - Testing'!$A$1:$A$497,0),4),IF(INDEX('Standard cost - Testing'!$A$1:$N$497,MATCH(RIGHT($C364,4),'Standard cost - Testing'!$A$1:$A$497,0),10)=1,INDEX('Standard cost - Testing'!$A$1:$N$497,MATCH(RIGHT($C364,4),'Standard cost - Testing'!$A$1:$A$497,0),4)&amp;" [1 part]",INDEX('Standard cost - Testing'!$A$1:$N$497,MATCH(RIGHT($C364,4),'Standard cost - Testing'!$A$1:$A$497,0),4)&amp;" ["&amp;INDEX('Standard cost - Testing'!$A$1:$N$497,MATCH(RIGHT($C364,4),'Standard cost - Testing'!$A$1:$A$497,0),10)&amp;" parts]"))</f>
        <v>Container thermal shock aging cycle - new [2 parts]</v>
      </c>
      <c r="E364" s="51" t="str">
        <f>IF('Project information'!$A$4="","",'Project information'!$A$4)</f>
        <v>China</v>
      </c>
      <c r="F364" s="149" t="str">
        <f>INDEX('Standard cost - Testing'!$A$1:$N$497,MATCH(RIGHT($C364,4),'Standard cost - Testing'!$A$1:$A$497,0),5)</f>
        <v>GM</v>
      </c>
      <c r="G364" s="149" t="str">
        <f>IF($E364='Standard cost - Testing'!$F$1,INDEX('Standard cost - Testing'!$A$1:$N$497,MATCH(RIGHT($C364,4),'Standard cost - Testing'!$A$1:$A$497,0),6),INDEX('Standard cost - Testing'!$A$1:$N$497,MATCH(RIGHT($C364,4),'Standard cost - Testing'!$A$1:$A$497,0),7))</f>
        <v>Converter Appendix C2 13Aug14 rev 1.0 3.2.4</v>
      </c>
      <c r="H364" s="46"/>
      <c r="I364" s="46"/>
      <c r="J364" s="46"/>
      <c r="K364" s="46"/>
      <c r="L364" s="46"/>
      <c r="M364" s="33">
        <f t="shared" si="325"/>
        <v>0</v>
      </c>
      <c r="N364" s="157">
        <f>IF(E364="","",IF(ISERROR(INDEX('Standard cost - Testing'!$A$1:$N$497,MATCH(RIGHT($C364,4),'Standard cost - Testing'!$A$1:$A$497,0),MATCH($E364,'Standard cost - Testing'!$K$1:$N$1,0)+10)),"NA",INDEX('Standard cost - Testing'!$A$1:$N$497,MATCH(RIGHT($C364,4),'Standard cost - Testing'!$A$1:$A$497,0),MATCH($E364,'Standard cost - Testing'!$K$1:$N$1,0)+10)))</f>
        <v>22156</v>
      </c>
      <c r="O364" s="45">
        <f>IF(OR(ISERROR($N364),$N364="",$N364="NA"),0,H364*$N364)*(1+INDEX('For Finance Control'!$B$27:$E$29,2,MATCH('Project information'!$A$4,'For Finance Control'!$B$27:$E$27,0)))</f>
        <v>0</v>
      </c>
      <c r="P364" s="45">
        <f>IF(OR(ISERROR($N364),$N364="",$N364="NA"),0,I364*$N364)*(1+INDEX('For Finance Control'!$B$27:$E$29,2,MATCH('Project information'!$A$4,'For Finance Control'!$B$27:$E$27,0)))</f>
        <v>0</v>
      </c>
      <c r="Q364" s="45">
        <f>IF(OR(ISERROR($N364),$N364="",$N364="NA"),0,J364*$N364)*(1+INDEX('For Finance Control'!$B$27:$E$29,2,MATCH('Project information'!$A$4,'For Finance Control'!$B$27:$E$27,0)))</f>
        <v>0</v>
      </c>
      <c r="R364" s="45">
        <f>IF(OR(ISERROR($N364),$N364="",$N364="NA"),0,K364*$N364)*(1+INDEX('For Finance Control'!$B$27:$E$29,2,MATCH('Project information'!$A$4,'For Finance Control'!$B$27:$E$27,0)))</f>
        <v>0</v>
      </c>
      <c r="S364" s="45">
        <f>IF(OR(ISERROR($N364),$N364="",$N364="NA"),0,L364*$N364)*(1+INDEX('For Finance Control'!$B$27:$E$29,2,MATCH('Project information'!$A$4,'For Finance Control'!$B$27:$E$27,0)))</f>
        <v>0</v>
      </c>
      <c r="T364" s="45">
        <f t="shared" si="318"/>
        <v>0</v>
      </c>
      <c r="U364" s="33" cm="1">
        <f t="array" ref="U364">IF($N364="NA","NA",$N364*INDEX('Exchange rate'!$A$1:$G$7,MATCH('Project information'!$A$13,'Exchange rate'!$A$1:$A$7,0),MATCH(LOOKUP(2,1/({"China";"Korea";"India";"Japan";"EUR";"NAO"}=$E364),{"CNY";"KRW";"INR";"JPY";"EUR";"USD"}),'Exchange rate'!$A$1:$G$1,0)))</f>
        <v>22156</v>
      </c>
      <c r="V364" s="33">
        <f t="shared" si="319"/>
        <v>0</v>
      </c>
      <c r="W364" s="33">
        <f t="shared" si="320"/>
        <v>0</v>
      </c>
      <c r="X364" s="33">
        <f t="shared" si="321"/>
        <v>0</v>
      </c>
      <c r="Y364" s="33">
        <f t="shared" si="322"/>
        <v>0</v>
      </c>
      <c r="Z364" s="33">
        <f t="shared" si="323"/>
        <v>0</v>
      </c>
      <c r="AA364" s="33">
        <f t="shared" si="324"/>
        <v>0</v>
      </c>
      <c r="AB364" s="246"/>
      <c r="AC364" s="247"/>
      <c r="AZ364" s="148" t="str">
        <f t="shared" si="327"/>
        <v>5.242</v>
      </c>
      <c r="BA364" s="149" t="s">
        <v>438</v>
      </c>
    </row>
    <row r="365" spans="1:53" ht="25" outlineLevel="1">
      <c r="A365" s="148" t="str">
        <f t="shared" si="326"/>
        <v>5.243</v>
      </c>
      <c r="B365" s="148" t="str">
        <f>INDEX('Standard cost - Testing'!$A$1:$N$497,MATCH(RIGHT($C365,4),'Standard cost - Testing'!$A$1:$A$497,0),3)</f>
        <v>LVE</v>
      </c>
      <c r="C365" s="149" t="str">
        <f>'Standard cost - Testing'!B244&amp;" - "&amp;'Standard cost - Testing'!A244</f>
        <v>Thermal - T016</v>
      </c>
      <c r="D365" s="150" t="str">
        <f>IF(RIGHT(INDEX('Standard cost - Testing'!$A$1:$N$497,MATCH(RIGHT($C365,4),'Standard cost - Testing'!$A$1:$A$497,0),4),1)="]",INDEX('Standard cost - Testing'!$A$1:$N$497,MATCH(RIGHT($C365,4),'Standard cost - Testing'!$A$1:$A$497,0),4),IF(INDEX('Standard cost - Testing'!$A$1:$N$497,MATCH(RIGHT($C365,4),'Standard cost - Testing'!$A$1:$A$497,0),10)=1,INDEX('Standard cost - Testing'!$A$1:$N$497,MATCH(RIGHT($C365,4),'Standard cost - Testing'!$A$1:$A$497,0),4)&amp;" [1 part]",INDEX('Standard cost - Testing'!$A$1:$N$497,MATCH(RIGHT($C365,4),'Standard cost - Testing'!$A$1:$A$497,0),4)&amp;" ["&amp;INDEX('Standard cost - Testing'!$A$1:$N$497,MATCH(RIGHT($C365,4),'Standard cost - Testing'!$A$1:$A$497,0),10)&amp;" parts]"))</f>
        <v>Substrate thermal shock aging cycle - new [2 parts]</v>
      </c>
      <c r="E365" s="51" t="str">
        <f>IF('Project information'!$A$4="","",'Project information'!$A$4)</f>
        <v>China</v>
      </c>
      <c r="F365" s="149" t="str">
        <f>INDEX('Standard cost - Testing'!$A$1:$N$497,MATCH(RIGHT($C365,4),'Standard cost - Testing'!$A$1:$A$497,0),5)</f>
        <v>GM</v>
      </c>
      <c r="G365" s="149" t="str">
        <f>IF($E365='Standard cost - Testing'!$F$1,INDEX('Standard cost - Testing'!$A$1:$N$497,MATCH(RIGHT($C365,4),'Standard cost - Testing'!$A$1:$A$497,0),6),INDEX('Standard cost - Testing'!$A$1:$N$497,MATCH(RIGHT($C365,4),'Standard cost - Testing'!$A$1:$A$497,0),7))</f>
        <v>Converter Appendix C2 13Aug14 rev 1.0 3.2.3</v>
      </c>
      <c r="H365" s="46"/>
      <c r="I365" s="46"/>
      <c r="J365" s="46"/>
      <c r="K365" s="46"/>
      <c r="L365" s="46"/>
      <c r="M365" s="33">
        <f t="shared" si="325"/>
        <v>0</v>
      </c>
      <c r="N365" s="157">
        <f>IF(E365="","",IF(ISERROR(INDEX('Standard cost - Testing'!$A$1:$N$497,MATCH(RIGHT($C365,4),'Standard cost - Testing'!$A$1:$A$497,0),MATCH($E365,'Standard cost - Testing'!$K$1:$N$1,0)+10)),"NA",INDEX('Standard cost - Testing'!$A$1:$N$497,MATCH(RIGHT($C365,4),'Standard cost - Testing'!$A$1:$A$497,0),MATCH($E365,'Standard cost - Testing'!$K$1:$N$1,0)+10)))</f>
        <v>298590</v>
      </c>
      <c r="O365" s="45">
        <f>IF(OR(ISERROR($N365),$N365="",$N365="NA"),0,H365*$N365)*(1+INDEX('For Finance Control'!$B$27:$E$29,2,MATCH('Project information'!$A$4,'For Finance Control'!$B$27:$E$27,0)))</f>
        <v>0</v>
      </c>
      <c r="P365" s="45">
        <f>IF(OR(ISERROR($N365),$N365="",$N365="NA"),0,I365*$N365)*(1+INDEX('For Finance Control'!$B$27:$E$29,2,MATCH('Project information'!$A$4,'For Finance Control'!$B$27:$E$27,0)))</f>
        <v>0</v>
      </c>
      <c r="Q365" s="45">
        <f>IF(OR(ISERROR($N365),$N365="",$N365="NA"),0,J365*$N365)*(1+INDEX('For Finance Control'!$B$27:$E$29,2,MATCH('Project information'!$A$4,'For Finance Control'!$B$27:$E$27,0)))</f>
        <v>0</v>
      </c>
      <c r="R365" s="45">
        <f>IF(OR(ISERROR($N365),$N365="",$N365="NA"),0,K365*$N365)*(1+INDEX('For Finance Control'!$B$27:$E$29,2,MATCH('Project information'!$A$4,'For Finance Control'!$B$27:$E$27,0)))</f>
        <v>0</v>
      </c>
      <c r="S365" s="45">
        <f>IF(OR(ISERROR($N365),$N365="",$N365="NA"),0,L365*$N365)*(1+INDEX('For Finance Control'!$B$27:$E$29,2,MATCH('Project information'!$A$4,'For Finance Control'!$B$27:$E$27,0)))</f>
        <v>0</v>
      </c>
      <c r="T365" s="45">
        <f t="shared" si="318"/>
        <v>0</v>
      </c>
      <c r="U365" s="33" cm="1">
        <f t="array" ref="U365">IF($N365="NA","NA",$N365*INDEX('Exchange rate'!$A$1:$G$7,MATCH('Project information'!$A$13,'Exchange rate'!$A$1:$A$7,0),MATCH(LOOKUP(2,1/({"China";"Korea";"India";"Japan";"EUR";"NAO"}=$E365),{"CNY";"KRW";"INR";"JPY";"EUR";"USD"}),'Exchange rate'!$A$1:$G$1,0)))</f>
        <v>298590</v>
      </c>
      <c r="V365" s="33">
        <f t="shared" si="319"/>
        <v>0</v>
      </c>
      <c r="W365" s="33">
        <f t="shared" si="320"/>
        <v>0</v>
      </c>
      <c r="X365" s="33">
        <f t="shared" si="321"/>
        <v>0</v>
      </c>
      <c r="Y365" s="33">
        <f t="shared" si="322"/>
        <v>0</v>
      </c>
      <c r="Z365" s="33">
        <f t="shared" si="323"/>
        <v>0</v>
      </c>
      <c r="AA365" s="33">
        <f t="shared" si="324"/>
        <v>0</v>
      </c>
      <c r="AB365" s="246"/>
      <c r="AC365" s="247"/>
      <c r="AZ365" s="148" t="str">
        <f t="shared" si="327"/>
        <v>5.243</v>
      </c>
      <c r="BA365" s="149" t="s">
        <v>439</v>
      </c>
    </row>
    <row r="366" spans="1:53" ht="25" outlineLevel="1">
      <c r="A366" s="148" t="str">
        <f t="shared" si="326"/>
        <v>5.244</v>
      </c>
      <c r="B366" s="148" t="str">
        <f>INDEX('Standard cost - Testing'!$A$1:$N$497,MATCH(RIGHT($C366,4),'Standard cost - Testing'!$A$1:$A$497,0),3)</f>
        <v>LVE</v>
      </c>
      <c r="C366" s="149" t="str">
        <f>'Standard cost - Testing'!B245&amp;" - "&amp;'Standard cost - Testing'!A245</f>
        <v>Thermal - T017</v>
      </c>
      <c r="D366" s="150" t="str">
        <f>IF(RIGHT(INDEX('Standard cost - Testing'!$A$1:$N$497,MATCH(RIGHT($C366,4),'Standard cost - Testing'!$A$1:$A$497,0),4),1)="]",INDEX('Standard cost - Testing'!$A$1:$N$497,MATCH(RIGHT($C366,4),'Standard cost - Testing'!$A$1:$A$497,0),4),IF(INDEX('Standard cost - Testing'!$A$1:$N$497,MATCH(RIGHT($C366,4),'Standard cost - Testing'!$A$1:$A$497,0),10)=1,INDEX('Standard cost - Testing'!$A$1:$N$497,MATCH(RIGHT($C366,4),'Standard cost - Testing'!$A$1:$A$497,0),4)&amp;" [1 part]",INDEX('Standard cost - Testing'!$A$1:$N$497,MATCH(RIGHT($C366,4),'Standard cost - Testing'!$A$1:$A$497,0),4)&amp;" ["&amp;INDEX('Standard cost - Testing'!$A$1:$N$497,MATCH(RIGHT($C366,4),'Standard cost - Testing'!$A$1:$A$497,0),10)&amp;" parts]"))</f>
        <v>Cold end thermal shock with water quench [6 parts]</v>
      </c>
      <c r="E366" s="51" t="str">
        <f>IF('Project information'!$A$4="","",'Project information'!$A$4)</f>
        <v>China</v>
      </c>
      <c r="F366" s="149" t="str">
        <f>INDEX('Standard cost - Testing'!$A$1:$N$497,MATCH(RIGHT($C366,4),'Standard cost - Testing'!$A$1:$A$497,0),5)</f>
        <v>GM</v>
      </c>
      <c r="G366" s="149" t="str">
        <f>IF($E366='Standard cost - Testing'!$F$1,INDEX('Standard cost - Testing'!$A$1:$N$497,MATCH(RIGHT($C366,4),'Standard cost - Testing'!$A$1:$A$497,0),6),INDEX('Standard cost - Testing'!$A$1:$N$497,MATCH(RIGHT($C366,4),'Standard cost - Testing'!$A$1:$A$497,0),7))</f>
        <v>GMW14380-2011</v>
      </c>
      <c r="H366" s="46"/>
      <c r="I366" s="46"/>
      <c r="J366" s="46"/>
      <c r="K366" s="46"/>
      <c r="L366" s="46"/>
      <c r="M366" s="33">
        <f t="shared" si="325"/>
        <v>0</v>
      </c>
      <c r="N366" s="157">
        <f>IF(E366="","",IF(ISERROR(INDEX('Standard cost - Testing'!$A$1:$N$497,MATCH(RIGHT($C366,4),'Standard cost - Testing'!$A$1:$A$497,0),MATCH($E366,'Standard cost - Testing'!$K$1:$N$1,0)+10)),"NA",INDEX('Standard cost - Testing'!$A$1:$N$497,MATCH(RIGHT($C366,4),'Standard cost - Testing'!$A$1:$A$497,0),MATCH($E366,'Standard cost - Testing'!$K$1:$N$1,0)+10)))</f>
        <v>177465</v>
      </c>
      <c r="O366" s="45">
        <f>IF(OR(ISERROR($N366),$N366="",$N366="NA"),0,H366*$N366)*(1+INDEX('For Finance Control'!$B$27:$E$29,2,MATCH('Project information'!$A$4,'For Finance Control'!$B$27:$E$27,0)))</f>
        <v>0</v>
      </c>
      <c r="P366" s="45">
        <f>IF(OR(ISERROR($N366),$N366="",$N366="NA"),0,I366*$N366)*(1+INDEX('For Finance Control'!$B$27:$E$29,2,MATCH('Project information'!$A$4,'For Finance Control'!$B$27:$E$27,0)))</f>
        <v>0</v>
      </c>
      <c r="Q366" s="45">
        <f>IF(OR(ISERROR($N366),$N366="",$N366="NA"),0,J366*$N366)*(1+INDEX('For Finance Control'!$B$27:$E$29,2,MATCH('Project information'!$A$4,'For Finance Control'!$B$27:$E$27,0)))</f>
        <v>0</v>
      </c>
      <c r="R366" s="45">
        <f>IF(OR(ISERROR($N366),$N366="",$N366="NA"),0,K366*$N366)*(1+INDEX('For Finance Control'!$B$27:$E$29,2,MATCH('Project information'!$A$4,'For Finance Control'!$B$27:$E$27,0)))</f>
        <v>0</v>
      </c>
      <c r="S366" s="45">
        <f>IF(OR(ISERROR($N366),$N366="",$N366="NA"),0,L366*$N366)*(1+INDEX('For Finance Control'!$B$27:$E$29,2,MATCH('Project information'!$A$4,'For Finance Control'!$B$27:$E$27,0)))</f>
        <v>0</v>
      </c>
      <c r="T366" s="45">
        <f t="shared" si="318"/>
        <v>0</v>
      </c>
      <c r="U366" s="33" cm="1">
        <f t="array" ref="U366">IF($N366="NA","NA",$N366*INDEX('Exchange rate'!$A$1:$G$7,MATCH('Project information'!$A$13,'Exchange rate'!$A$1:$A$7,0),MATCH(LOOKUP(2,1/({"China";"Korea";"India";"Japan";"EUR";"NAO"}=$E366),{"CNY";"KRW";"INR";"JPY";"EUR";"USD"}),'Exchange rate'!$A$1:$G$1,0)))</f>
        <v>177465</v>
      </c>
      <c r="V366" s="33">
        <f t="shared" si="319"/>
        <v>0</v>
      </c>
      <c r="W366" s="33">
        <f t="shared" si="320"/>
        <v>0</v>
      </c>
      <c r="X366" s="33">
        <f t="shared" si="321"/>
        <v>0</v>
      </c>
      <c r="Y366" s="33">
        <f t="shared" si="322"/>
        <v>0</v>
      </c>
      <c r="Z366" s="33">
        <f t="shared" si="323"/>
        <v>0</v>
      </c>
      <c r="AA366" s="33">
        <f t="shared" si="324"/>
        <v>0</v>
      </c>
      <c r="AB366" s="246"/>
      <c r="AC366" s="247"/>
      <c r="AZ366" s="148" t="str">
        <f t="shared" si="327"/>
        <v>5.244</v>
      </c>
      <c r="BA366" s="149" t="s">
        <v>439</v>
      </c>
    </row>
    <row r="367" spans="1:53" outlineLevel="1">
      <c r="A367" s="148" t="str">
        <f t="shared" si="326"/>
        <v>5.245</v>
      </c>
      <c r="B367" s="148" t="str">
        <f>INDEX('Standard cost - Testing'!$A$1:$N$497,MATCH(RIGHT($C367,4),'Standard cost - Testing'!$A$1:$A$497,0),3)</f>
        <v>LVE</v>
      </c>
      <c r="C367" s="149" t="str">
        <f>'Standard cost - Testing'!B246&amp;" - "&amp;'Standard cost - Testing'!A246</f>
        <v>Thermal - T018</v>
      </c>
      <c r="D367" s="150" t="str">
        <f>IF(RIGHT(INDEX('Standard cost - Testing'!$A$1:$N$497,MATCH(RIGHT($C367,4),'Standard cost - Testing'!$A$1:$A$497,0),4),1)="]",INDEX('Standard cost - Testing'!$A$1:$N$497,MATCH(RIGHT($C367,4),'Standard cost - Testing'!$A$1:$A$497,0),4),IF(INDEX('Standard cost - Testing'!$A$1:$N$497,MATCH(RIGHT($C367,4),'Standard cost - Testing'!$A$1:$A$497,0),10)=1,INDEX('Standard cost - Testing'!$A$1:$N$497,MATCH(RIGHT($C367,4),'Standard cost - Testing'!$A$1:$A$497,0),4)&amp;" [1 part]",INDEX('Standard cost - Testing'!$A$1:$N$497,MATCH(RIGHT($C367,4),'Standard cost - Testing'!$A$1:$A$497,0),4)&amp;" ["&amp;INDEX('Standard cost - Testing'!$A$1:$N$497,MATCH(RIGHT($C367,4),'Standard cost - Testing'!$A$1:$A$497,0),10)&amp;" parts]"))</f>
        <v>Cold end thermal cycle test [2 parts]</v>
      </c>
      <c r="E367" s="51" t="str">
        <f>IF('Project information'!$A$4="","",'Project information'!$A$4)</f>
        <v>China</v>
      </c>
      <c r="F367" s="149" t="str">
        <f>INDEX('Standard cost - Testing'!$A$1:$N$497,MATCH(RIGHT($C367,4),'Standard cost - Testing'!$A$1:$A$497,0),5)</f>
        <v>RSA</v>
      </c>
      <c r="G367" s="149" t="str">
        <f>IF($E367='Standard cost - Testing'!$F$1,INDEX('Standard cost - Testing'!$A$1:$N$497,MATCH(RIGHT($C367,4),'Standard cost - Testing'!$A$1:$A$497,0),6),INDEX('Standard cost - Testing'!$A$1:$N$497,MATCH(RIGHT($C367,4),'Standard cost - Testing'!$A$1:$A$497,0),7))</f>
        <v>34-05-084</v>
      </c>
      <c r="H367" s="46"/>
      <c r="I367" s="46"/>
      <c r="J367" s="46"/>
      <c r="K367" s="46"/>
      <c r="L367" s="46"/>
      <c r="M367" s="33">
        <f t="shared" si="325"/>
        <v>0</v>
      </c>
      <c r="N367" s="157">
        <f>IF(E367="","",IF(ISERROR(INDEX('Standard cost - Testing'!$A$1:$N$497,MATCH(RIGHT($C367,4),'Standard cost - Testing'!$A$1:$A$497,0),MATCH($E367,'Standard cost - Testing'!$K$1:$N$1,0)+10)),"NA",INDEX('Standard cost - Testing'!$A$1:$N$497,MATCH(RIGHT($C367,4),'Standard cost - Testing'!$A$1:$A$497,0),MATCH($E367,'Standard cost - Testing'!$K$1:$N$1,0)+10)))</f>
        <v>55387</v>
      </c>
      <c r="O367" s="45">
        <f>IF(OR(ISERROR($N367),$N367="",$N367="NA"),0,H367*$N367)*(1+INDEX('For Finance Control'!$B$27:$E$29,2,MATCH('Project information'!$A$4,'For Finance Control'!$B$27:$E$27,0)))</f>
        <v>0</v>
      </c>
      <c r="P367" s="45">
        <f>IF(OR(ISERROR($N367),$N367="",$N367="NA"),0,I367*$N367)*(1+INDEX('For Finance Control'!$B$27:$E$29,2,MATCH('Project information'!$A$4,'For Finance Control'!$B$27:$E$27,0)))</f>
        <v>0</v>
      </c>
      <c r="Q367" s="45">
        <f>IF(OR(ISERROR($N367),$N367="",$N367="NA"),0,J367*$N367)*(1+INDEX('For Finance Control'!$B$27:$E$29,2,MATCH('Project information'!$A$4,'For Finance Control'!$B$27:$E$27,0)))</f>
        <v>0</v>
      </c>
      <c r="R367" s="45">
        <f>IF(OR(ISERROR($N367),$N367="",$N367="NA"),0,K367*$N367)*(1+INDEX('For Finance Control'!$B$27:$E$29,2,MATCH('Project information'!$A$4,'For Finance Control'!$B$27:$E$27,0)))</f>
        <v>0</v>
      </c>
      <c r="S367" s="45">
        <f>IF(OR(ISERROR($N367),$N367="",$N367="NA"),0,L367*$N367)*(1+INDEX('For Finance Control'!$B$27:$E$29,2,MATCH('Project information'!$A$4,'For Finance Control'!$B$27:$E$27,0)))</f>
        <v>0</v>
      </c>
      <c r="T367" s="45">
        <f t="shared" si="318"/>
        <v>0</v>
      </c>
      <c r="U367" s="33" cm="1">
        <f t="array" ref="U367">IF($N367="NA","NA",$N367*INDEX('Exchange rate'!$A$1:$G$7,MATCH('Project information'!$A$13,'Exchange rate'!$A$1:$A$7,0),MATCH(LOOKUP(2,1/({"China";"Korea";"India";"Japan";"EUR";"NAO"}=$E367),{"CNY";"KRW";"INR";"JPY";"EUR";"USD"}),'Exchange rate'!$A$1:$G$1,0)))</f>
        <v>55387</v>
      </c>
      <c r="V367" s="33">
        <f t="shared" si="319"/>
        <v>0</v>
      </c>
      <c r="W367" s="33">
        <f t="shared" si="320"/>
        <v>0</v>
      </c>
      <c r="X367" s="33">
        <f t="shared" si="321"/>
        <v>0</v>
      </c>
      <c r="Y367" s="33">
        <f t="shared" si="322"/>
        <v>0</v>
      </c>
      <c r="Z367" s="33">
        <f t="shared" si="323"/>
        <v>0</v>
      </c>
      <c r="AA367" s="33">
        <f t="shared" si="324"/>
        <v>0</v>
      </c>
      <c r="AB367" s="246"/>
      <c r="AC367" s="247"/>
      <c r="AZ367" s="148" t="str">
        <f t="shared" si="327"/>
        <v>5.245</v>
      </c>
      <c r="BA367" s="149" t="s">
        <v>440</v>
      </c>
    </row>
    <row r="368" spans="1:53" ht="25" outlineLevel="1">
      <c r="A368" s="148" t="str">
        <f t="shared" si="326"/>
        <v>5.246</v>
      </c>
      <c r="B368" s="148" t="str">
        <f>INDEX('Standard cost - Testing'!$A$1:$N$497,MATCH(RIGHT($C368,4),'Standard cost - Testing'!$A$1:$A$497,0),3)</f>
        <v>LVE</v>
      </c>
      <c r="C368" s="149" t="str">
        <f>'Standard cost - Testing'!B247&amp;" - "&amp;'Standard cost - Testing'!A247</f>
        <v>Thermal - T019</v>
      </c>
      <c r="D368" s="150" t="str">
        <f>IF(RIGHT(INDEX('Standard cost - Testing'!$A$1:$N$497,MATCH(RIGHT($C368,4),'Standard cost - Testing'!$A$1:$A$497,0),4),1)="]",INDEX('Standard cost - Testing'!$A$1:$N$497,MATCH(RIGHT($C368,4),'Standard cost - Testing'!$A$1:$A$497,0),4),IF(INDEX('Standard cost - Testing'!$A$1:$N$497,MATCH(RIGHT($C368,4),'Standard cost - Testing'!$A$1:$A$497,0),10)=1,INDEX('Standard cost - Testing'!$A$1:$N$497,MATCH(RIGHT($C368,4),'Standard cost - Testing'!$A$1:$A$497,0),4)&amp;" [1 part]",INDEX('Standard cost - Testing'!$A$1:$N$497,MATCH(RIGHT($C368,4),'Standard cost - Testing'!$A$1:$A$497,0),4)&amp;" ["&amp;INDEX('Standard cost - Testing'!$A$1:$N$497,MATCH(RIGHT($C368,4),'Standard cost - Testing'!$A$1:$A$497,0),10)&amp;" parts]"))</f>
        <v>Cold end water quenching test [2 parts]</v>
      </c>
      <c r="E368" s="51" t="str">
        <f>IF('Project information'!$A$4="","",'Project information'!$A$4)</f>
        <v>China</v>
      </c>
      <c r="F368" s="149" t="str">
        <f>INDEX('Standard cost - Testing'!$A$1:$N$497,MATCH(RIGHT($C368,4),'Standard cost - Testing'!$A$1:$A$497,0),5)</f>
        <v>RSA</v>
      </c>
      <c r="G368" s="149" t="str">
        <f>IF($E368='Standard cost - Testing'!$F$1,INDEX('Standard cost - Testing'!$A$1:$N$497,MATCH(RIGHT($C368,4),'Standard cost - Testing'!$A$1:$A$497,0),6),INDEX('Standard cost - Testing'!$A$1:$N$497,MATCH(RIGHT($C368,4),'Standard cost - Testing'!$A$1:$A$497,0),7))</f>
        <v>34-05-084</v>
      </c>
      <c r="H368" s="46"/>
      <c r="I368" s="46"/>
      <c r="J368" s="46"/>
      <c r="K368" s="46"/>
      <c r="L368" s="46"/>
      <c r="M368" s="33">
        <f t="shared" si="325"/>
        <v>0</v>
      </c>
      <c r="N368" s="157">
        <f>IF(E368="","",IF(ISERROR(INDEX('Standard cost - Testing'!$A$1:$N$497,MATCH(RIGHT($C368,4),'Standard cost - Testing'!$A$1:$A$497,0),MATCH($E368,'Standard cost - Testing'!$K$1:$N$1,0)+10)),"NA",INDEX('Standard cost - Testing'!$A$1:$N$497,MATCH(RIGHT($C368,4),'Standard cost - Testing'!$A$1:$A$497,0),MATCH($E368,'Standard cost - Testing'!$K$1:$N$1,0)+10)))</f>
        <v>55387</v>
      </c>
      <c r="O368" s="45">
        <f>IF(OR(ISERROR($N368),$N368="",$N368="NA"),0,H368*$N368)*(1+INDEX('For Finance Control'!$B$27:$E$29,2,MATCH('Project information'!$A$4,'For Finance Control'!$B$27:$E$27,0)))</f>
        <v>0</v>
      </c>
      <c r="P368" s="45">
        <f>IF(OR(ISERROR($N368),$N368="",$N368="NA"),0,I368*$N368)*(1+INDEX('For Finance Control'!$B$27:$E$29,2,MATCH('Project information'!$A$4,'For Finance Control'!$B$27:$E$27,0)))</f>
        <v>0</v>
      </c>
      <c r="Q368" s="45">
        <f>IF(OR(ISERROR($N368),$N368="",$N368="NA"),0,J368*$N368)*(1+INDEX('For Finance Control'!$B$27:$E$29,2,MATCH('Project information'!$A$4,'For Finance Control'!$B$27:$E$27,0)))</f>
        <v>0</v>
      </c>
      <c r="R368" s="45">
        <f>IF(OR(ISERROR($N368),$N368="",$N368="NA"),0,K368*$N368)*(1+INDEX('For Finance Control'!$B$27:$E$29,2,MATCH('Project information'!$A$4,'For Finance Control'!$B$27:$E$27,0)))</f>
        <v>0</v>
      </c>
      <c r="S368" s="45">
        <f>IF(OR(ISERROR($N368),$N368="",$N368="NA"),0,L368*$N368)*(1+INDEX('For Finance Control'!$B$27:$E$29,2,MATCH('Project information'!$A$4,'For Finance Control'!$B$27:$E$27,0)))</f>
        <v>0</v>
      </c>
      <c r="T368" s="45">
        <f t="shared" si="318"/>
        <v>0</v>
      </c>
      <c r="U368" s="33" cm="1">
        <f t="array" ref="U368">IF($N368="NA","NA",$N368*INDEX('Exchange rate'!$A$1:$G$7,MATCH('Project information'!$A$13,'Exchange rate'!$A$1:$A$7,0),MATCH(LOOKUP(2,1/({"China";"Korea";"India";"Japan";"EUR";"NAO"}=$E368),{"CNY";"KRW";"INR";"JPY";"EUR";"USD"}),'Exchange rate'!$A$1:$G$1,0)))</f>
        <v>55387</v>
      </c>
      <c r="V368" s="33">
        <f t="shared" si="319"/>
        <v>0</v>
      </c>
      <c r="W368" s="33">
        <f t="shared" si="320"/>
        <v>0</v>
      </c>
      <c r="X368" s="33">
        <f t="shared" si="321"/>
        <v>0</v>
      </c>
      <c r="Y368" s="33">
        <f t="shared" si="322"/>
        <v>0</v>
      </c>
      <c r="Z368" s="33">
        <f t="shared" si="323"/>
        <v>0</v>
      </c>
      <c r="AA368" s="33">
        <f t="shared" si="324"/>
        <v>0</v>
      </c>
      <c r="AB368" s="246"/>
      <c r="AC368" s="247"/>
      <c r="AZ368" s="148" t="str">
        <f t="shared" si="327"/>
        <v>5.246</v>
      </c>
      <c r="BA368" s="149" t="s">
        <v>441</v>
      </c>
    </row>
    <row r="369" spans="1:53" ht="25" outlineLevel="1">
      <c r="A369" s="148" t="str">
        <f t="shared" si="326"/>
        <v>5.247</v>
      </c>
      <c r="B369" s="148" t="str">
        <f>INDEX('Standard cost - Testing'!$A$1:$N$497,MATCH(RIGHT($C369,4),'Standard cost - Testing'!$A$1:$A$497,0),3)</f>
        <v>LVE</v>
      </c>
      <c r="C369" s="149" t="str">
        <f>'Standard cost - Testing'!B248&amp;" - "&amp;'Standard cost - Testing'!A248</f>
        <v>Thermal - T020</v>
      </c>
      <c r="D369" s="150" t="str">
        <f>IF(RIGHT(INDEX('Standard cost - Testing'!$A$1:$N$497,MATCH(RIGHT($C369,4),'Standard cost - Testing'!$A$1:$A$497,0),4),1)="]",INDEX('Standard cost - Testing'!$A$1:$N$497,MATCH(RIGHT($C369,4),'Standard cost - Testing'!$A$1:$A$497,0),4),IF(INDEX('Standard cost - Testing'!$A$1:$N$497,MATCH(RIGHT($C369,4),'Standard cost - Testing'!$A$1:$A$497,0),10)=1,INDEX('Standard cost - Testing'!$A$1:$N$497,MATCH(RIGHT($C369,4),'Standard cost - Testing'!$A$1:$A$497,0),4)&amp;" [1 part]",INDEX('Standard cost - Testing'!$A$1:$N$497,MATCH(RIGHT($C369,4),'Standard cost - Testing'!$A$1:$A$497,0),4)&amp;" ["&amp;INDEX('Standard cost - Testing'!$A$1:$N$497,MATCH(RIGHT($C369,4),'Standard cost - Testing'!$A$1:$A$497,0),10)&amp;" parts]"))</f>
        <v>Thermal shock converter - water quench [2 parts]</v>
      </c>
      <c r="E369" s="51" t="str">
        <f>IF('Project information'!$A$4="","",'Project information'!$A$4)</f>
        <v>China</v>
      </c>
      <c r="F369" s="149" t="str">
        <f>INDEX('Standard cost - Testing'!$A$1:$N$497,MATCH(RIGHT($C369,4),'Standard cost - Testing'!$A$1:$A$497,0),5)</f>
        <v>RSA</v>
      </c>
      <c r="G369" s="149" t="str">
        <f>IF($E369='Standard cost - Testing'!$F$1,INDEX('Standard cost - Testing'!$A$1:$N$497,MATCH(RIGHT($C369,4),'Standard cost - Testing'!$A$1:$A$497,0),6),INDEX('Standard cost - Testing'!$A$1:$N$497,MATCH(RIGHT($C369,4),'Standard cost - Testing'!$A$1:$A$497,0),7))</f>
        <v>34-05-803/H-3.4</v>
      </c>
      <c r="H369" s="46"/>
      <c r="I369" s="46"/>
      <c r="J369" s="46"/>
      <c r="K369" s="46"/>
      <c r="L369" s="46"/>
      <c r="M369" s="33">
        <f t="shared" si="325"/>
        <v>0</v>
      </c>
      <c r="N369" s="157">
        <f>IF(E369="","",IF(ISERROR(INDEX('Standard cost - Testing'!$A$1:$N$497,MATCH(RIGHT($C369,4),'Standard cost - Testing'!$A$1:$A$497,0),MATCH($E369,'Standard cost - Testing'!$K$1:$N$1,0)+10)),"NA",INDEX('Standard cost - Testing'!$A$1:$N$497,MATCH(RIGHT($C369,4),'Standard cost - Testing'!$A$1:$A$497,0),MATCH($E369,'Standard cost - Testing'!$K$1:$N$1,0)+10)))</f>
        <v>100767</v>
      </c>
      <c r="O369" s="45">
        <f>IF(OR(ISERROR($N369),$N369="",$N369="NA"),0,H369*$N369)*(1+INDEX('For Finance Control'!$B$27:$E$29,2,MATCH('Project information'!$A$4,'For Finance Control'!$B$27:$E$27,0)))</f>
        <v>0</v>
      </c>
      <c r="P369" s="45">
        <f>IF(OR(ISERROR($N369),$N369="",$N369="NA"),0,I369*$N369)*(1+INDEX('For Finance Control'!$B$27:$E$29,2,MATCH('Project information'!$A$4,'For Finance Control'!$B$27:$E$27,0)))</f>
        <v>0</v>
      </c>
      <c r="Q369" s="45">
        <f>IF(OR(ISERROR($N369),$N369="",$N369="NA"),0,J369*$N369)*(1+INDEX('For Finance Control'!$B$27:$E$29,2,MATCH('Project information'!$A$4,'For Finance Control'!$B$27:$E$27,0)))</f>
        <v>0</v>
      </c>
      <c r="R369" s="45">
        <f>IF(OR(ISERROR($N369),$N369="",$N369="NA"),0,K369*$N369)*(1+INDEX('For Finance Control'!$B$27:$E$29,2,MATCH('Project information'!$A$4,'For Finance Control'!$B$27:$E$27,0)))</f>
        <v>0</v>
      </c>
      <c r="S369" s="45">
        <f>IF(OR(ISERROR($N369),$N369="",$N369="NA"),0,L369*$N369)*(1+INDEX('For Finance Control'!$B$27:$E$29,2,MATCH('Project information'!$A$4,'For Finance Control'!$B$27:$E$27,0)))</f>
        <v>0</v>
      </c>
      <c r="T369" s="45">
        <f t="shared" si="318"/>
        <v>0</v>
      </c>
      <c r="U369" s="33" cm="1">
        <f t="array" ref="U369">IF($N369="NA","NA",$N369*INDEX('Exchange rate'!$A$1:$G$7,MATCH('Project information'!$A$13,'Exchange rate'!$A$1:$A$7,0),MATCH(LOOKUP(2,1/({"China";"Korea";"India";"Japan";"EUR";"NAO"}=$E369),{"CNY";"KRW";"INR";"JPY";"EUR";"USD"}),'Exchange rate'!$A$1:$G$1,0)))</f>
        <v>100767</v>
      </c>
      <c r="V369" s="33">
        <f t="shared" si="319"/>
        <v>0</v>
      </c>
      <c r="W369" s="33">
        <f t="shared" si="320"/>
        <v>0</v>
      </c>
      <c r="X369" s="33">
        <f t="shared" si="321"/>
        <v>0</v>
      </c>
      <c r="Y369" s="33">
        <f t="shared" si="322"/>
        <v>0</v>
      </c>
      <c r="Z369" s="33">
        <f t="shared" si="323"/>
        <v>0</v>
      </c>
      <c r="AA369" s="33">
        <f t="shared" si="324"/>
        <v>0</v>
      </c>
      <c r="AB369" s="246"/>
      <c r="AC369" s="247"/>
      <c r="AZ369" s="148" t="str">
        <f t="shared" si="327"/>
        <v>5.247</v>
      </c>
      <c r="BA369" s="149" t="s">
        <v>442</v>
      </c>
    </row>
    <row r="370" spans="1:53" ht="25" outlineLevel="1">
      <c r="A370" s="148" t="str">
        <f t="shared" si="326"/>
        <v>5.248</v>
      </c>
      <c r="B370" s="148" t="str">
        <f>INDEX('Standard cost - Testing'!$A$1:$N$497,MATCH(RIGHT($C370,4),'Standard cost - Testing'!$A$1:$A$497,0),3)</f>
        <v>LVE</v>
      </c>
      <c r="C370" s="149" t="str">
        <f>'Standard cost - Testing'!B249&amp;" - "&amp;'Standard cost - Testing'!A249</f>
        <v>Thermal - T021</v>
      </c>
      <c r="D370" s="150" t="str">
        <f>IF(RIGHT(INDEX('Standard cost - Testing'!$A$1:$N$497,MATCH(RIGHT($C370,4),'Standard cost - Testing'!$A$1:$A$497,0),4),1)="]",INDEX('Standard cost - Testing'!$A$1:$N$497,MATCH(RIGHT($C370,4),'Standard cost - Testing'!$A$1:$A$497,0),4),IF(INDEX('Standard cost - Testing'!$A$1:$N$497,MATCH(RIGHT($C370,4),'Standard cost - Testing'!$A$1:$A$497,0),10)=1,INDEX('Standard cost - Testing'!$A$1:$N$497,MATCH(RIGHT($C370,4),'Standard cost - Testing'!$A$1:$A$497,0),4)&amp;" [1 part]",INDEX('Standard cost - Testing'!$A$1:$N$497,MATCH(RIGHT($C370,4),'Standard cost - Testing'!$A$1:$A$497,0),4)&amp;" ["&amp;INDEX('Standard cost - Testing'!$A$1:$N$497,MATCH(RIGHT($C370,4),'Standard cost - Testing'!$A$1:$A$497,0),10)&amp;" parts]"))</f>
        <v>Thermal fatigue rig test - cold end [2 parts]</v>
      </c>
      <c r="E370" s="51" t="str">
        <f>IF('Project information'!$A$4="","",'Project information'!$A$4)</f>
        <v>China</v>
      </c>
      <c r="F370" s="149" t="str">
        <f>INDEX('Standard cost - Testing'!$A$1:$N$497,MATCH(RIGHT($C370,4),'Standard cost - Testing'!$A$1:$A$497,0),5)</f>
        <v>Ford</v>
      </c>
      <c r="G370" s="149" t="str">
        <f>IF($E370='Standard cost - Testing'!$F$1,INDEX('Standard cost - Testing'!$A$1:$N$497,MATCH(RIGHT($C370,4),'Standard cost - Testing'!$A$1:$A$497,0),6),INDEX('Standard cost - Testing'!$A$1:$N$497,MATCH(RIGHT($C370,4),'Standard cost - Testing'!$A$1:$A$497,0),7))</f>
        <v>CETP 09.00-E-306</v>
      </c>
      <c r="H370" s="46"/>
      <c r="I370" s="46"/>
      <c r="J370" s="46"/>
      <c r="K370" s="46"/>
      <c r="L370" s="46"/>
      <c r="M370" s="33">
        <f t="shared" si="325"/>
        <v>0</v>
      </c>
      <c r="N370" s="157">
        <f>IF(E370="","",IF(ISERROR(INDEX('Standard cost - Testing'!$A$1:$N$497,MATCH(RIGHT($C370,4),'Standard cost - Testing'!$A$1:$A$497,0),MATCH($E370,'Standard cost - Testing'!$K$1:$N$1,0)+10)),"NA",INDEX('Standard cost - Testing'!$A$1:$N$497,MATCH(RIGHT($C370,4),'Standard cost - Testing'!$A$1:$A$497,0),MATCH($E370,'Standard cost - Testing'!$K$1:$N$1,0)+10)))</f>
        <v>83576</v>
      </c>
      <c r="O370" s="45">
        <f>IF(OR(ISERROR($N370),$N370="",$N370="NA"),0,H370*$N370)*(1+INDEX('For Finance Control'!$B$27:$E$29,2,MATCH('Project information'!$A$4,'For Finance Control'!$B$27:$E$27,0)))</f>
        <v>0</v>
      </c>
      <c r="P370" s="45">
        <f>IF(OR(ISERROR($N370),$N370="",$N370="NA"),0,I370*$N370)*(1+INDEX('For Finance Control'!$B$27:$E$29,2,MATCH('Project information'!$A$4,'For Finance Control'!$B$27:$E$27,0)))</f>
        <v>0</v>
      </c>
      <c r="Q370" s="45">
        <f>IF(OR(ISERROR($N370),$N370="",$N370="NA"),0,J370*$N370)*(1+INDEX('For Finance Control'!$B$27:$E$29,2,MATCH('Project information'!$A$4,'For Finance Control'!$B$27:$E$27,0)))</f>
        <v>0</v>
      </c>
      <c r="R370" s="45">
        <f>IF(OR(ISERROR($N370),$N370="",$N370="NA"),0,K370*$N370)*(1+INDEX('For Finance Control'!$B$27:$E$29,2,MATCH('Project information'!$A$4,'For Finance Control'!$B$27:$E$27,0)))</f>
        <v>0</v>
      </c>
      <c r="S370" s="45">
        <f>IF(OR(ISERROR($N370),$N370="",$N370="NA"),0,L370*$N370)*(1+INDEX('For Finance Control'!$B$27:$E$29,2,MATCH('Project information'!$A$4,'For Finance Control'!$B$27:$E$27,0)))</f>
        <v>0</v>
      </c>
      <c r="T370" s="45">
        <f t="shared" si="318"/>
        <v>0</v>
      </c>
      <c r="U370" s="33" cm="1">
        <f t="array" ref="U370">IF($N370="NA","NA",$N370*INDEX('Exchange rate'!$A$1:$G$7,MATCH('Project information'!$A$13,'Exchange rate'!$A$1:$A$7,0),MATCH(LOOKUP(2,1/({"China";"Korea";"India";"Japan";"EUR";"NAO"}=$E370),{"CNY";"KRW";"INR";"JPY";"EUR";"USD"}),'Exchange rate'!$A$1:$G$1,0)))</f>
        <v>83576</v>
      </c>
      <c r="V370" s="33">
        <f t="shared" si="319"/>
        <v>0</v>
      </c>
      <c r="W370" s="33">
        <f t="shared" si="320"/>
        <v>0</v>
      </c>
      <c r="X370" s="33">
        <f t="shared" si="321"/>
        <v>0</v>
      </c>
      <c r="Y370" s="33">
        <f t="shared" si="322"/>
        <v>0</v>
      </c>
      <c r="Z370" s="33">
        <f t="shared" si="323"/>
        <v>0</v>
      </c>
      <c r="AA370" s="33">
        <f t="shared" si="324"/>
        <v>0</v>
      </c>
      <c r="AB370" s="246"/>
      <c r="AC370" s="247"/>
      <c r="AZ370" s="148" t="str">
        <f t="shared" si="327"/>
        <v>5.248</v>
      </c>
      <c r="BA370" s="149" t="s">
        <v>443</v>
      </c>
    </row>
    <row r="371" spans="1:53" ht="25" outlineLevel="1">
      <c r="A371" s="148" t="str">
        <f t="shared" si="326"/>
        <v>5.249</v>
      </c>
      <c r="B371" s="148" t="str">
        <f>INDEX('Standard cost - Testing'!$A$1:$N$497,MATCH(RIGHT($C371,4),'Standard cost - Testing'!$A$1:$A$497,0),3)</f>
        <v>LVE</v>
      </c>
      <c r="C371" s="149" t="str">
        <f>'Standard cost - Testing'!B250&amp;" - "&amp;'Standard cost - Testing'!A250</f>
        <v>Thermal - T022</v>
      </c>
      <c r="D371" s="150" t="str">
        <f>IF(RIGHT(INDEX('Standard cost - Testing'!$A$1:$N$497,MATCH(RIGHT($C371,4),'Standard cost - Testing'!$A$1:$A$497,0),4),1)="]",INDEX('Standard cost - Testing'!$A$1:$N$497,MATCH(RIGHT($C371,4),'Standard cost - Testing'!$A$1:$A$497,0),4),IF(INDEX('Standard cost - Testing'!$A$1:$N$497,MATCH(RIGHT($C371,4),'Standard cost - Testing'!$A$1:$A$497,0),10)=1,INDEX('Standard cost - Testing'!$A$1:$N$497,MATCH(RIGHT($C371,4),'Standard cost - Testing'!$A$1:$A$497,0),4)&amp;" [1 part]",INDEX('Standard cost - Testing'!$A$1:$N$497,MATCH(RIGHT($C371,4),'Standard cost - Testing'!$A$1:$A$497,0),4)&amp;" ["&amp;INDEX('Standard cost - Testing'!$A$1:$N$497,MATCH(RIGHT($C371,4),'Standard cost - Testing'!$A$1:$A$497,0),10)&amp;" parts]"))</f>
        <v>Catalytic converter thermal profile Key Life Test (KLT) [1 part]</v>
      </c>
      <c r="E371" s="51" t="str">
        <f>IF('Project information'!$A$4="","",'Project information'!$A$4)</f>
        <v>China</v>
      </c>
      <c r="F371" s="149" t="str">
        <f>INDEX('Standard cost - Testing'!$A$1:$N$497,MATCH(RIGHT($C371,4),'Standard cost - Testing'!$A$1:$A$497,0),5)</f>
        <v>Ford</v>
      </c>
      <c r="G371" s="149" t="str">
        <f>IF($E371='Standard cost - Testing'!$F$1,INDEX('Standard cost - Testing'!$A$1:$N$497,MATCH(RIGHT($C371,4),'Standard cost - Testing'!$A$1:$A$497,0),6),INDEX('Standard cost - Testing'!$A$1:$N$497,MATCH(RIGHT($C371,4),'Standard cost - Testing'!$A$1:$A$497,0),7))</f>
        <v>CETP 09.02-E-300</v>
      </c>
      <c r="H371" s="46"/>
      <c r="I371" s="46"/>
      <c r="J371" s="46"/>
      <c r="K371" s="46"/>
      <c r="L371" s="46"/>
      <c r="M371" s="33">
        <f t="shared" si="325"/>
        <v>0</v>
      </c>
      <c r="N371" s="157">
        <f>IF(E371="","",IF(ISERROR(INDEX('Standard cost - Testing'!$A$1:$N$497,MATCH(RIGHT($C371,4),'Standard cost - Testing'!$A$1:$A$497,0),MATCH($E371,'Standard cost - Testing'!$K$1:$N$1,0)+10)),"NA",INDEX('Standard cost - Testing'!$A$1:$N$497,MATCH(RIGHT($C371,4),'Standard cost - Testing'!$A$1:$A$497,0),MATCH($E371,'Standard cost - Testing'!$K$1:$N$1,0)+10)))</f>
        <v>18377</v>
      </c>
      <c r="O371" s="45">
        <f>IF(OR(ISERROR($N371),$N371="",$N371="NA"),0,H371*$N371)*(1+INDEX('For Finance Control'!$B$27:$E$29,2,MATCH('Project information'!$A$4,'For Finance Control'!$B$27:$E$27,0)))</f>
        <v>0</v>
      </c>
      <c r="P371" s="45">
        <f>IF(OR(ISERROR($N371),$N371="",$N371="NA"),0,I371*$N371)*(1+INDEX('For Finance Control'!$B$27:$E$29,2,MATCH('Project information'!$A$4,'For Finance Control'!$B$27:$E$27,0)))</f>
        <v>0</v>
      </c>
      <c r="Q371" s="45">
        <f>IF(OR(ISERROR($N371),$N371="",$N371="NA"),0,J371*$N371)*(1+INDEX('For Finance Control'!$B$27:$E$29,2,MATCH('Project information'!$A$4,'For Finance Control'!$B$27:$E$27,0)))</f>
        <v>0</v>
      </c>
      <c r="R371" s="45">
        <f>IF(OR(ISERROR($N371),$N371="",$N371="NA"),0,K371*$N371)*(1+INDEX('For Finance Control'!$B$27:$E$29,2,MATCH('Project information'!$A$4,'For Finance Control'!$B$27:$E$27,0)))</f>
        <v>0</v>
      </c>
      <c r="S371" s="45">
        <f>IF(OR(ISERROR($N371),$N371="",$N371="NA"),0,L371*$N371)*(1+INDEX('For Finance Control'!$B$27:$E$29,2,MATCH('Project information'!$A$4,'For Finance Control'!$B$27:$E$27,0)))</f>
        <v>0</v>
      </c>
      <c r="T371" s="45">
        <f t="shared" si="318"/>
        <v>0</v>
      </c>
      <c r="U371" s="33" cm="1">
        <f t="array" ref="U371">IF($N371="NA","NA",$N371*INDEX('Exchange rate'!$A$1:$G$7,MATCH('Project information'!$A$13,'Exchange rate'!$A$1:$A$7,0),MATCH(LOOKUP(2,1/({"China";"Korea";"India";"Japan";"EUR";"NAO"}=$E371),{"CNY";"KRW";"INR";"JPY";"EUR";"USD"}),'Exchange rate'!$A$1:$G$1,0)))</f>
        <v>18377</v>
      </c>
      <c r="V371" s="33">
        <f t="shared" si="319"/>
        <v>0</v>
      </c>
      <c r="W371" s="33">
        <f t="shared" si="320"/>
        <v>0</v>
      </c>
      <c r="X371" s="33">
        <f t="shared" si="321"/>
        <v>0</v>
      </c>
      <c r="Y371" s="33">
        <f t="shared" si="322"/>
        <v>0</v>
      </c>
      <c r="Z371" s="33">
        <f t="shared" si="323"/>
        <v>0</v>
      </c>
      <c r="AA371" s="33">
        <f t="shared" si="324"/>
        <v>0</v>
      </c>
      <c r="AB371" s="246"/>
      <c r="AC371" s="247"/>
      <c r="AZ371" s="148" t="str">
        <f t="shared" si="327"/>
        <v>5.249</v>
      </c>
      <c r="BA371" s="149" t="s">
        <v>444</v>
      </c>
    </row>
    <row r="372" spans="1:53" ht="25" outlineLevel="1">
      <c r="A372" s="148" t="str">
        <f t="shared" si="326"/>
        <v>5.250</v>
      </c>
      <c r="B372" s="148" t="str">
        <f>INDEX('Standard cost - Testing'!$A$1:$N$497,MATCH(RIGHT($C372,4),'Standard cost - Testing'!$A$1:$A$497,0),3)</f>
        <v>LVE</v>
      </c>
      <c r="C372" s="149" t="str">
        <f>'Standard cost - Testing'!B251&amp;" - "&amp;'Standard cost - Testing'!A251</f>
        <v>Thermal - T023</v>
      </c>
      <c r="D372" s="150" t="str">
        <f>IF(RIGHT(INDEX('Standard cost - Testing'!$A$1:$N$497,MATCH(RIGHT($C372,4),'Standard cost - Testing'!$A$1:$A$497,0),4),1)="]",INDEX('Standard cost - Testing'!$A$1:$N$497,MATCH(RIGHT($C372,4),'Standard cost - Testing'!$A$1:$A$497,0),4),IF(INDEX('Standard cost - Testing'!$A$1:$N$497,MATCH(RIGHT($C372,4),'Standard cost - Testing'!$A$1:$A$497,0),10)=1,INDEX('Standard cost - Testing'!$A$1:$N$497,MATCH(RIGHT($C372,4),'Standard cost - Testing'!$A$1:$A$497,0),4)&amp;" [1 part]",INDEX('Standard cost - Testing'!$A$1:$N$497,MATCH(RIGHT($C372,4),'Standard cost - Testing'!$A$1:$A$497,0),4)&amp;" ["&amp;INDEX('Standard cost - Testing'!$A$1:$N$497,MATCH(RIGHT($C372,4),'Standard cost - Testing'!$A$1:$A$497,0),10)&amp;" parts]"))</f>
        <v>Exhaust system thermal cycle test [1 part]</v>
      </c>
      <c r="E372" s="51" t="str">
        <f>IF('Project information'!$A$4="","",'Project information'!$A$4)</f>
        <v>China</v>
      </c>
      <c r="F372" s="149" t="str">
        <f>INDEX('Standard cost - Testing'!$A$1:$N$497,MATCH(RIGHT($C372,4),'Standard cost - Testing'!$A$1:$A$497,0),5)</f>
        <v>GM</v>
      </c>
      <c r="G372" s="149" t="str">
        <f>IF($E372='Standard cost - Testing'!$F$1,INDEX('Standard cost - Testing'!$A$1:$N$497,MATCH(RIGHT($C372,4),'Standard cost - Testing'!$A$1:$A$497,0),6),INDEX('Standard cost - Testing'!$A$1:$N$497,MATCH(RIGHT($C372,4),'Standard cost - Testing'!$A$1:$A$497,0),7))</f>
        <v>ITE-000458</v>
      </c>
      <c r="H372" s="46"/>
      <c r="I372" s="46"/>
      <c r="J372" s="46"/>
      <c r="K372" s="46"/>
      <c r="L372" s="46"/>
      <c r="M372" s="33">
        <f t="shared" si="325"/>
        <v>0</v>
      </c>
      <c r="N372" s="157">
        <f>IF(E372="","",IF(ISERROR(INDEX('Standard cost - Testing'!$A$1:$N$497,MATCH(RIGHT($C372,4),'Standard cost - Testing'!$A$1:$A$497,0),MATCH($E372,'Standard cost - Testing'!$K$1:$N$1,0)+10)),"NA",INDEX('Standard cost - Testing'!$A$1:$N$497,MATCH(RIGHT($C372,4),'Standard cost - Testing'!$A$1:$A$497,0),MATCH($E372,'Standard cost - Testing'!$K$1:$N$1,0)+10)))</f>
        <v>169544</v>
      </c>
      <c r="O372" s="45">
        <f>IF(OR(ISERROR($N372),$N372="",$N372="NA"),0,H372*$N372)*(1+INDEX('For Finance Control'!$B$27:$E$29,2,MATCH('Project information'!$A$4,'For Finance Control'!$B$27:$E$27,0)))</f>
        <v>0</v>
      </c>
      <c r="P372" s="45">
        <f>IF(OR(ISERROR($N372),$N372="",$N372="NA"),0,I372*$N372)*(1+INDEX('For Finance Control'!$B$27:$E$29,2,MATCH('Project information'!$A$4,'For Finance Control'!$B$27:$E$27,0)))</f>
        <v>0</v>
      </c>
      <c r="Q372" s="45">
        <f>IF(OR(ISERROR($N372),$N372="",$N372="NA"),0,J372*$N372)*(1+INDEX('For Finance Control'!$B$27:$E$29,2,MATCH('Project information'!$A$4,'For Finance Control'!$B$27:$E$27,0)))</f>
        <v>0</v>
      </c>
      <c r="R372" s="45">
        <f>IF(OR(ISERROR($N372),$N372="",$N372="NA"),0,K372*$N372)*(1+INDEX('For Finance Control'!$B$27:$E$29,2,MATCH('Project information'!$A$4,'For Finance Control'!$B$27:$E$27,0)))</f>
        <v>0</v>
      </c>
      <c r="S372" s="45">
        <f>IF(OR(ISERROR($N372),$N372="",$N372="NA"),0,L372*$N372)*(1+INDEX('For Finance Control'!$B$27:$E$29,2,MATCH('Project information'!$A$4,'For Finance Control'!$B$27:$E$27,0)))</f>
        <v>0</v>
      </c>
      <c r="T372" s="45">
        <f t="shared" si="318"/>
        <v>0</v>
      </c>
      <c r="U372" s="33" cm="1">
        <f t="array" ref="U372">IF($N372="NA","NA",$N372*INDEX('Exchange rate'!$A$1:$G$7,MATCH('Project information'!$A$13,'Exchange rate'!$A$1:$A$7,0),MATCH(LOOKUP(2,1/({"China";"Korea";"India";"Japan";"EUR";"NAO"}=$E372),{"CNY";"KRW";"INR";"JPY";"EUR";"USD"}),'Exchange rate'!$A$1:$G$1,0)))</f>
        <v>169544</v>
      </c>
      <c r="V372" s="33">
        <f t="shared" si="319"/>
        <v>0</v>
      </c>
      <c r="W372" s="33">
        <f t="shared" si="320"/>
        <v>0</v>
      </c>
      <c r="X372" s="33">
        <f t="shared" si="321"/>
        <v>0</v>
      </c>
      <c r="Y372" s="33">
        <f t="shared" si="322"/>
        <v>0</v>
      </c>
      <c r="Z372" s="33">
        <f t="shared" si="323"/>
        <v>0</v>
      </c>
      <c r="AA372" s="33">
        <f t="shared" si="324"/>
        <v>0</v>
      </c>
      <c r="AB372" s="246"/>
      <c r="AC372" s="247"/>
      <c r="AZ372" s="148" t="str">
        <f t="shared" si="327"/>
        <v>5.250</v>
      </c>
      <c r="BA372" s="149" t="s">
        <v>394</v>
      </c>
    </row>
    <row r="373" spans="1:53" ht="25" outlineLevel="1">
      <c r="A373" s="148" t="str">
        <f t="shared" si="326"/>
        <v>5.251</v>
      </c>
      <c r="B373" s="148" t="str">
        <f>INDEX('Standard cost - Testing'!$A$1:$N$497,MATCH(RIGHT($C373,4),'Standard cost - Testing'!$A$1:$A$497,0),3)</f>
        <v>CVE</v>
      </c>
      <c r="C373" s="149" t="str">
        <f>'Standard cost - Testing'!B252&amp;" - "&amp;'Standard cost - Testing'!A252</f>
        <v>Thermal - T025</v>
      </c>
      <c r="D373" s="150" t="str">
        <f>IF(RIGHT(INDEX('Standard cost - Testing'!$A$1:$N$497,MATCH(RIGHT($C373,4),'Standard cost - Testing'!$A$1:$A$497,0),4),1)="]",INDEX('Standard cost - Testing'!$A$1:$N$497,MATCH(RIGHT($C373,4),'Standard cost - Testing'!$A$1:$A$497,0),4),IF(INDEX('Standard cost - Testing'!$A$1:$N$497,MATCH(RIGHT($C373,4),'Standard cost - Testing'!$A$1:$A$497,0),10)=1,INDEX('Standard cost - Testing'!$A$1:$N$497,MATCH(RIGHT($C373,4),'Standard cost - Testing'!$A$1:$A$497,0),4)&amp;" [1 part]",INDEX('Standard cost - Testing'!$A$1:$N$497,MATCH(RIGHT($C373,4),'Standard cost - Testing'!$A$1:$A$497,0),4)&amp;" ["&amp;INDEX('Standard cost - Testing'!$A$1:$N$497,MATCH(RIGHT($C373,4),'Standard cost - Testing'!$A$1:$A$497,0),10)&amp;" parts]"))</f>
        <v>Canning validation section 2 - Thermal shock [2 parts]</v>
      </c>
      <c r="E373" s="51" t="str">
        <f>IF('Project information'!$A$4="","",'Project information'!$A$4)</f>
        <v>China</v>
      </c>
      <c r="F373" s="149" t="str">
        <f>INDEX('Standard cost - Testing'!$A$1:$N$497,MATCH(RIGHT($C373,4),'Standard cost - Testing'!$A$1:$A$497,0),5)</f>
        <v>Faurecia</v>
      </c>
      <c r="G373" s="149" t="str">
        <f>IF($E373='Standard cost - Testing'!$F$1,INDEX('Standard cost - Testing'!$A$1:$N$497,MATCH(RIGHT($C373,4),'Standard cost - Testing'!$A$1:$A$497,0),6),INDEX('Standard cost - Testing'!$A$1:$N$497,MATCH(RIGHT($C373,4),'Standard cost - Testing'!$A$1:$A$497,0),7))</f>
        <v>CHD-I-DSE-2060</v>
      </c>
      <c r="H373" s="46"/>
      <c r="I373" s="46"/>
      <c r="J373" s="46"/>
      <c r="K373" s="46"/>
      <c r="L373" s="46"/>
      <c r="M373" s="33">
        <f t="shared" ref="M373:M375" si="328">SUM(H373:L373)</f>
        <v>0</v>
      </c>
      <c r="N373" s="157">
        <f>IF(E373="","",IF(ISERROR(INDEX('Standard cost - Testing'!$A$1:$N$497,MATCH(RIGHT($C373,4),'Standard cost - Testing'!$A$1:$A$497,0),MATCH($E373,'Standard cost - Testing'!$K$1:$N$1,0)+10)),"NA",INDEX('Standard cost - Testing'!$A$1:$N$497,MATCH(RIGHT($C373,4),'Standard cost - Testing'!$A$1:$A$497,0),MATCH($E373,'Standard cost - Testing'!$K$1:$N$1,0)+10)))</f>
        <v>81148</v>
      </c>
      <c r="O373" s="45">
        <f>IF(OR(ISERROR($N373),$N373="",$N373="NA"),0,H373*$N373)*(1+INDEX('For Finance Control'!$B$27:$E$29,2,MATCH('Project information'!$A$4,'For Finance Control'!$B$27:$E$27,0)))</f>
        <v>0</v>
      </c>
      <c r="P373" s="45">
        <f>IF(OR(ISERROR($N373),$N373="",$N373="NA"),0,I373*$N373)*(1+INDEX('For Finance Control'!$B$27:$E$29,2,MATCH('Project information'!$A$4,'For Finance Control'!$B$27:$E$27,0)))</f>
        <v>0</v>
      </c>
      <c r="Q373" s="45">
        <f>IF(OR(ISERROR($N373),$N373="",$N373="NA"),0,J373*$N373)*(1+INDEX('For Finance Control'!$B$27:$E$29,2,MATCH('Project information'!$A$4,'For Finance Control'!$B$27:$E$27,0)))</f>
        <v>0</v>
      </c>
      <c r="R373" s="45">
        <f>IF(OR(ISERROR($N373),$N373="",$N373="NA"),0,K373*$N373)*(1+INDEX('For Finance Control'!$B$27:$E$29,2,MATCH('Project information'!$A$4,'For Finance Control'!$B$27:$E$27,0)))</f>
        <v>0</v>
      </c>
      <c r="S373" s="45">
        <f>IF(OR(ISERROR($N373),$N373="",$N373="NA"),0,L373*$N373)*(1+INDEX('For Finance Control'!$B$27:$E$29,2,MATCH('Project information'!$A$4,'For Finance Control'!$B$27:$E$27,0)))</f>
        <v>0</v>
      </c>
      <c r="T373" s="45">
        <f t="shared" ref="T373:T375" si="329">SUM(O373:S373)</f>
        <v>0</v>
      </c>
      <c r="U373" s="33" cm="1">
        <f t="array" ref="U373">IF($N373="NA","NA",$N373*INDEX('Exchange rate'!$A$1:$G$7,MATCH('Project information'!$A$13,'Exchange rate'!$A$1:$A$7,0),MATCH(LOOKUP(2,1/({"China";"Korea";"India";"Japan";"EUR";"NAO"}=$E373),{"CNY";"KRW";"INR";"JPY";"EUR";"USD"}),'Exchange rate'!$A$1:$G$1,0)))</f>
        <v>81148</v>
      </c>
      <c r="V373" s="33">
        <f t="shared" ref="V373:V375" si="330">IF(OR(ISERROR($U373),$U373="",$U373="NA"),0,H373*$U373)</f>
        <v>0</v>
      </c>
      <c r="W373" s="33">
        <f t="shared" ref="W373:W375" si="331">IF(OR(ISERROR($U373),$U373="",$U373="NA"),0,I373*$U373)</f>
        <v>0</v>
      </c>
      <c r="X373" s="33">
        <f t="shared" ref="X373:X375" si="332">IF(OR(ISERROR($U373),$U373="",$U373="NA"),0,J373*$U373)</f>
        <v>0</v>
      </c>
      <c r="Y373" s="33">
        <f t="shared" ref="Y373:Y375" si="333">IF(OR(ISERROR($U373),$U373="",$U373="NA"),0,K373*$U373)</f>
        <v>0</v>
      </c>
      <c r="Z373" s="33">
        <f t="shared" ref="Z373:Z375" si="334">IF(OR(ISERROR($U373),$U373="",$U373="NA"),0,L373*$U373)</f>
        <v>0</v>
      </c>
      <c r="AA373" s="33">
        <f t="shared" ref="AA373:AA375" si="335">SUM(V373:Z373)</f>
        <v>0</v>
      </c>
      <c r="AB373" s="246"/>
      <c r="AC373" s="247"/>
      <c r="AZ373" s="148" t="str">
        <f t="shared" si="327"/>
        <v>5.251</v>
      </c>
      <c r="BA373" s="149" t="s">
        <v>445</v>
      </c>
    </row>
    <row r="374" spans="1:53" outlineLevel="1">
      <c r="A374" s="148" t="str">
        <f t="shared" si="326"/>
        <v>5.252</v>
      </c>
      <c r="B374" s="148" t="str">
        <f>INDEX('Standard cost - Testing'!$A$1:$N$497,MATCH(RIGHT($C374,4),'Standard cost - Testing'!$A$1:$A$497,0),3)</f>
        <v>LVE</v>
      </c>
      <c r="C374" s="149" t="str">
        <f>'Standard cost - Testing'!B253&amp;" - "&amp;'Standard cost - Testing'!A253</f>
        <v>Thermal - T026</v>
      </c>
      <c r="D374" s="150" t="str">
        <f>IF(RIGHT(INDEX('Standard cost - Testing'!$A$1:$N$497,MATCH(RIGHT($C374,4),'Standard cost - Testing'!$A$1:$A$497,0),4),1)="]",INDEX('Standard cost - Testing'!$A$1:$N$497,MATCH(RIGHT($C374,4),'Standard cost - Testing'!$A$1:$A$497,0),4),IF(INDEX('Standard cost - Testing'!$A$1:$N$497,MATCH(RIGHT($C374,4),'Standard cost - Testing'!$A$1:$A$497,0),10)=1,INDEX('Standard cost - Testing'!$A$1:$N$497,MATCH(RIGHT($C374,4),'Standard cost - Testing'!$A$1:$A$497,0),4)&amp;" [1 part]",INDEX('Standard cost - Testing'!$A$1:$N$497,MATCH(RIGHT($C374,4),'Standard cost - Testing'!$A$1:$A$497,0),4)&amp;" ["&amp;INDEX('Standard cost - Testing'!$A$1:$N$497,MATCH(RIGHT($C374,4),'Standard cost - Testing'!$A$1:$A$497,0),10)&amp;" parts]"))</f>
        <v>Converter thermal shock [6 parts]</v>
      </c>
      <c r="E374" s="51" t="str">
        <f>IF('Project information'!$A$4="","",'Project information'!$A$4)</f>
        <v>China</v>
      </c>
      <c r="F374" s="149" t="str">
        <f>INDEX('Standard cost - Testing'!$A$1:$N$497,MATCH(RIGHT($C374,4),'Standard cost - Testing'!$A$1:$A$497,0),5)</f>
        <v>FCA</v>
      </c>
      <c r="G374" s="149" t="str">
        <f>IF($E374='Standard cost - Testing'!$F$1,INDEX('Standard cost - Testing'!$A$1:$N$497,MATCH(RIGHT($C374,4),'Standard cost - Testing'!$A$1:$A$497,0),6),INDEX('Standard cost - Testing'!$A$1:$N$497,MATCH(RIGHT($C374,4),'Standard cost - Testing'!$A$1:$A$497,0),7))</f>
        <v>PF.90160 9.7</v>
      </c>
      <c r="H374" s="46"/>
      <c r="I374" s="46"/>
      <c r="J374" s="46"/>
      <c r="K374" s="46"/>
      <c r="L374" s="46"/>
      <c r="M374" s="33">
        <f t="shared" si="328"/>
        <v>0</v>
      </c>
      <c r="N374" s="157">
        <f>IF(E374="","",IF(ISERROR(INDEX('Standard cost - Testing'!$A$1:$N$497,MATCH(RIGHT($C374,4),'Standard cost - Testing'!$A$1:$A$497,0),MATCH($E374,'Standard cost - Testing'!$K$1:$N$1,0)+10)),"NA",INDEX('Standard cost - Testing'!$A$1:$N$497,MATCH(RIGHT($C374,4),'Standard cost - Testing'!$A$1:$A$497,0),MATCH($E374,'Standard cost - Testing'!$K$1:$N$1,0)+10)))</f>
        <v>351264</v>
      </c>
      <c r="O374" s="45">
        <f>IF(OR(ISERROR($N374),$N374="",$N374="NA"),0,H374*$N374)*(1+INDEX('For Finance Control'!$B$27:$E$29,2,MATCH('Project information'!$A$4,'For Finance Control'!$B$27:$E$27,0)))</f>
        <v>0</v>
      </c>
      <c r="P374" s="45">
        <f>IF(OR(ISERROR($N374),$N374="",$N374="NA"),0,I374*$N374)*(1+INDEX('For Finance Control'!$B$27:$E$29,2,MATCH('Project information'!$A$4,'For Finance Control'!$B$27:$E$27,0)))</f>
        <v>0</v>
      </c>
      <c r="Q374" s="45">
        <f>IF(OR(ISERROR($N374),$N374="",$N374="NA"),0,J374*$N374)*(1+INDEX('For Finance Control'!$B$27:$E$29,2,MATCH('Project information'!$A$4,'For Finance Control'!$B$27:$E$27,0)))</f>
        <v>0</v>
      </c>
      <c r="R374" s="45">
        <f>IF(OR(ISERROR($N374),$N374="",$N374="NA"),0,K374*$N374)*(1+INDEX('For Finance Control'!$B$27:$E$29,2,MATCH('Project information'!$A$4,'For Finance Control'!$B$27:$E$27,0)))</f>
        <v>0</v>
      </c>
      <c r="S374" s="45">
        <f>IF(OR(ISERROR($N374),$N374="",$N374="NA"),0,L374*$N374)*(1+INDEX('For Finance Control'!$B$27:$E$29,2,MATCH('Project information'!$A$4,'For Finance Control'!$B$27:$E$27,0)))</f>
        <v>0</v>
      </c>
      <c r="T374" s="45">
        <f t="shared" si="329"/>
        <v>0</v>
      </c>
      <c r="U374" s="33" cm="1">
        <f t="array" ref="U374">IF($N374="NA","NA",$N374*INDEX('Exchange rate'!$A$1:$G$7,MATCH('Project information'!$A$13,'Exchange rate'!$A$1:$A$7,0),MATCH(LOOKUP(2,1/({"China";"Korea";"India";"Japan";"EUR";"NAO"}=$E374),{"CNY";"KRW";"INR";"JPY";"EUR";"USD"}),'Exchange rate'!$A$1:$G$1,0)))</f>
        <v>351264</v>
      </c>
      <c r="V374" s="33">
        <f t="shared" si="330"/>
        <v>0</v>
      </c>
      <c r="W374" s="33">
        <f t="shared" si="331"/>
        <v>0</v>
      </c>
      <c r="X374" s="33">
        <f t="shared" si="332"/>
        <v>0</v>
      </c>
      <c r="Y374" s="33">
        <f t="shared" si="333"/>
        <v>0</v>
      </c>
      <c r="Z374" s="33">
        <f t="shared" si="334"/>
        <v>0</v>
      </c>
      <c r="AA374" s="33">
        <f t="shared" si="335"/>
        <v>0</v>
      </c>
      <c r="AB374" s="246"/>
      <c r="AC374" s="247"/>
      <c r="AZ374" s="148" t="str">
        <f t="shared" si="327"/>
        <v>5.252</v>
      </c>
      <c r="BA374" s="149" t="s">
        <v>101</v>
      </c>
    </row>
    <row r="375" spans="1:53" outlineLevel="1">
      <c r="A375" s="148" t="str">
        <f t="shared" si="326"/>
        <v>5.253</v>
      </c>
      <c r="B375" s="148" t="str">
        <f>INDEX('Standard cost - Testing'!$A$1:$N$497,MATCH(RIGHT($C375,4),'Standard cost - Testing'!$A$1:$A$497,0),3)</f>
        <v>LVE</v>
      </c>
      <c r="C375" s="149" t="str">
        <f>'Standard cost - Testing'!B254&amp;" - "&amp;'Standard cost - Testing'!A254</f>
        <v>Thermal - T027</v>
      </c>
      <c r="D375" s="150" t="str">
        <f>IF(RIGHT(INDEX('Standard cost - Testing'!$A$1:$N$497,MATCH(RIGHT($C375,4),'Standard cost - Testing'!$A$1:$A$497,0),4),1)="]",INDEX('Standard cost - Testing'!$A$1:$N$497,MATCH(RIGHT($C375,4),'Standard cost - Testing'!$A$1:$A$497,0),4),IF(INDEX('Standard cost - Testing'!$A$1:$N$497,MATCH(RIGHT($C375,4),'Standard cost - Testing'!$A$1:$A$497,0),10)=1,INDEX('Standard cost - Testing'!$A$1:$N$497,MATCH(RIGHT($C375,4),'Standard cost - Testing'!$A$1:$A$497,0),4)&amp;" [1 part]",INDEX('Standard cost - Testing'!$A$1:$N$497,MATCH(RIGHT($C375,4),'Standard cost - Testing'!$A$1:$A$497,0),4)&amp;" ["&amp;INDEX('Standard cost - Testing'!$A$1:$N$497,MATCH(RIGHT($C375,4),'Standard cost - Testing'!$A$1:$A$497,0),10)&amp;" parts]"))</f>
        <v>Thermal cycle durability [1 part]</v>
      </c>
      <c r="E375" s="51" t="str">
        <f>IF('Project information'!$A$4="","",'Project information'!$A$4)</f>
        <v>China</v>
      </c>
      <c r="F375" s="149" t="str">
        <f>INDEX('Standard cost - Testing'!$A$1:$N$497,MATCH(RIGHT($C375,4),'Standard cost - Testing'!$A$1:$A$497,0),5)</f>
        <v>NISSAN</v>
      </c>
      <c r="G375" s="149">
        <f>IF($E375='Standard cost - Testing'!$F$1,INDEX('Standard cost - Testing'!$A$1:$N$497,MATCH(RIGHT($C375,4),'Standard cost - Testing'!$A$1:$A$497,0),6),INDEX('Standard cost - Testing'!$A$1:$N$497,MATCH(RIGHT($C375,4),'Standard cost - Testing'!$A$1:$A$497,0),7))</f>
        <v>0</v>
      </c>
      <c r="H375" s="46"/>
      <c r="I375" s="46"/>
      <c r="J375" s="46"/>
      <c r="K375" s="46"/>
      <c r="L375" s="46"/>
      <c r="M375" s="33">
        <f t="shared" si="328"/>
        <v>0</v>
      </c>
      <c r="N375" s="157">
        <f>IF(E375="","",IF(ISERROR(INDEX('Standard cost - Testing'!$A$1:$N$497,MATCH(RIGHT($C375,4),'Standard cost - Testing'!$A$1:$A$497,0),MATCH($E375,'Standard cost - Testing'!$K$1:$N$1,0)+10)),"NA",INDEX('Standard cost - Testing'!$A$1:$N$497,MATCH(RIGHT($C375,4),'Standard cost - Testing'!$A$1:$A$497,0),MATCH($E375,'Standard cost - Testing'!$K$1:$N$1,0)+10)))</f>
        <v>141503</v>
      </c>
      <c r="O375" s="45">
        <f>IF(OR(ISERROR($N375),$N375="",$N375="NA"),0,H375*$N375)*(1+INDEX('For Finance Control'!$B$27:$E$29,2,MATCH('Project information'!$A$4,'For Finance Control'!$B$27:$E$27,0)))</f>
        <v>0</v>
      </c>
      <c r="P375" s="45">
        <f>IF(OR(ISERROR($N375),$N375="",$N375="NA"),0,I375*$N375)*(1+INDEX('For Finance Control'!$B$27:$E$29,2,MATCH('Project information'!$A$4,'For Finance Control'!$B$27:$E$27,0)))</f>
        <v>0</v>
      </c>
      <c r="Q375" s="45">
        <f>IF(OR(ISERROR($N375),$N375="",$N375="NA"),0,J375*$N375)*(1+INDEX('For Finance Control'!$B$27:$E$29,2,MATCH('Project information'!$A$4,'For Finance Control'!$B$27:$E$27,0)))</f>
        <v>0</v>
      </c>
      <c r="R375" s="45">
        <f>IF(OR(ISERROR($N375),$N375="",$N375="NA"),0,K375*$N375)*(1+INDEX('For Finance Control'!$B$27:$E$29,2,MATCH('Project information'!$A$4,'For Finance Control'!$B$27:$E$27,0)))</f>
        <v>0</v>
      </c>
      <c r="S375" s="45">
        <f>IF(OR(ISERROR($N375),$N375="",$N375="NA"),0,L375*$N375)*(1+INDEX('For Finance Control'!$B$27:$E$29,2,MATCH('Project information'!$A$4,'For Finance Control'!$B$27:$E$27,0)))</f>
        <v>0</v>
      </c>
      <c r="T375" s="45">
        <f t="shared" si="329"/>
        <v>0</v>
      </c>
      <c r="U375" s="33" cm="1">
        <f t="array" ref="U375">IF($N375="NA","NA",$N375*INDEX('Exchange rate'!$A$1:$G$7,MATCH('Project information'!$A$13,'Exchange rate'!$A$1:$A$7,0),MATCH(LOOKUP(2,1/({"China";"Korea";"India";"Japan";"EUR";"NAO"}=$E375),{"CNY";"KRW";"INR";"JPY";"EUR";"USD"}),'Exchange rate'!$A$1:$G$1,0)))</f>
        <v>141503</v>
      </c>
      <c r="V375" s="33">
        <f t="shared" si="330"/>
        <v>0</v>
      </c>
      <c r="W375" s="33">
        <f t="shared" si="331"/>
        <v>0</v>
      </c>
      <c r="X375" s="33">
        <f t="shared" si="332"/>
        <v>0</v>
      </c>
      <c r="Y375" s="33">
        <f t="shared" si="333"/>
        <v>0</v>
      </c>
      <c r="Z375" s="33">
        <f t="shared" si="334"/>
        <v>0</v>
      </c>
      <c r="AA375" s="33">
        <f t="shared" si="335"/>
        <v>0</v>
      </c>
      <c r="AB375" s="246"/>
      <c r="AC375" s="247"/>
      <c r="AZ375" s="148" t="str">
        <f t="shared" si="327"/>
        <v>5.253</v>
      </c>
      <c r="BA375" s="149" t="s">
        <v>101</v>
      </c>
    </row>
    <row r="376" spans="1:53" outlineLevel="1">
      <c r="A376" s="148" t="str">
        <f t="shared" si="326"/>
        <v>5.254</v>
      </c>
      <c r="B376" s="148" t="str">
        <f>INDEX('Standard cost - Testing'!$A$1:$N$497,MATCH(RIGHT($C376,4),'Standard cost - Testing'!$A$1:$A$497,0),3)</f>
        <v>LVE</v>
      </c>
      <c r="C376" s="149" t="str">
        <f>'Standard cost - Testing'!B255&amp;" - "&amp;'Standard cost - Testing'!A255</f>
        <v>Thermal - T028</v>
      </c>
      <c r="D376" s="150" t="str">
        <f>IF(RIGHT(INDEX('Standard cost - Testing'!$A$1:$N$497,MATCH(RIGHT($C376,4),'Standard cost - Testing'!$A$1:$A$497,0),4),1)="]",INDEX('Standard cost - Testing'!$A$1:$N$497,MATCH(RIGHT($C376,4),'Standard cost - Testing'!$A$1:$A$497,0),4),IF(INDEX('Standard cost - Testing'!$A$1:$N$497,MATCH(RIGHT($C376,4),'Standard cost - Testing'!$A$1:$A$497,0),10)=1,INDEX('Standard cost - Testing'!$A$1:$N$497,MATCH(RIGHT($C376,4),'Standard cost - Testing'!$A$1:$A$497,0),4)&amp;" [1 part]",INDEX('Standard cost - Testing'!$A$1:$N$497,MATCH(RIGHT($C376,4),'Standard cost - Testing'!$A$1:$A$497,0),4)&amp;" ["&amp;INDEX('Standard cost - Testing'!$A$1:$N$497,MATCH(RIGHT($C376,4),'Standard cost - Testing'!$A$1:$A$497,0),10)&amp;" parts]"))</f>
        <v>Deformation due to steam [3 parts]</v>
      </c>
      <c r="E376" s="51" t="str">
        <f>IF('Project information'!$A$4="","",'Project information'!$A$4)</f>
        <v>China</v>
      </c>
      <c r="F376" s="149" t="str">
        <f>INDEX('Standard cost - Testing'!$A$1:$N$497,MATCH(RIGHT($C376,4),'Standard cost - Testing'!$A$1:$A$497,0),5)</f>
        <v>NISSAN</v>
      </c>
      <c r="G376" s="149">
        <f>IF($E376='Standard cost - Testing'!$F$1,INDEX('Standard cost - Testing'!$A$1:$N$497,MATCH(RIGHT($C376,4),'Standard cost - Testing'!$A$1:$A$497,0),6),INDEX('Standard cost - Testing'!$A$1:$N$497,MATCH(RIGHT($C376,4),'Standard cost - Testing'!$A$1:$A$497,0),7))</f>
        <v>0</v>
      </c>
      <c r="H376" s="46"/>
      <c r="I376" s="46"/>
      <c r="J376" s="46"/>
      <c r="K376" s="46"/>
      <c r="L376" s="46"/>
      <c r="M376" s="33">
        <f t="shared" ref="M376:M389" si="336">SUM(H376:L376)</f>
        <v>0</v>
      </c>
      <c r="N376" s="157">
        <f>IF(E376="","",IF(ISERROR(INDEX('Standard cost - Testing'!$A$1:$N$497,MATCH(RIGHT($C376,4),'Standard cost - Testing'!$A$1:$A$497,0),MATCH($E376,'Standard cost - Testing'!$K$1:$N$1,0)+10)),"NA",INDEX('Standard cost - Testing'!$A$1:$N$497,MATCH(RIGHT($C376,4),'Standard cost - Testing'!$A$1:$A$497,0),MATCH($E376,'Standard cost - Testing'!$K$1:$N$1,0)+10)))</f>
        <v>8112</v>
      </c>
      <c r="O376" s="45">
        <f>IF(OR(ISERROR($N376),$N376="",$N376="NA"),0,H376*$N376)*(1+INDEX('For Finance Control'!$B$27:$E$29,2,MATCH('Project information'!$A$4,'For Finance Control'!$B$27:$E$27,0)))</f>
        <v>0</v>
      </c>
      <c r="P376" s="45">
        <f>IF(OR(ISERROR($N376),$N376="",$N376="NA"),0,I376*$N376)*(1+INDEX('For Finance Control'!$B$27:$E$29,2,MATCH('Project information'!$A$4,'For Finance Control'!$B$27:$E$27,0)))</f>
        <v>0</v>
      </c>
      <c r="Q376" s="45">
        <f>IF(OR(ISERROR($N376),$N376="",$N376="NA"),0,J376*$N376)*(1+INDEX('For Finance Control'!$B$27:$E$29,2,MATCH('Project information'!$A$4,'For Finance Control'!$B$27:$E$27,0)))</f>
        <v>0</v>
      </c>
      <c r="R376" s="45">
        <f>IF(OR(ISERROR($N376),$N376="",$N376="NA"),0,K376*$N376)*(1+INDEX('For Finance Control'!$B$27:$E$29,2,MATCH('Project information'!$A$4,'For Finance Control'!$B$27:$E$27,0)))</f>
        <v>0</v>
      </c>
      <c r="S376" s="45">
        <f>IF(OR(ISERROR($N376),$N376="",$N376="NA"),0,L376*$N376)*(1+INDEX('For Finance Control'!$B$27:$E$29,2,MATCH('Project information'!$A$4,'For Finance Control'!$B$27:$E$27,0)))</f>
        <v>0</v>
      </c>
      <c r="T376" s="45">
        <f t="shared" ref="T376:T389" si="337">SUM(O376:S376)</f>
        <v>0</v>
      </c>
      <c r="U376" s="33" cm="1">
        <f t="array" ref="U376">IF($N376="NA","NA",$N376*INDEX('Exchange rate'!$A$1:$G$7,MATCH('Project information'!$A$13,'Exchange rate'!$A$1:$A$7,0),MATCH(LOOKUP(2,1/({"China";"Korea";"India";"Japan";"EUR";"NAO"}=$E376),{"CNY";"KRW";"INR";"JPY";"EUR";"USD"}),'Exchange rate'!$A$1:$G$1,0)))</f>
        <v>8112</v>
      </c>
      <c r="V376" s="33">
        <f t="shared" ref="V376:V389" si="338">IF(OR(ISERROR($U376),$U376="",$U376="NA"),0,H376*$U376)</f>
        <v>0</v>
      </c>
      <c r="W376" s="33">
        <f t="shared" ref="W376:W389" si="339">IF(OR(ISERROR($U376),$U376="",$U376="NA"),0,I376*$U376)</f>
        <v>0</v>
      </c>
      <c r="X376" s="33">
        <f t="shared" ref="X376:X389" si="340">IF(OR(ISERROR($U376),$U376="",$U376="NA"),0,J376*$U376)</f>
        <v>0</v>
      </c>
      <c r="Y376" s="33">
        <f t="shared" ref="Y376:Y389" si="341">IF(OR(ISERROR($U376),$U376="",$U376="NA"),0,K376*$U376)</f>
        <v>0</v>
      </c>
      <c r="Z376" s="33">
        <f t="shared" ref="Z376:Z389" si="342">IF(OR(ISERROR($U376),$U376="",$U376="NA"),0,L376*$U376)</f>
        <v>0</v>
      </c>
      <c r="AA376" s="33">
        <f t="shared" ref="AA376:AA389" si="343">SUM(V376:Z376)</f>
        <v>0</v>
      </c>
      <c r="AB376" s="164"/>
      <c r="AC376" s="165"/>
      <c r="AZ376" s="148"/>
      <c r="BA376" s="149"/>
    </row>
    <row r="377" spans="1:53" outlineLevel="1">
      <c r="A377" s="148" t="str">
        <f t="shared" si="326"/>
        <v>5.255</v>
      </c>
      <c r="B377" s="148" t="str">
        <f>INDEX('Standard cost - Testing'!$A$1:$N$497,MATCH(RIGHT($C377,4),'Standard cost - Testing'!$A$1:$A$497,0),3)</f>
        <v>LVE</v>
      </c>
      <c r="C377" s="149" t="str">
        <f>'Standard cost - Testing'!B256&amp;" - "&amp;'Standard cost - Testing'!A256</f>
        <v>Thermal - T029</v>
      </c>
      <c r="D377" s="150" t="str">
        <f>IF(RIGHT(INDEX('Standard cost - Testing'!$A$1:$N$497,MATCH(RIGHT($C377,4),'Standard cost - Testing'!$A$1:$A$497,0),4),1)="]",INDEX('Standard cost - Testing'!$A$1:$N$497,MATCH(RIGHT($C377,4),'Standard cost - Testing'!$A$1:$A$497,0),4),IF(INDEX('Standard cost - Testing'!$A$1:$N$497,MATCH(RIGHT($C377,4),'Standard cost - Testing'!$A$1:$A$497,0),10)=1,INDEX('Standard cost - Testing'!$A$1:$N$497,MATCH(RIGHT($C377,4),'Standard cost - Testing'!$A$1:$A$497,0),4)&amp;" [1 part]",INDEX('Standard cost - Testing'!$A$1:$N$497,MATCH(RIGHT($C377,4),'Standard cost - Testing'!$A$1:$A$497,0),4)&amp;" ["&amp;INDEX('Standard cost - Testing'!$A$1:$N$497,MATCH(RIGHT($C377,4),'Standard cost - Testing'!$A$1:$A$497,0),10)&amp;" parts]"))</f>
        <v>Condensate [1 part]</v>
      </c>
      <c r="E377" s="51" t="str">
        <f>IF('Project information'!$A$4="","",'Project information'!$A$4)</f>
        <v>China</v>
      </c>
      <c r="F377" s="149" t="str">
        <f>INDEX('Standard cost - Testing'!$A$1:$N$497,MATCH(RIGHT($C377,4),'Standard cost - Testing'!$A$1:$A$497,0),5)</f>
        <v>NISSAN</v>
      </c>
      <c r="G377" s="149">
        <f>IF($E377='Standard cost - Testing'!$F$1,INDEX('Standard cost - Testing'!$A$1:$N$497,MATCH(RIGHT($C377,4),'Standard cost - Testing'!$A$1:$A$497,0),6),INDEX('Standard cost - Testing'!$A$1:$N$497,MATCH(RIGHT($C377,4),'Standard cost - Testing'!$A$1:$A$497,0),7))</f>
        <v>0</v>
      </c>
      <c r="H377" s="46"/>
      <c r="I377" s="46"/>
      <c r="J377" s="46"/>
      <c r="K377" s="46"/>
      <c r="L377" s="46"/>
      <c r="M377" s="33">
        <f t="shared" si="336"/>
        <v>0</v>
      </c>
      <c r="N377" s="157">
        <f>IF(E377="","",IF(ISERROR(INDEX('Standard cost - Testing'!$A$1:$N$497,MATCH(RIGHT($C377,4),'Standard cost - Testing'!$A$1:$A$497,0),MATCH($E377,'Standard cost - Testing'!$K$1:$N$1,0)+10)),"NA",INDEX('Standard cost - Testing'!$A$1:$N$497,MATCH(RIGHT($C377,4),'Standard cost - Testing'!$A$1:$A$497,0),MATCH($E377,'Standard cost - Testing'!$K$1:$N$1,0)+10)))</f>
        <v>4524</v>
      </c>
      <c r="O377" s="45">
        <f>IF(OR(ISERROR($N377),$N377="",$N377="NA"),0,H377*$N377)*(1+INDEX('For Finance Control'!$B$27:$E$29,2,MATCH('Project information'!$A$4,'For Finance Control'!$B$27:$E$27,0)))</f>
        <v>0</v>
      </c>
      <c r="P377" s="45">
        <f>IF(OR(ISERROR($N377),$N377="",$N377="NA"),0,I377*$N377)*(1+INDEX('For Finance Control'!$B$27:$E$29,2,MATCH('Project information'!$A$4,'For Finance Control'!$B$27:$E$27,0)))</f>
        <v>0</v>
      </c>
      <c r="Q377" s="45">
        <f>IF(OR(ISERROR($N377),$N377="",$N377="NA"),0,J377*$N377)*(1+INDEX('For Finance Control'!$B$27:$E$29,2,MATCH('Project information'!$A$4,'For Finance Control'!$B$27:$E$27,0)))</f>
        <v>0</v>
      </c>
      <c r="R377" s="45">
        <f>IF(OR(ISERROR($N377),$N377="",$N377="NA"),0,K377*$N377)*(1+INDEX('For Finance Control'!$B$27:$E$29,2,MATCH('Project information'!$A$4,'For Finance Control'!$B$27:$E$27,0)))</f>
        <v>0</v>
      </c>
      <c r="S377" s="45">
        <f>IF(OR(ISERROR($N377),$N377="",$N377="NA"),0,L377*$N377)*(1+INDEX('For Finance Control'!$B$27:$E$29,2,MATCH('Project information'!$A$4,'For Finance Control'!$B$27:$E$27,0)))</f>
        <v>0</v>
      </c>
      <c r="T377" s="45">
        <f t="shared" si="337"/>
        <v>0</v>
      </c>
      <c r="U377" s="33" cm="1">
        <f t="array" ref="U377">IF($N377="NA","NA",$N377*INDEX('Exchange rate'!$A$1:$G$7,MATCH('Project information'!$A$13,'Exchange rate'!$A$1:$A$7,0),MATCH(LOOKUP(2,1/({"China";"Korea";"India";"Japan";"EUR";"NAO"}=$E377),{"CNY";"KRW";"INR";"JPY";"EUR";"USD"}),'Exchange rate'!$A$1:$G$1,0)))</f>
        <v>4524</v>
      </c>
      <c r="V377" s="33">
        <f t="shared" si="338"/>
        <v>0</v>
      </c>
      <c r="W377" s="33">
        <f t="shared" si="339"/>
        <v>0</v>
      </c>
      <c r="X377" s="33">
        <f t="shared" si="340"/>
        <v>0</v>
      </c>
      <c r="Y377" s="33">
        <f t="shared" si="341"/>
        <v>0</v>
      </c>
      <c r="Z377" s="33">
        <f t="shared" si="342"/>
        <v>0</v>
      </c>
      <c r="AA377" s="33">
        <f t="shared" si="343"/>
        <v>0</v>
      </c>
      <c r="AB377" s="164"/>
      <c r="AC377" s="165"/>
      <c r="AZ377" s="148"/>
      <c r="BA377" s="149"/>
    </row>
    <row r="378" spans="1:53" ht="25" outlineLevel="1">
      <c r="A378" s="148" t="str">
        <f t="shared" si="326"/>
        <v>5.256</v>
      </c>
      <c r="B378" s="148" t="str">
        <f>INDEX('Standard cost - Testing'!$A$1:$N$497,MATCH(RIGHT($C378,4),'Standard cost - Testing'!$A$1:$A$497,0),3)</f>
        <v>LVE</v>
      </c>
      <c r="C378" s="149" t="str">
        <f>'Standard cost - Testing'!B257&amp;" - "&amp;'Standard cost - Testing'!A257</f>
        <v>Thermal - T030</v>
      </c>
      <c r="D378" s="150" t="str">
        <f>IF(RIGHT(INDEX('Standard cost - Testing'!$A$1:$N$497,MATCH(RIGHT($C378,4),'Standard cost - Testing'!$A$1:$A$497,0),4),1)="]",INDEX('Standard cost - Testing'!$A$1:$N$497,MATCH(RIGHT($C378,4),'Standard cost - Testing'!$A$1:$A$497,0),4),IF(INDEX('Standard cost - Testing'!$A$1:$N$497,MATCH(RIGHT($C378,4),'Standard cost - Testing'!$A$1:$A$497,0),10)=1,INDEX('Standard cost - Testing'!$A$1:$N$497,MATCH(RIGHT($C378,4),'Standard cost - Testing'!$A$1:$A$497,0),4)&amp;" [1 part]",INDEX('Standard cost - Testing'!$A$1:$N$497,MATCH(RIGHT($C378,4),'Standard cost - Testing'!$A$1:$A$497,0),4)&amp;" ["&amp;INDEX('Standard cost - Testing'!$A$1:$N$497,MATCH(RIGHT($C378,4),'Standard cost - Testing'!$A$1:$A$497,0),10)&amp;" parts]"))</f>
        <v>Thermal shock durability - Water Quench [1 part]</v>
      </c>
      <c r="E378" s="51" t="str">
        <f>IF('Project information'!$A$4="","",'Project information'!$A$4)</f>
        <v>China</v>
      </c>
      <c r="F378" s="149" t="str">
        <f>INDEX('Standard cost - Testing'!$A$1:$N$497,MATCH(RIGHT($C378,4),'Standard cost - Testing'!$A$1:$A$497,0),5)</f>
        <v>NISSAN</v>
      </c>
      <c r="G378" s="149">
        <f>IF($E378='Standard cost - Testing'!$F$1,INDEX('Standard cost - Testing'!$A$1:$N$497,MATCH(RIGHT($C378,4),'Standard cost - Testing'!$A$1:$A$497,0),6),INDEX('Standard cost - Testing'!$A$1:$N$497,MATCH(RIGHT($C378,4),'Standard cost - Testing'!$A$1:$A$497,0),7))</f>
        <v>0</v>
      </c>
      <c r="H378" s="46"/>
      <c r="I378" s="46"/>
      <c r="J378" s="46"/>
      <c r="K378" s="46"/>
      <c r="L378" s="46"/>
      <c r="M378" s="33">
        <f t="shared" si="336"/>
        <v>0</v>
      </c>
      <c r="N378" s="157">
        <f>IF(E378="","",IF(ISERROR(INDEX('Standard cost - Testing'!$A$1:$N$497,MATCH(RIGHT($C378,4),'Standard cost - Testing'!$A$1:$A$497,0),MATCH($E378,'Standard cost - Testing'!$K$1:$N$1,0)+10)),"NA",INDEX('Standard cost - Testing'!$A$1:$N$497,MATCH(RIGHT($C378,4),'Standard cost - Testing'!$A$1:$A$497,0),MATCH($E378,'Standard cost - Testing'!$K$1:$N$1,0)+10)))</f>
        <v>94698</v>
      </c>
      <c r="O378" s="45">
        <f>IF(OR(ISERROR($N378),$N378="",$N378="NA"),0,H378*$N378)*(1+INDEX('For Finance Control'!$B$27:$E$29,2,MATCH('Project information'!$A$4,'For Finance Control'!$B$27:$E$27,0)))</f>
        <v>0</v>
      </c>
      <c r="P378" s="45">
        <f>IF(OR(ISERROR($N378),$N378="",$N378="NA"),0,I378*$N378)*(1+INDEX('For Finance Control'!$B$27:$E$29,2,MATCH('Project information'!$A$4,'For Finance Control'!$B$27:$E$27,0)))</f>
        <v>0</v>
      </c>
      <c r="Q378" s="45">
        <f>IF(OR(ISERROR($N378),$N378="",$N378="NA"),0,J378*$N378)*(1+INDEX('For Finance Control'!$B$27:$E$29,2,MATCH('Project information'!$A$4,'For Finance Control'!$B$27:$E$27,0)))</f>
        <v>0</v>
      </c>
      <c r="R378" s="45">
        <f>IF(OR(ISERROR($N378),$N378="",$N378="NA"),0,K378*$N378)*(1+INDEX('For Finance Control'!$B$27:$E$29,2,MATCH('Project information'!$A$4,'For Finance Control'!$B$27:$E$27,0)))</f>
        <v>0</v>
      </c>
      <c r="S378" s="45">
        <f>IF(OR(ISERROR($N378),$N378="",$N378="NA"),0,L378*$N378)*(1+INDEX('For Finance Control'!$B$27:$E$29,2,MATCH('Project information'!$A$4,'For Finance Control'!$B$27:$E$27,0)))</f>
        <v>0</v>
      </c>
      <c r="T378" s="45">
        <f t="shared" si="337"/>
        <v>0</v>
      </c>
      <c r="U378" s="33" cm="1">
        <f t="array" ref="U378">IF($N378="NA","NA",$N378*INDEX('Exchange rate'!$A$1:$G$7,MATCH('Project information'!$A$13,'Exchange rate'!$A$1:$A$7,0),MATCH(LOOKUP(2,1/({"China";"Korea";"India";"Japan";"EUR";"NAO"}=$E378),{"CNY";"KRW";"INR";"JPY";"EUR";"USD"}),'Exchange rate'!$A$1:$G$1,0)))</f>
        <v>94698</v>
      </c>
      <c r="V378" s="33">
        <f t="shared" si="338"/>
        <v>0</v>
      </c>
      <c r="W378" s="33">
        <f t="shared" si="339"/>
        <v>0</v>
      </c>
      <c r="X378" s="33">
        <f t="shared" si="340"/>
        <v>0</v>
      </c>
      <c r="Y378" s="33">
        <f t="shared" si="341"/>
        <v>0</v>
      </c>
      <c r="Z378" s="33">
        <f t="shared" si="342"/>
        <v>0</v>
      </c>
      <c r="AA378" s="33">
        <f t="shared" si="343"/>
        <v>0</v>
      </c>
      <c r="AB378" s="164"/>
      <c r="AC378" s="165"/>
      <c r="AZ378" s="148"/>
      <c r="BA378" s="149"/>
    </row>
    <row r="379" spans="1:53" ht="25" outlineLevel="1">
      <c r="A379" s="148" t="str">
        <f t="shared" si="326"/>
        <v>5.257</v>
      </c>
      <c r="B379" s="148" t="str">
        <f>INDEX('Standard cost - Testing'!$A$1:$N$497,MATCH(RIGHT($C379,4),'Standard cost - Testing'!$A$1:$A$497,0),3)</f>
        <v>LVE</v>
      </c>
      <c r="C379" s="149" t="str">
        <f>'Standard cost - Testing'!B258&amp;" - "&amp;'Standard cost - Testing'!A258</f>
        <v>Thermal - T031</v>
      </c>
      <c r="D379" s="150" t="str">
        <f>IF(RIGHT(INDEX('Standard cost - Testing'!$A$1:$N$497,MATCH(RIGHT($C379,4),'Standard cost - Testing'!$A$1:$A$497,0),4),1)="]",INDEX('Standard cost - Testing'!$A$1:$N$497,MATCH(RIGHT($C379,4),'Standard cost - Testing'!$A$1:$A$497,0),4),IF(INDEX('Standard cost - Testing'!$A$1:$N$497,MATCH(RIGHT($C379,4),'Standard cost - Testing'!$A$1:$A$497,0),10)=1,INDEX('Standard cost - Testing'!$A$1:$N$497,MATCH(RIGHT($C379,4),'Standard cost - Testing'!$A$1:$A$497,0),4)&amp;" [1 part]",INDEX('Standard cost - Testing'!$A$1:$N$497,MATCH(RIGHT($C379,4),'Standard cost - Testing'!$A$1:$A$497,0),4)&amp;" ["&amp;INDEX('Standard cost - Testing'!$A$1:$N$497,MATCH(RIGHT($C379,4),'Standard cost - Testing'!$A$1:$A$497,0),10)&amp;" parts]"))</f>
        <v>Thermal fatigue rig test - hot end [2 parts]</v>
      </c>
      <c r="E379" s="51" t="str">
        <f>IF('Project information'!$A$4="","",'Project information'!$A$4)</f>
        <v>China</v>
      </c>
      <c r="F379" s="149" t="str">
        <f>INDEX('Standard cost - Testing'!$A$1:$N$497,MATCH(RIGHT($C379,4),'Standard cost - Testing'!$A$1:$A$497,0),5)</f>
        <v>Ford</v>
      </c>
      <c r="G379" s="149" t="str">
        <f>IF($E379='Standard cost - Testing'!$F$1,INDEX('Standard cost - Testing'!$A$1:$N$497,MATCH(RIGHT($C379,4),'Standard cost - Testing'!$A$1:$A$497,0),6),INDEX('Standard cost - Testing'!$A$1:$N$497,MATCH(RIGHT($C379,4),'Standard cost - Testing'!$A$1:$A$497,0),7))</f>
        <v>CETP 09.00-E-306</v>
      </c>
      <c r="H379" s="46"/>
      <c r="I379" s="46"/>
      <c r="J379" s="46"/>
      <c r="K379" s="46"/>
      <c r="L379" s="46"/>
      <c r="M379" s="33">
        <f t="shared" si="336"/>
        <v>0</v>
      </c>
      <c r="N379" s="157">
        <f>IF(E379="","",IF(ISERROR(INDEX('Standard cost - Testing'!$A$1:$N$497,MATCH(RIGHT($C379,4),'Standard cost - Testing'!$A$1:$A$497,0),MATCH($E379,'Standard cost - Testing'!$K$1:$N$1,0)+10)),"NA",INDEX('Standard cost - Testing'!$A$1:$N$497,MATCH(RIGHT($C379,4),'Standard cost - Testing'!$A$1:$A$497,0),MATCH($E379,'Standard cost - Testing'!$K$1:$N$1,0)+10)))</f>
        <v>332150</v>
      </c>
      <c r="O379" s="45">
        <f>IF(OR(ISERROR($N379),$N379="",$N379="NA"),0,H379*$N379)*(1+INDEX('For Finance Control'!$B$27:$E$29,2,MATCH('Project information'!$A$4,'For Finance Control'!$B$27:$E$27,0)))</f>
        <v>0</v>
      </c>
      <c r="P379" s="45">
        <f>IF(OR(ISERROR($N379),$N379="",$N379="NA"),0,I379*$N379)*(1+INDEX('For Finance Control'!$B$27:$E$29,2,MATCH('Project information'!$A$4,'For Finance Control'!$B$27:$E$27,0)))</f>
        <v>0</v>
      </c>
      <c r="Q379" s="45">
        <f>IF(OR(ISERROR($N379),$N379="",$N379="NA"),0,J379*$N379)*(1+INDEX('For Finance Control'!$B$27:$E$29,2,MATCH('Project information'!$A$4,'For Finance Control'!$B$27:$E$27,0)))</f>
        <v>0</v>
      </c>
      <c r="R379" s="45">
        <f>IF(OR(ISERROR($N379),$N379="",$N379="NA"),0,K379*$N379)*(1+INDEX('For Finance Control'!$B$27:$E$29,2,MATCH('Project information'!$A$4,'For Finance Control'!$B$27:$E$27,0)))</f>
        <v>0</v>
      </c>
      <c r="S379" s="45">
        <f>IF(OR(ISERROR($N379),$N379="",$N379="NA"),0,L379*$N379)*(1+INDEX('For Finance Control'!$B$27:$E$29,2,MATCH('Project information'!$A$4,'For Finance Control'!$B$27:$E$27,0)))</f>
        <v>0</v>
      </c>
      <c r="T379" s="45">
        <f t="shared" si="337"/>
        <v>0</v>
      </c>
      <c r="U379" s="33" cm="1">
        <f t="array" ref="U379">IF($N379="NA","NA",$N379*INDEX('Exchange rate'!$A$1:$G$7,MATCH('Project information'!$A$13,'Exchange rate'!$A$1:$A$7,0),MATCH(LOOKUP(2,1/({"China";"Korea";"India";"Japan";"EUR";"NAO"}=$E379),{"CNY";"KRW";"INR";"JPY";"EUR";"USD"}),'Exchange rate'!$A$1:$G$1,0)))</f>
        <v>332150</v>
      </c>
      <c r="V379" s="33">
        <f t="shared" si="338"/>
        <v>0</v>
      </c>
      <c r="W379" s="33">
        <f t="shared" si="339"/>
        <v>0</v>
      </c>
      <c r="X379" s="33">
        <f t="shared" si="340"/>
        <v>0</v>
      </c>
      <c r="Y379" s="33">
        <f t="shared" si="341"/>
        <v>0</v>
      </c>
      <c r="Z379" s="33">
        <f t="shared" si="342"/>
        <v>0</v>
      </c>
      <c r="AA379" s="33">
        <f t="shared" si="343"/>
        <v>0</v>
      </c>
      <c r="AB379" s="164"/>
      <c r="AC379" s="165"/>
      <c r="AZ379" s="148"/>
      <c r="BA379" s="149"/>
    </row>
    <row r="380" spans="1:53" outlineLevel="1">
      <c r="A380" s="148" t="str">
        <f t="shared" si="326"/>
        <v>5.258</v>
      </c>
      <c r="B380" s="148" t="str">
        <f>INDEX('Standard cost - Testing'!$A$1:$N$497,MATCH(RIGHT($C380,4),'Standard cost - Testing'!$A$1:$A$497,0),3)</f>
        <v>LVE</v>
      </c>
      <c r="C380" s="149" t="str">
        <f>'Standard cost - Testing'!B259&amp;" - "&amp;'Standard cost - Testing'!A259</f>
        <v>Thermal - T032</v>
      </c>
      <c r="D380" s="150" t="str">
        <f>IF(RIGHT(INDEX('Standard cost - Testing'!$A$1:$N$497,MATCH(RIGHT($C380,4),'Standard cost - Testing'!$A$1:$A$497,0),4),1)="]",INDEX('Standard cost - Testing'!$A$1:$N$497,MATCH(RIGHT($C380,4),'Standard cost - Testing'!$A$1:$A$497,0),4),IF(INDEX('Standard cost - Testing'!$A$1:$N$497,MATCH(RIGHT($C380,4),'Standard cost - Testing'!$A$1:$A$497,0),10)=1,INDEX('Standard cost - Testing'!$A$1:$N$497,MATCH(RIGHT($C380,4),'Standard cost - Testing'!$A$1:$A$497,0),4)&amp;" [1 part]",INDEX('Standard cost - Testing'!$A$1:$N$497,MATCH(RIGHT($C380,4),'Standard cost - Testing'!$A$1:$A$497,0),4)&amp;" ["&amp;INDEX('Standard cost - Testing'!$A$1:$N$497,MATCH(RIGHT($C380,4),'Standard cost - Testing'!$A$1:$A$497,0),10)&amp;" parts]"))</f>
        <v>water quench test [1 part]</v>
      </c>
      <c r="E380" s="51" t="str">
        <f>IF('Project information'!$A$4="","",'Project information'!$A$4)</f>
        <v>China</v>
      </c>
      <c r="F380" s="149" t="str">
        <f>INDEX('Standard cost - Testing'!$A$1:$N$497,MATCH(RIGHT($C380,4),'Standard cost - Testing'!$A$1:$A$497,0),5)</f>
        <v>Geely</v>
      </c>
      <c r="G380" s="149" t="str">
        <f>IF($E380='Standard cost - Testing'!$F$1,INDEX('Standard cost - Testing'!$A$1:$N$497,MATCH(RIGHT($C380,4),'Standard cost - Testing'!$A$1:$A$497,0),6),INDEX('Standard cost - Testing'!$A$1:$N$497,MATCH(RIGHT($C380,4),'Standard cost - Testing'!$A$1:$A$497,0),7))</f>
        <v>Q/JL J163015-2015</v>
      </c>
      <c r="H380" s="46"/>
      <c r="I380" s="46"/>
      <c r="J380" s="46"/>
      <c r="K380" s="46"/>
      <c r="L380" s="46"/>
      <c r="M380" s="33">
        <f t="shared" si="336"/>
        <v>0</v>
      </c>
      <c r="N380" s="157">
        <f>IF(E380="","",IF(ISERROR(INDEX('Standard cost - Testing'!$A$1:$N$497,MATCH(RIGHT($C380,4),'Standard cost - Testing'!$A$1:$A$497,0),MATCH($E380,'Standard cost - Testing'!$K$1:$N$1,0)+10)),"NA",INDEX('Standard cost - Testing'!$A$1:$N$497,MATCH(RIGHT($C380,4),'Standard cost - Testing'!$A$1:$A$497,0),MATCH($E380,'Standard cost - Testing'!$K$1:$N$1,0)+10)))</f>
        <v>19690</v>
      </c>
      <c r="O380" s="45">
        <f>IF(OR(ISERROR($N380),$N380="",$N380="NA"),0,H380*$N380)*(1+INDEX('For Finance Control'!$B$27:$E$29,2,MATCH('Project information'!$A$4,'For Finance Control'!$B$27:$E$27,0)))</f>
        <v>0</v>
      </c>
      <c r="P380" s="45">
        <f>IF(OR(ISERROR($N380),$N380="",$N380="NA"),0,I380*$N380)*(1+INDEX('For Finance Control'!$B$27:$E$29,2,MATCH('Project information'!$A$4,'For Finance Control'!$B$27:$E$27,0)))</f>
        <v>0</v>
      </c>
      <c r="Q380" s="45">
        <f>IF(OR(ISERROR($N380),$N380="",$N380="NA"),0,J380*$N380)*(1+INDEX('For Finance Control'!$B$27:$E$29,2,MATCH('Project information'!$A$4,'For Finance Control'!$B$27:$E$27,0)))</f>
        <v>0</v>
      </c>
      <c r="R380" s="45">
        <f>IF(OR(ISERROR($N380),$N380="",$N380="NA"),0,K380*$N380)*(1+INDEX('For Finance Control'!$B$27:$E$29,2,MATCH('Project information'!$A$4,'For Finance Control'!$B$27:$E$27,0)))</f>
        <v>0</v>
      </c>
      <c r="S380" s="45">
        <f>IF(OR(ISERROR($N380),$N380="",$N380="NA"),0,L380*$N380)*(1+INDEX('For Finance Control'!$B$27:$E$29,2,MATCH('Project information'!$A$4,'For Finance Control'!$B$27:$E$27,0)))</f>
        <v>0</v>
      </c>
      <c r="T380" s="45">
        <f t="shared" si="337"/>
        <v>0</v>
      </c>
      <c r="U380" s="33" cm="1">
        <f t="array" ref="U380">IF($N380="NA","NA",$N380*INDEX('Exchange rate'!$A$1:$G$7,MATCH('Project information'!$A$13,'Exchange rate'!$A$1:$A$7,0),MATCH(LOOKUP(2,1/({"China";"Korea";"India";"Japan";"EUR";"NAO"}=$E380),{"CNY";"KRW";"INR";"JPY";"EUR";"USD"}),'Exchange rate'!$A$1:$G$1,0)))</f>
        <v>19690</v>
      </c>
      <c r="V380" s="33">
        <f t="shared" si="338"/>
        <v>0</v>
      </c>
      <c r="W380" s="33">
        <f t="shared" si="339"/>
        <v>0</v>
      </c>
      <c r="X380" s="33">
        <f t="shared" si="340"/>
        <v>0</v>
      </c>
      <c r="Y380" s="33">
        <f t="shared" si="341"/>
        <v>0</v>
      </c>
      <c r="Z380" s="33">
        <f t="shared" si="342"/>
        <v>0</v>
      </c>
      <c r="AA380" s="33">
        <f t="shared" si="343"/>
        <v>0</v>
      </c>
      <c r="AB380" s="164"/>
      <c r="AC380" s="165"/>
      <c r="AZ380" s="148"/>
      <c r="BA380" s="149"/>
    </row>
    <row r="381" spans="1:53" ht="25" outlineLevel="1">
      <c r="A381" s="148" t="str">
        <f t="shared" si="326"/>
        <v>5.259</v>
      </c>
      <c r="B381" s="148" t="str">
        <f>INDEX('Standard cost - Testing'!$A$1:$N$497,MATCH(RIGHT($C381,4),'Standard cost - Testing'!$A$1:$A$497,0),3)</f>
        <v>LVE</v>
      </c>
      <c r="C381" s="149" t="str">
        <f>'Standard cost - Testing'!B260&amp;" - "&amp;'Standard cost - Testing'!A260</f>
        <v>Thermal - T033</v>
      </c>
      <c r="D381" s="150" t="str">
        <f>IF(RIGHT(INDEX('Standard cost - Testing'!$A$1:$N$497,MATCH(RIGHT($C381,4),'Standard cost - Testing'!$A$1:$A$497,0),4),1)="]",INDEX('Standard cost - Testing'!$A$1:$N$497,MATCH(RIGHT($C381,4),'Standard cost - Testing'!$A$1:$A$497,0),4),IF(INDEX('Standard cost - Testing'!$A$1:$N$497,MATCH(RIGHT($C381,4),'Standard cost - Testing'!$A$1:$A$497,0),10)=1,INDEX('Standard cost - Testing'!$A$1:$N$497,MATCH(RIGHT($C381,4),'Standard cost - Testing'!$A$1:$A$497,0),4)&amp;" [1 part]",INDEX('Standard cost - Testing'!$A$1:$N$497,MATCH(RIGHT($C381,4),'Standard cost - Testing'!$A$1:$A$497,0),4)&amp;" ["&amp;INDEX('Standard cost - Testing'!$A$1:$N$497,MATCH(RIGHT($C381,4),'Standard cost - Testing'!$A$1:$A$497,0),10)&amp;" parts]"))</f>
        <v>water quench test &amp; hot shaker [1 part]</v>
      </c>
      <c r="E381" s="51" t="str">
        <f>IF('Project information'!$A$4="","",'Project information'!$A$4)</f>
        <v>China</v>
      </c>
      <c r="F381" s="149" t="str">
        <f>INDEX('Standard cost - Testing'!$A$1:$N$497,MATCH(RIGHT($C381,4),'Standard cost - Testing'!$A$1:$A$497,0),5)</f>
        <v>Geely</v>
      </c>
      <c r="G381" s="149" t="str">
        <f>IF($E381='Standard cost - Testing'!$F$1,INDEX('Standard cost - Testing'!$A$1:$N$497,MATCH(RIGHT($C381,4),'Standard cost - Testing'!$A$1:$A$497,0),6),INDEX('Standard cost - Testing'!$A$1:$N$497,MATCH(RIGHT($C381,4),'Standard cost - Testing'!$A$1:$A$497,0),7))</f>
        <v>Q/JL J163015-2015</v>
      </c>
      <c r="H381" s="46"/>
      <c r="I381" s="46"/>
      <c r="J381" s="46"/>
      <c r="K381" s="46"/>
      <c r="L381" s="46"/>
      <c r="M381" s="33">
        <f t="shared" si="336"/>
        <v>0</v>
      </c>
      <c r="N381" s="157">
        <f>IF(E381="","",IF(ISERROR(INDEX('Standard cost - Testing'!$A$1:$N$497,MATCH(RIGHT($C381,4),'Standard cost - Testing'!$A$1:$A$497,0),MATCH($E381,'Standard cost - Testing'!$K$1:$N$1,0)+10)),"NA",INDEX('Standard cost - Testing'!$A$1:$N$497,MATCH(RIGHT($C381,4),'Standard cost - Testing'!$A$1:$A$497,0),MATCH($E381,'Standard cost - Testing'!$K$1:$N$1,0)+10)))</f>
        <v>40168</v>
      </c>
      <c r="O381" s="45">
        <f>IF(OR(ISERROR($N381),$N381="",$N381="NA"),0,H381*$N381)*(1+INDEX('For Finance Control'!$B$27:$E$29,2,MATCH('Project information'!$A$4,'For Finance Control'!$B$27:$E$27,0)))</f>
        <v>0</v>
      </c>
      <c r="P381" s="45">
        <f>IF(OR(ISERROR($N381),$N381="",$N381="NA"),0,I381*$N381)*(1+INDEX('For Finance Control'!$B$27:$E$29,2,MATCH('Project information'!$A$4,'For Finance Control'!$B$27:$E$27,0)))</f>
        <v>0</v>
      </c>
      <c r="Q381" s="45">
        <f>IF(OR(ISERROR($N381),$N381="",$N381="NA"),0,J381*$N381)*(1+INDEX('For Finance Control'!$B$27:$E$29,2,MATCH('Project information'!$A$4,'For Finance Control'!$B$27:$E$27,0)))</f>
        <v>0</v>
      </c>
      <c r="R381" s="45">
        <f>IF(OR(ISERROR($N381),$N381="",$N381="NA"),0,K381*$N381)*(1+INDEX('For Finance Control'!$B$27:$E$29,2,MATCH('Project information'!$A$4,'For Finance Control'!$B$27:$E$27,0)))</f>
        <v>0</v>
      </c>
      <c r="S381" s="45">
        <f>IF(OR(ISERROR($N381),$N381="",$N381="NA"),0,L381*$N381)*(1+INDEX('For Finance Control'!$B$27:$E$29,2,MATCH('Project information'!$A$4,'For Finance Control'!$B$27:$E$27,0)))</f>
        <v>0</v>
      </c>
      <c r="T381" s="45">
        <f t="shared" si="337"/>
        <v>0</v>
      </c>
      <c r="U381" s="33" cm="1">
        <f t="array" ref="U381">IF($N381="NA","NA",$N381*INDEX('Exchange rate'!$A$1:$G$7,MATCH('Project information'!$A$13,'Exchange rate'!$A$1:$A$7,0),MATCH(LOOKUP(2,1/({"China";"Korea";"India";"Japan";"EUR";"NAO"}=$E381),{"CNY";"KRW";"INR";"JPY";"EUR";"USD"}),'Exchange rate'!$A$1:$G$1,0)))</f>
        <v>40168</v>
      </c>
      <c r="V381" s="33">
        <f t="shared" si="338"/>
        <v>0</v>
      </c>
      <c r="W381" s="33">
        <f t="shared" si="339"/>
        <v>0</v>
      </c>
      <c r="X381" s="33">
        <f t="shared" si="340"/>
        <v>0</v>
      </c>
      <c r="Y381" s="33">
        <f t="shared" si="341"/>
        <v>0</v>
      </c>
      <c r="Z381" s="33">
        <f t="shared" si="342"/>
        <v>0</v>
      </c>
      <c r="AA381" s="33">
        <f t="shared" si="343"/>
        <v>0</v>
      </c>
      <c r="AB381" s="246"/>
      <c r="AC381" s="247"/>
      <c r="AZ381" s="148" t="str">
        <f t="shared" si="327"/>
        <v>5.259</v>
      </c>
      <c r="BA381" s="149" t="s">
        <v>101</v>
      </c>
    </row>
    <row r="382" spans="1:53" ht="50" outlineLevel="1">
      <c r="A382" s="148" t="str">
        <f t="shared" si="326"/>
        <v>5.260</v>
      </c>
      <c r="B382" s="148" t="str">
        <f>INDEX('Standard cost - Testing'!$A$1:$N$497,MATCH(RIGHT($C382,4),'Standard cost - Testing'!$A$1:$A$497,0),3)</f>
        <v>LVE</v>
      </c>
      <c r="C382" s="149" t="str">
        <f>'Standard cost - Testing'!B261&amp;" - "&amp;'Standard cost - Testing'!A261</f>
        <v>Thermal - T034</v>
      </c>
      <c r="D382" s="150" t="str">
        <f>IF(RIGHT(INDEX('Standard cost - Testing'!$A$1:$N$497,MATCH(RIGHT($C382,4),'Standard cost - Testing'!$A$1:$A$497,0),4),1)="]",INDEX('Standard cost - Testing'!$A$1:$N$497,MATCH(RIGHT($C382,4),'Standard cost - Testing'!$A$1:$A$497,0),4),IF(INDEX('Standard cost - Testing'!$A$1:$N$497,MATCH(RIGHT($C382,4),'Standard cost - Testing'!$A$1:$A$497,0),10)=1,INDEX('Standard cost - Testing'!$A$1:$N$497,MATCH(RIGHT($C382,4),'Standard cost - Testing'!$A$1:$A$497,0),4)&amp;" [1 part]",INDEX('Standard cost - Testing'!$A$1:$N$497,MATCH(RIGHT($C382,4),'Standard cost - Testing'!$A$1:$A$497,0),4)&amp;" ["&amp;INDEX('Standard cost - Testing'!$A$1:$N$497,MATCH(RIGHT($C382,4),'Standard cost - Testing'!$A$1:$A$497,0),10)&amp;" parts]"))</f>
        <v>Urea complex corrosion test [1 part]</v>
      </c>
      <c r="E382" s="51" t="str">
        <f>IF('Project information'!$A$4="","",'Project information'!$A$4)</f>
        <v>China</v>
      </c>
      <c r="F382" s="149" t="str">
        <f>INDEX('Standard cost - Testing'!$A$1:$N$497,MATCH(RIGHT($C382,4),'Standard cost - Testing'!$A$1:$A$497,0),5)</f>
        <v>HMC</v>
      </c>
      <c r="G382" s="149" t="str">
        <f>IF($E382='Standard cost - Testing'!$F$1,INDEX('Standard cost - Testing'!$A$1:$N$497,MATCH(RIGHT($C382,4),'Standard cost - Testing'!$A$1:$A$497,0),6),INDEX('Standard cost - Testing'!$A$1:$N$497,MATCH(RIGHT($C382,4),'Standard cost - Testing'!$A$1:$A$497,0),7))</f>
        <v xml:space="preserve">
ES28530-02 5.2
ES28990-01 5.2
</v>
      </c>
      <c r="H382" s="46"/>
      <c r="I382" s="46"/>
      <c r="J382" s="46"/>
      <c r="K382" s="46"/>
      <c r="L382" s="46"/>
      <c r="M382" s="33">
        <f t="shared" si="336"/>
        <v>0</v>
      </c>
      <c r="N382" s="157">
        <f>IF(E382="","",IF(ISERROR(INDEX('Standard cost - Testing'!$A$1:$N$497,MATCH(RIGHT($C382,4),'Standard cost - Testing'!$A$1:$A$497,0),MATCH($E382,'Standard cost - Testing'!$K$1:$N$1,0)+10)),"NA",INDEX('Standard cost - Testing'!$A$1:$N$497,MATCH(RIGHT($C382,4),'Standard cost - Testing'!$A$1:$A$497,0),MATCH($E382,'Standard cost - Testing'!$K$1:$N$1,0)+10)))</f>
        <v>113174</v>
      </c>
      <c r="O382" s="45">
        <f>IF(OR(ISERROR($N382),$N382="",$N382="NA"),0,H382*$N382)*(1+INDEX('For Finance Control'!$B$27:$E$29,2,MATCH('Project information'!$A$4,'For Finance Control'!$B$27:$E$27,0)))</f>
        <v>0</v>
      </c>
      <c r="P382" s="45">
        <f>IF(OR(ISERROR($N382),$N382="",$N382="NA"),0,I382*$N382)*(1+INDEX('For Finance Control'!$B$27:$E$29,2,MATCH('Project information'!$A$4,'For Finance Control'!$B$27:$E$27,0)))</f>
        <v>0</v>
      </c>
      <c r="Q382" s="45">
        <f>IF(OR(ISERROR($N382),$N382="",$N382="NA"),0,J382*$N382)*(1+INDEX('For Finance Control'!$B$27:$E$29,2,MATCH('Project information'!$A$4,'For Finance Control'!$B$27:$E$27,0)))</f>
        <v>0</v>
      </c>
      <c r="R382" s="45">
        <f>IF(OR(ISERROR($N382),$N382="",$N382="NA"),0,K382*$N382)*(1+INDEX('For Finance Control'!$B$27:$E$29,2,MATCH('Project information'!$A$4,'For Finance Control'!$B$27:$E$27,0)))</f>
        <v>0</v>
      </c>
      <c r="S382" s="45">
        <f>IF(OR(ISERROR($N382),$N382="",$N382="NA"),0,L382*$N382)*(1+INDEX('For Finance Control'!$B$27:$E$29,2,MATCH('Project information'!$A$4,'For Finance Control'!$B$27:$E$27,0)))</f>
        <v>0</v>
      </c>
      <c r="T382" s="45">
        <f t="shared" si="337"/>
        <v>0</v>
      </c>
      <c r="U382" s="33" cm="1">
        <f t="array" ref="U382">IF($N382="NA","NA",$N382*INDEX('Exchange rate'!$A$1:$G$7,MATCH('Project information'!$A$13,'Exchange rate'!$A$1:$A$7,0),MATCH(LOOKUP(2,1/({"China";"Korea";"India";"Japan";"EUR";"NAO"}=$E382),{"CNY";"KRW";"INR";"JPY";"EUR";"USD"}),'Exchange rate'!$A$1:$G$1,0)))</f>
        <v>113174</v>
      </c>
      <c r="V382" s="33">
        <f t="shared" si="338"/>
        <v>0</v>
      </c>
      <c r="W382" s="33">
        <f t="shared" si="339"/>
        <v>0</v>
      </c>
      <c r="X382" s="33">
        <f t="shared" si="340"/>
        <v>0</v>
      </c>
      <c r="Y382" s="33">
        <f t="shared" si="341"/>
        <v>0</v>
      </c>
      <c r="Z382" s="33">
        <f t="shared" si="342"/>
        <v>0</v>
      </c>
      <c r="AA382" s="33">
        <f t="shared" si="343"/>
        <v>0</v>
      </c>
      <c r="AB382" s="246"/>
      <c r="AC382" s="247"/>
      <c r="AZ382" s="148" t="str">
        <f t="shared" si="327"/>
        <v>5.260</v>
      </c>
      <c r="BA382" s="149" t="s">
        <v>101</v>
      </c>
    </row>
    <row r="383" spans="1:53" ht="25" outlineLevel="1">
      <c r="A383" s="148" t="str">
        <f t="shared" si="326"/>
        <v>5.261</v>
      </c>
      <c r="B383" s="148" t="str">
        <f>INDEX('Standard cost - Testing'!$A$1:$N$497,MATCH(RIGHT($C383,4),'Standard cost - Testing'!$A$1:$A$497,0),3)</f>
        <v>CVE</v>
      </c>
      <c r="C383" s="149" t="str">
        <f>'Standard cost - Testing'!B262&amp;" - "&amp;'Standard cost - Testing'!A262</f>
        <v>Thermal - T035</v>
      </c>
      <c r="D383" s="150" t="str">
        <f>IF(RIGHT(INDEX('Standard cost - Testing'!$A$1:$N$497,MATCH(RIGHT($C383,4),'Standard cost - Testing'!$A$1:$A$497,0),4),1)="]",INDEX('Standard cost - Testing'!$A$1:$N$497,MATCH(RIGHT($C383,4),'Standard cost - Testing'!$A$1:$A$497,0),4),IF(INDEX('Standard cost - Testing'!$A$1:$N$497,MATCH(RIGHT($C383,4),'Standard cost - Testing'!$A$1:$A$497,0),10)=1,INDEX('Standard cost - Testing'!$A$1:$N$497,MATCH(RIGHT($C383,4),'Standard cost - Testing'!$A$1:$A$497,0),4)&amp;" [1 part]",INDEX('Standard cost - Testing'!$A$1:$N$497,MATCH(RIGHT($C383,4),'Standard cost - Testing'!$A$1:$A$497,0),4)&amp;" ["&amp;INDEX('Standard cost - Testing'!$A$1:$N$497,MATCH(RIGHT($C383,4),'Standard cost - Testing'!$A$1:$A$497,0),10)&amp;" parts]"))</f>
        <v>Thermal shock test (1000 cycles x 10 min) [1 part]</v>
      </c>
      <c r="E383" s="51" t="str">
        <f>IF('Project information'!$A$4="","",'Project information'!$A$4)</f>
        <v>China</v>
      </c>
      <c r="F383" s="149" t="str">
        <f>INDEX('Standard cost - Testing'!$A$1:$N$497,MATCH(RIGHT($C383,4),'Standard cost - Testing'!$A$1:$A$497,0),5)</f>
        <v>Weichai</v>
      </c>
      <c r="G383" s="149">
        <f>IF($E383='Standard cost - Testing'!$F$1,INDEX('Standard cost - Testing'!$A$1:$N$497,MATCH(RIGHT($C383,4),'Standard cost - Testing'!$A$1:$A$497,0),6),INDEX('Standard cost - Testing'!$A$1:$N$497,MATCH(RIGHT($C383,4),'Standard cost - Testing'!$A$1:$A$497,0),7))</f>
        <v>0</v>
      </c>
      <c r="H383" s="46"/>
      <c r="I383" s="46"/>
      <c r="J383" s="46"/>
      <c r="K383" s="46"/>
      <c r="L383" s="46"/>
      <c r="M383" s="33">
        <f t="shared" si="336"/>
        <v>0</v>
      </c>
      <c r="N383" s="157">
        <f>IF(E383="","",IF(ISERROR(INDEX('Standard cost - Testing'!$A$1:$N$497,MATCH(RIGHT($C383,4),'Standard cost - Testing'!$A$1:$A$497,0),MATCH($E383,'Standard cost - Testing'!$K$1:$N$1,0)+10)),"NA",INDEX('Standard cost - Testing'!$A$1:$N$497,MATCH(RIGHT($C383,4),'Standard cost - Testing'!$A$1:$A$497,0),MATCH($E383,'Standard cost - Testing'!$K$1:$N$1,0)+10)))</f>
        <v>105315</v>
      </c>
      <c r="O383" s="45">
        <f>IF(OR(ISERROR($N383),$N383="",$N383="NA"),0,H383*$N383)*(1+INDEX('For Finance Control'!$B$27:$E$29,2,MATCH('Project information'!$A$4,'For Finance Control'!$B$27:$E$27,0)))</f>
        <v>0</v>
      </c>
      <c r="P383" s="45">
        <f>IF(OR(ISERROR($N383),$N383="",$N383="NA"),0,I383*$N383)*(1+INDEX('For Finance Control'!$B$27:$E$29,2,MATCH('Project information'!$A$4,'For Finance Control'!$B$27:$E$27,0)))</f>
        <v>0</v>
      </c>
      <c r="Q383" s="45">
        <f>IF(OR(ISERROR($N383),$N383="",$N383="NA"),0,J383*$N383)*(1+INDEX('For Finance Control'!$B$27:$E$29,2,MATCH('Project information'!$A$4,'For Finance Control'!$B$27:$E$27,0)))</f>
        <v>0</v>
      </c>
      <c r="R383" s="45">
        <f>IF(OR(ISERROR($N383),$N383="",$N383="NA"),0,K383*$N383)*(1+INDEX('For Finance Control'!$B$27:$E$29,2,MATCH('Project information'!$A$4,'For Finance Control'!$B$27:$E$27,0)))</f>
        <v>0</v>
      </c>
      <c r="S383" s="45">
        <f>IF(OR(ISERROR($N383),$N383="",$N383="NA"),0,L383*$N383)*(1+INDEX('For Finance Control'!$B$27:$E$29,2,MATCH('Project information'!$A$4,'For Finance Control'!$B$27:$E$27,0)))</f>
        <v>0</v>
      </c>
      <c r="T383" s="45">
        <f t="shared" si="337"/>
        <v>0</v>
      </c>
      <c r="U383" s="33" cm="1">
        <f t="array" ref="U383">IF($N383="NA","NA",$N383*INDEX('Exchange rate'!$A$1:$G$7,MATCH('Project information'!$A$13,'Exchange rate'!$A$1:$A$7,0),MATCH(LOOKUP(2,1/({"China";"Korea";"India";"Japan";"EUR";"NAO"}=$E383),{"CNY";"KRW";"INR";"JPY";"EUR";"USD"}),'Exchange rate'!$A$1:$G$1,0)))</f>
        <v>105315</v>
      </c>
      <c r="V383" s="33">
        <f t="shared" si="338"/>
        <v>0</v>
      </c>
      <c r="W383" s="33">
        <f t="shared" si="339"/>
        <v>0</v>
      </c>
      <c r="X383" s="33">
        <f t="shared" si="340"/>
        <v>0</v>
      </c>
      <c r="Y383" s="33">
        <f t="shared" si="341"/>
        <v>0</v>
      </c>
      <c r="Z383" s="33">
        <f t="shared" si="342"/>
        <v>0</v>
      </c>
      <c r="AA383" s="33">
        <f t="shared" si="343"/>
        <v>0</v>
      </c>
      <c r="AB383" s="246"/>
      <c r="AC383" s="247"/>
      <c r="AZ383" s="148" t="str">
        <f t="shared" si="327"/>
        <v>5.261</v>
      </c>
      <c r="BA383" s="149" t="s">
        <v>441</v>
      </c>
    </row>
    <row r="384" spans="1:53" outlineLevel="1">
      <c r="A384" s="148" t="str">
        <f t="shared" si="326"/>
        <v>5.262</v>
      </c>
      <c r="B384" s="148" t="str">
        <f>INDEX('Standard cost - Testing'!$A$1:$N$497,MATCH(RIGHT($C384,4),'Standard cost - Testing'!$A$1:$A$497,0),3)</f>
        <v>CVE</v>
      </c>
      <c r="C384" s="149" t="str">
        <f>'Standard cost - Testing'!B263&amp;" - "&amp;'Standard cost - Testing'!A263</f>
        <v>Thermal - T036</v>
      </c>
      <c r="D384" s="150" t="str">
        <f>IF(RIGHT(INDEX('Standard cost - Testing'!$A$1:$N$497,MATCH(RIGHT($C384,4),'Standard cost - Testing'!$A$1:$A$497,0),4),1)="]",INDEX('Standard cost - Testing'!$A$1:$N$497,MATCH(RIGHT($C384,4),'Standard cost - Testing'!$A$1:$A$497,0),4),IF(INDEX('Standard cost - Testing'!$A$1:$N$497,MATCH(RIGHT($C384,4),'Standard cost - Testing'!$A$1:$A$497,0),10)=1,INDEX('Standard cost - Testing'!$A$1:$N$497,MATCH(RIGHT($C384,4),'Standard cost - Testing'!$A$1:$A$497,0),4)&amp;" [1 part]",INDEX('Standard cost - Testing'!$A$1:$N$497,MATCH(RIGHT($C384,4),'Standard cost - Testing'!$A$1:$A$497,0),4)&amp;" ["&amp;INDEX('Standard cost - Testing'!$A$1:$N$497,MATCH(RIGHT($C384,4),'Standard cost - Testing'!$A$1:$A$497,0),10)&amp;" parts]"))</f>
        <v>Water quench test [1 part]</v>
      </c>
      <c r="E384" s="51" t="str">
        <f>IF('Project information'!$A$4="","",'Project information'!$A$4)</f>
        <v>China</v>
      </c>
      <c r="F384" s="149" t="str">
        <f>INDEX('Standard cost - Testing'!$A$1:$N$497,MATCH(RIGHT($C384,4),'Standard cost - Testing'!$A$1:$A$497,0),5)</f>
        <v>Weichai</v>
      </c>
      <c r="G384" s="149">
        <f>IF($E384='Standard cost - Testing'!$F$1,INDEX('Standard cost - Testing'!$A$1:$N$497,MATCH(RIGHT($C384,4),'Standard cost - Testing'!$A$1:$A$497,0),6),INDEX('Standard cost - Testing'!$A$1:$N$497,MATCH(RIGHT($C384,4),'Standard cost - Testing'!$A$1:$A$497,0),7))</f>
        <v>0</v>
      </c>
      <c r="H384" s="46"/>
      <c r="I384" s="46"/>
      <c r="J384" s="46"/>
      <c r="K384" s="46"/>
      <c r="L384" s="46"/>
      <c r="M384" s="33">
        <f t="shared" si="336"/>
        <v>0</v>
      </c>
      <c r="N384" s="157">
        <f>IF(E384="","",IF(ISERROR(INDEX('Standard cost - Testing'!$A$1:$N$497,MATCH(RIGHT($C384,4),'Standard cost - Testing'!$A$1:$A$497,0),MATCH($E384,'Standard cost - Testing'!$K$1:$N$1,0)+10)),"NA",INDEX('Standard cost - Testing'!$A$1:$N$497,MATCH(RIGHT($C384,4),'Standard cost - Testing'!$A$1:$A$497,0),MATCH($E384,'Standard cost - Testing'!$K$1:$N$1,0)+10)))</f>
        <v>73602</v>
      </c>
      <c r="O384" s="45">
        <f>IF(OR(ISERROR($N384),$N384="",$N384="NA"),0,H384*$N384)*(1+INDEX('For Finance Control'!$B$27:$E$29,2,MATCH('Project information'!$A$4,'For Finance Control'!$B$27:$E$27,0)))</f>
        <v>0</v>
      </c>
      <c r="P384" s="45">
        <f>IF(OR(ISERROR($N384),$N384="",$N384="NA"),0,I384*$N384)*(1+INDEX('For Finance Control'!$B$27:$E$29,2,MATCH('Project information'!$A$4,'For Finance Control'!$B$27:$E$27,0)))</f>
        <v>0</v>
      </c>
      <c r="Q384" s="45">
        <f>IF(OR(ISERROR($N384),$N384="",$N384="NA"),0,J384*$N384)*(1+INDEX('For Finance Control'!$B$27:$E$29,2,MATCH('Project information'!$A$4,'For Finance Control'!$B$27:$E$27,0)))</f>
        <v>0</v>
      </c>
      <c r="R384" s="45">
        <f>IF(OR(ISERROR($N384),$N384="",$N384="NA"),0,K384*$N384)*(1+INDEX('For Finance Control'!$B$27:$E$29,2,MATCH('Project information'!$A$4,'For Finance Control'!$B$27:$E$27,0)))</f>
        <v>0</v>
      </c>
      <c r="S384" s="45">
        <f>IF(OR(ISERROR($N384),$N384="",$N384="NA"),0,L384*$N384)*(1+INDEX('For Finance Control'!$B$27:$E$29,2,MATCH('Project information'!$A$4,'For Finance Control'!$B$27:$E$27,0)))</f>
        <v>0</v>
      </c>
      <c r="T384" s="45">
        <f t="shared" si="337"/>
        <v>0</v>
      </c>
      <c r="U384" s="33" cm="1">
        <f t="array" ref="U384">IF($N384="NA","NA",$N384*INDEX('Exchange rate'!$A$1:$G$7,MATCH('Project information'!$A$13,'Exchange rate'!$A$1:$A$7,0),MATCH(LOOKUP(2,1/({"China";"Korea";"India";"Japan";"EUR";"NAO"}=$E384),{"CNY";"KRW";"INR";"JPY";"EUR";"USD"}),'Exchange rate'!$A$1:$G$1,0)))</f>
        <v>73602</v>
      </c>
      <c r="V384" s="33">
        <f t="shared" si="338"/>
        <v>0</v>
      </c>
      <c r="W384" s="33">
        <f t="shared" si="339"/>
        <v>0</v>
      </c>
      <c r="X384" s="33">
        <f t="shared" si="340"/>
        <v>0</v>
      </c>
      <c r="Y384" s="33">
        <f t="shared" si="341"/>
        <v>0</v>
      </c>
      <c r="Z384" s="33">
        <f t="shared" si="342"/>
        <v>0</v>
      </c>
      <c r="AA384" s="33">
        <f t="shared" si="343"/>
        <v>0</v>
      </c>
      <c r="AB384" s="246"/>
      <c r="AC384" s="247"/>
      <c r="AZ384" s="148" t="str">
        <f t="shared" si="327"/>
        <v>5.262</v>
      </c>
      <c r="BA384" s="149" t="s">
        <v>446</v>
      </c>
    </row>
    <row r="385" spans="1:53" ht="25" outlineLevel="1">
      <c r="A385" s="148" t="str">
        <f t="shared" si="326"/>
        <v>5.263</v>
      </c>
      <c r="B385" s="148" t="str">
        <f>INDEX('Standard cost - Testing'!$A$1:$N$497,MATCH(RIGHT($C385,4),'Standard cost - Testing'!$A$1:$A$497,0),3)</f>
        <v>CVE</v>
      </c>
      <c r="C385" s="149" t="str">
        <f>'Standard cost - Testing'!B264&amp;" - "&amp;'Standard cost - Testing'!A264</f>
        <v>Thermal - T037</v>
      </c>
      <c r="D385" s="150" t="str">
        <f>IF(RIGHT(INDEX('Standard cost - Testing'!$A$1:$N$497,MATCH(RIGHT($C385,4),'Standard cost - Testing'!$A$1:$A$497,0),4),1)="]",INDEX('Standard cost - Testing'!$A$1:$N$497,MATCH(RIGHT($C385,4),'Standard cost - Testing'!$A$1:$A$497,0),4),IF(INDEX('Standard cost - Testing'!$A$1:$N$497,MATCH(RIGHT($C385,4),'Standard cost - Testing'!$A$1:$A$497,0),10)=1,INDEX('Standard cost - Testing'!$A$1:$N$497,MATCH(RIGHT($C385,4),'Standard cost - Testing'!$A$1:$A$497,0),4)&amp;" [1 part]",INDEX('Standard cost - Testing'!$A$1:$N$497,MATCH(RIGHT($C385,4),'Standard cost - Testing'!$A$1:$A$497,0),4)&amp;" ["&amp;INDEX('Standard cost - Testing'!$A$1:$N$497,MATCH(RIGHT($C385,4),'Standard cost - Testing'!$A$1:$A$497,0),10)&amp;" parts]"))</f>
        <v>Thermal shock test (2000 cycles x 10 min) [1 part]</v>
      </c>
      <c r="E385" s="51" t="str">
        <f>IF('Project information'!$A$4="","",'Project information'!$A$4)</f>
        <v>China</v>
      </c>
      <c r="F385" s="149" t="str">
        <f>INDEX('Standard cost - Testing'!$A$1:$N$497,MATCH(RIGHT($C385,4),'Standard cost - Testing'!$A$1:$A$497,0),5)</f>
        <v>Weichai</v>
      </c>
      <c r="G385" s="149">
        <f>IF($E385='Standard cost - Testing'!$F$1,INDEX('Standard cost - Testing'!$A$1:$N$497,MATCH(RIGHT($C385,4),'Standard cost - Testing'!$A$1:$A$497,0),6),INDEX('Standard cost - Testing'!$A$1:$N$497,MATCH(RIGHT($C385,4),'Standard cost - Testing'!$A$1:$A$497,0),7))</f>
        <v>0</v>
      </c>
      <c r="H385" s="46"/>
      <c r="I385" s="46"/>
      <c r="J385" s="46"/>
      <c r="K385" s="46"/>
      <c r="L385" s="46"/>
      <c r="M385" s="33">
        <f t="shared" si="336"/>
        <v>0</v>
      </c>
      <c r="N385" s="157">
        <f>IF(E385="","",IF(ISERROR(INDEX('Standard cost - Testing'!$A$1:$N$497,MATCH(RIGHT($C385,4),'Standard cost - Testing'!$A$1:$A$497,0),MATCH($E385,'Standard cost - Testing'!$K$1:$N$1,0)+10)),"NA",INDEX('Standard cost - Testing'!$A$1:$N$497,MATCH(RIGHT($C385,4),'Standard cost - Testing'!$A$1:$A$497,0),MATCH($E385,'Standard cost - Testing'!$K$1:$N$1,0)+10)))</f>
        <v>184902</v>
      </c>
      <c r="O385" s="45">
        <f>IF(OR(ISERROR($N385),$N385="",$N385="NA"),0,H385*$N385)*(1+INDEX('For Finance Control'!$B$27:$E$29,2,MATCH('Project information'!$A$4,'For Finance Control'!$B$27:$E$27,0)))</f>
        <v>0</v>
      </c>
      <c r="P385" s="45">
        <f>IF(OR(ISERROR($N385),$N385="",$N385="NA"),0,I385*$N385)*(1+INDEX('For Finance Control'!$B$27:$E$29,2,MATCH('Project information'!$A$4,'For Finance Control'!$B$27:$E$27,0)))</f>
        <v>0</v>
      </c>
      <c r="Q385" s="45">
        <f>IF(OR(ISERROR($N385),$N385="",$N385="NA"),0,J385*$N385)*(1+INDEX('For Finance Control'!$B$27:$E$29,2,MATCH('Project information'!$A$4,'For Finance Control'!$B$27:$E$27,0)))</f>
        <v>0</v>
      </c>
      <c r="R385" s="45">
        <f>IF(OR(ISERROR($N385),$N385="",$N385="NA"),0,K385*$N385)*(1+INDEX('For Finance Control'!$B$27:$E$29,2,MATCH('Project information'!$A$4,'For Finance Control'!$B$27:$E$27,0)))</f>
        <v>0</v>
      </c>
      <c r="S385" s="45">
        <f>IF(OR(ISERROR($N385),$N385="",$N385="NA"),0,L385*$N385)*(1+INDEX('For Finance Control'!$B$27:$E$29,2,MATCH('Project information'!$A$4,'For Finance Control'!$B$27:$E$27,0)))</f>
        <v>0</v>
      </c>
      <c r="T385" s="45">
        <f t="shared" si="337"/>
        <v>0</v>
      </c>
      <c r="U385" s="33" cm="1">
        <f t="array" ref="U385">IF($N385="NA","NA",$N385*INDEX('Exchange rate'!$A$1:$G$7,MATCH('Project information'!$A$13,'Exchange rate'!$A$1:$A$7,0),MATCH(LOOKUP(2,1/({"China";"Korea";"India";"Japan";"EUR";"NAO"}=$E385),{"CNY";"KRW";"INR";"JPY";"EUR";"USD"}),'Exchange rate'!$A$1:$G$1,0)))</f>
        <v>184902</v>
      </c>
      <c r="V385" s="33">
        <f t="shared" si="338"/>
        <v>0</v>
      </c>
      <c r="W385" s="33">
        <f t="shared" si="339"/>
        <v>0</v>
      </c>
      <c r="X385" s="33">
        <f t="shared" si="340"/>
        <v>0</v>
      </c>
      <c r="Y385" s="33">
        <f t="shared" si="341"/>
        <v>0</v>
      </c>
      <c r="Z385" s="33">
        <f t="shared" si="342"/>
        <v>0</v>
      </c>
      <c r="AA385" s="33">
        <f t="shared" si="343"/>
        <v>0</v>
      </c>
      <c r="AB385" s="164"/>
      <c r="AC385" s="165"/>
      <c r="AZ385" s="148" t="str">
        <f t="shared" si="327"/>
        <v>5.263</v>
      </c>
      <c r="BA385" s="149" t="s">
        <v>101</v>
      </c>
    </row>
    <row r="386" spans="1:53" ht="50" outlineLevel="1">
      <c r="A386" s="148" t="str">
        <f t="shared" si="326"/>
        <v>5.264</v>
      </c>
      <c r="B386" s="148" t="str">
        <f>INDEX('Standard cost - Testing'!$A$1:$N$497,MATCH(RIGHT($C386,4),'Standard cost - Testing'!$A$1:$A$497,0),3)</f>
        <v>LVE</v>
      </c>
      <c r="C386" s="149" t="str">
        <f>'Standard cost - Testing'!B265&amp;" - "&amp;'Standard cost - Testing'!A265</f>
        <v>RLDA - R007</v>
      </c>
      <c r="D386" s="150" t="str">
        <f>IF(RIGHT(INDEX('Standard cost - Testing'!$A$1:$N$497,MATCH(RIGHT($C386,4),'Standard cost - Testing'!$A$1:$A$497,0),4),1)="]",INDEX('Standard cost - Testing'!$A$1:$N$497,MATCH(RIGHT($C386,4),'Standard cost - Testing'!$A$1:$A$497,0),4),IF(INDEX('Standard cost - Testing'!$A$1:$N$497,MATCH(RIGHT($C386,4),'Standard cost - Testing'!$A$1:$A$497,0),10)=1,INDEX('Standard cost - Testing'!$A$1:$N$497,MATCH(RIGHT($C386,4),'Standard cost - Testing'!$A$1:$A$497,0),4)&amp;" [1 part]",INDEX('Standard cost - Testing'!$A$1:$N$497,MATCH(RIGHT($C386,4),'Standard cost - Testing'!$A$1:$A$497,0),4)&amp;" ["&amp;INDEX('Standard cost - Testing'!$A$1:$N$497,MATCH(RIGHT($C386,4),'Standard cost - Testing'!$A$1:$A$497,0),10)&amp;" parts]"))</f>
        <v>HE Engineless validation input data acquisition (on PG/Engine bench/Dyno bench)  [1 part]</v>
      </c>
      <c r="E386" s="51" t="str">
        <f>IF('Project information'!$A$4="","",'Project information'!$A$4)</f>
        <v>China</v>
      </c>
      <c r="F386" s="149" t="str">
        <f>INDEX('Standard cost - Testing'!$A$1:$N$497,MATCH(RIGHT($C386,4),'Standard cost - Testing'!$A$1:$A$497,0),5)</f>
        <v>Faurecia</v>
      </c>
      <c r="G386" s="149">
        <f>IF($E386='Standard cost - Testing'!$F$1,INDEX('Standard cost - Testing'!$A$1:$N$497,MATCH(RIGHT($C386,4),'Standard cost - Testing'!$A$1:$A$497,0),6),INDEX('Standard cost - Testing'!$A$1:$N$497,MATCH(RIGHT($C386,4),'Standard cost - Testing'!$A$1:$A$497,0),7))</f>
        <v>0</v>
      </c>
      <c r="H386" s="46"/>
      <c r="I386" s="46"/>
      <c r="J386" s="46"/>
      <c r="K386" s="46"/>
      <c r="L386" s="46"/>
      <c r="M386" s="33">
        <f t="shared" si="336"/>
        <v>0</v>
      </c>
      <c r="N386" s="157">
        <f>IF(E386="","",IF(ISERROR(INDEX('Standard cost - Testing'!$A$1:$N$497,MATCH(RIGHT($C386,4),'Standard cost - Testing'!$A$1:$A$497,0),MATCH($E386,'Standard cost - Testing'!$K$1:$N$1,0)+10)),"NA",INDEX('Standard cost - Testing'!$A$1:$N$497,MATCH(RIGHT($C386,4),'Standard cost - Testing'!$A$1:$A$497,0),MATCH($E386,'Standard cost - Testing'!$K$1:$N$1,0)+10)))</f>
        <v>45720</v>
      </c>
      <c r="O386" s="45">
        <f>IF(OR(ISERROR($N386),$N386="",$N386="NA"),0,H386*$N386)*(1+INDEX('For Finance Control'!$B$27:$E$29,2,MATCH('Project information'!$A$4,'For Finance Control'!$B$27:$E$27,0)))</f>
        <v>0</v>
      </c>
      <c r="P386" s="45">
        <f>IF(OR(ISERROR($N386),$N386="",$N386="NA"),0,I386*$N386)*(1+INDEX('For Finance Control'!$B$27:$E$29,2,MATCH('Project information'!$A$4,'For Finance Control'!$B$27:$E$27,0)))</f>
        <v>0</v>
      </c>
      <c r="Q386" s="45">
        <f>IF(OR(ISERROR($N386),$N386="",$N386="NA"),0,J386*$N386)*(1+INDEX('For Finance Control'!$B$27:$E$29,2,MATCH('Project information'!$A$4,'For Finance Control'!$B$27:$E$27,0)))</f>
        <v>0</v>
      </c>
      <c r="R386" s="45">
        <f>IF(OR(ISERROR($N386),$N386="",$N386="NA"),0,K386*$N386)*(1+INDEX('For Finance Control'!$B$27:$E$29,2,MATCH('Project information'!$A$4,'For Finance Control'!$B$27:$E$27,0)))</f>
        <v>0</v>
      </c>
      <c r="S386" s="45">
        <f>IF(OR(ISERROR($N386),$N386="",$N386="NA"),0,L386*$N386)*(1+INDEX('For Finance Control'!$B$27:$E$29,2,MATCH('Project information'!$A$4,'For Finance Control'!$B$27:$E$27,0)))</f>
        <v>0</v>
      </c>
      <c r="T386" s="45">
        <f t="shared" si="337"/>
        <v>0</v>
      </c>
      <c r="U386" s="33" cm="1">
        <f t="array" ref="U386">IF($N386="NA","NA",$N386*INDEX('Exchange rate'!$A$1:$G$7,MATCH('Project information'!$A$13,'Exchange rate'!$A$1:$A$7,0),MATCH(LOOKUP(2,1/({"China";"Korea";"India";"Japan";"EUR";"NAO"}=$E386),{"CNY";"KRW";"INR";"JPY";"EUR";"USD"}),'Exchange rate'!$A$1:$G$1,0)))</f>
        <v>45720</v>
      </c>
      <c r="V386" s="33">
        <f t="shared" si="338"/>
        <v>0</v>
      </c>
      <c r="W386" s="33">
        <f t="shared" si="339"/>
        <v>0</v>
      </c>
      <c r="X386" s="33">
        <f t="shared" si="340"/>
        <v>0</v>
      </c>
      <c r="Y386" s="33">
        <f t="shared" si="341"/>
        <v>0</v>
      </c>
      <c r="Z386" s="33">
        <f t="shared" si="342"/>
        <v>0</v>
      </c>
      <c r="AA386" s="33">
        <f t="shared" si="343"/>
        <v>0</v>
      </c>
      <c r="AB386" s="164"/>
      <c r="AC386" s="165"/>
      <c r="AZ386" s="148" t="str">
        <f t="shared" si="327"/>
        <v>5.264</v>
      </c>
      <c r="BA386" s="149" t="s">
        <v>447</v>
      </c>
    </row>
    <row r="387" spans="1:53" ht="25" outlineLevel="1">
      <c r="A387" s="148" t="str">
        <f t="shared" si="326"/>
        <v>5.265</v>
      </c>
      <c r="B387" s="148" t="str">
        <f>INDEX('Standard cost - Testing'!$A$1:$N$497,MATCH(RIGHT($C387,4),'Standard cost - Testing'!$A$1:$A$497,0),3)</f>
        <v>LVE</v>
      </c>
      <c r="C387" s="149" t="str">
        <f>'Standard cost - Testing'!B266&amp;" - "&amp;'Standard cost - Testing'!A266</f>
        <v>Thermal - T038</v>
      </c>
      <c r="D387" s="150" t="str">
        <f>IF(RIGHT(INDEX('Standard cost - Testing'!$A$1:$N$497,MATCH(RIGHT($C387,4),'Standard cost - Testing'!$A$1:$A$497,0),4),1)="]",INDEX('Standard cost - Testing'!$A$1:$N$497,MATCH(RIGHT($C387,4),'Standard cost - Testing'!$A$1:$A$497,0),4),IF(INDEX('Standard cost - Testing'!$A$1:$N$497,MATCH(RIGHT($C387,4),'Standard cost - Testing'!$A$1:$A$497,0),10)=1,INDEX('Standard cost - Testing'!$A$1:$N$497,MATCH(RIGHT($C387,4),'Standard cost - Testing'!$A$1:$A$497,0),4)&amp;" [1 part]",INDEX('Standard cost - Testing'!$A$1:$N$497,MATCH(RIGHT($C387,4),'Standard cost - Testing'!$A$1:$A$497,0),4)&amp;" ["&amp;INDEX('Standard cost - Testing'!$A$1:$N$497,MATCH(RIGHT($C387,4),'Standard cost - Testing'!$A$1:$A$497,0),10)&amp;" parts]"))</f>
        <v>HE Engineless burner thermal shock test (1,000 cycles) [1 part]</v>
      </c>
      <c r="E387" s="51" t="str">
        <f>IF('Project information'!$A$4="","",'Project information'!$A$4)</f>
        <v>China</v>
      </c>
      <c r="F387" s="149" t="str">
        <f>INDEX('Standard cost - Testing'!$A$1:$N$497,MATCH(RIGHT($C387,4),'Standard cost - Testing'!$A$1:$A$497,0),5)</f>
        <v>Faurecia</v>
      </c>
      <c r="G387" s="149">
        <f>IF($E387='Standard cost - Testing'!$F$1,INDEX('Standard cost - Testing'!$A$1:$N$497,MATCH(RIGHT($C387,4),'Standard cost - Testing'!$A$1:$A$497,0),6),INDEX('Standard cost - Testing'!$A$1:$N$497,MATCH(RIGHT($C387,4),'Standard cost - Testing'!$A$1:$A$497,0),7))</f>
        <v>0</v>
      </c>
      <c r="H387" s="46"/>
      <c r="I387" s="46"/>
      <c r="J387" s="46"/>
      <c r="K387" s="46"/>
      <c r="L387" s="46"/>
      <c r="M387" s="33">
        <f t="shared" si="336"/>
        <v>0</v>
      </c>
      <c r="N387" s="157">
        <f>IF(E387="","",IF(ISERROR(INDEX('Standard cost - Testing'!$A$1:$N$497,MATCH(RIGHT($C387,4),'Standard cost - Testing'!$A$1:$A$497,0),MATCH($E387,'Standard cost - Testing'!$K$1:$N$1,0)+10)),"NA",INDEX('Standard cost - Testing'!$A$1:$N$497,MATCH(RIGHT($C387,4),'Standard cost - Testing'!$A$1:$A$497,0),MATCH($E387,'Standard cost - Testing'!$K$1:$N$1,0)+10)))</f>
        <v>161195</v>
      </c>
      <c r="O387" s="45">
        <f>IF(OR(ISERROR($N387),$N387="",$N387="NA"),0,H387*$N387)*(1+INDEX('For Finance Control'!$B$27:$E$29,2,MATCH('Project information'!$A$4,'For Finance Control'!$B$27:$E$27,0)))</f>
        <v>0</v>
      </c>
      <c r="P387" s="45">
        <f>IF(OR(ISERROR($N387),$N387="",$N387="NA"),0,I387*$N387)*(1+INDEX('For Finance Control'!$B$27:$E$29,2,MATCH('Project information'!$A$4,'For Finance Control'!$B$27:$E$27,0)))</f>
        <v>0</v>
      </c>
      <c r="Q387" s="45">
        <f>IF(OR(ISERROR($N387),$N387="",$N387="NA"),0,J387*$N387)*(1+INDEX('For Finance Control'!$B$27:$E$29,2,MATCH('Project information'!$A$4,'For Finance Control'!$B$27:$E$27,0)))</f>
        <v>0</v>
      </c>
      <c r="R387" s="45">
        <f>IF(OR(ISERROR($N387),$N387="",$N387="NA"),0,K387*$N387)*(1+INDEX('For Finance Control'!$B$27:$E$29,2,MATCH('Project information'!$A$4,'For Finance Control'!$B$27:$E$27,0)))</f>
        <v>0</v>
      </c>
      <c r="S387" s="45">
        <f>IF(OR(ISERROR($N387),$N387="",$N387="NA"),0,L387*$N387)*(1+INDEX('For Finance Control'!$B$27:$E$29,2,MATCH('Project information'!$A$4,'For Finance Control'!$B$27:$E$27,0)))</f>
        <v>0</v>
      </c>
      <c r="T387" s="45">
        <f t="shared" si="337"/>
        <v>0</v>
      </c>
      <c r="U387" s="33" cm="1">
        <f t="array" ref="U387">IF($N387="NA","NA",$N387*INDEX('Exchange rate'!$A$1:$G$7,MATCH('Project information'!$A$13,'Exchange rate'!$A$1:$A$7,0),MATCH(LOOKUP(2,1/({"China";"Korea";"India";"Japan";"EUR";"NAO"}=$E387),{"CNY";"KRW";"INR";"JPY";"EUR";"USD"}),'Exchange rate'!$A$1:$G$1,0)))</f>
        <v>161195</v>
      </c>
      <c r="V387" s="33">
        <f t="shared" si="338"/>
        <v>0</v>
      </c>
      <c r="W387" s="33">
        <f t="shared" si="339"/>
        <v>0</v>
      </c>
      <c r="X387" s="33">
        <f t="shared" si="340"/>
        <v>0</v>
      </c>
      <c r="Y387" s="33">
        <f t="shared" si="341"/>
        <v>0</v>
      </c>
      <c r="Z387" s="33">
        <f t="shared" si="342"/>
        <v>0</v>
      </c>
      <c r="AA387" s="33">
        <f t="shared" si="343"/>
        <v>0</v>
      </c>
      <c r="AB387" s="164"/>
      <c r="AC387" s="165"/>
      <c r="AZ387" s="148" t="str">
        <f t="shared" si="327"/>
        <v>5.265</v>
      </c>
      <c r="BA387" s="149" t="s">
        <v>101</v>
      </c>
    </row>
    <row r="388" spans="1:53" ht="25" outlineLevel="1">
      <c r="A388" s="148" t="str">
        <f t="shared" si="326"/>
        <v>5.266</v>
      </c>
      <c r="B388" s="148" t="str">
        <f>INDEX('Standard cost - Testing'!$A$1:$N$497,MATCH(RIGHT($C388,4),'Standard cost - Testing'!$A$1:$A$497,0),3)</f>
        <v>LVE</v>
      </c>
      <c r="C388" s="149" t="str">
        <f>'Standard cost - Testing'!B267&amp;" - "&amp;'Standard cost - Testing'!A267</f>
        <v>H.V - H056</v>
      </c>
      <c r="D388" s="150" t="str">
        <f>IF(RIGHT(INDEX('Standard cost - Testing'!$A$1:$N$497,MATCH(RIGHT($C388,4),'Standard cost - Testing'!$A$1:$A$497,0),4),1)="]",INDEX('Standard cost - Testing'!$A$1:$N$497,MATCH(RIGHT($C388,4),'Standard cost - Testing'!$A$1:$A$497,0),4),IF(INDEX('Standard cost - Testing'!$A$1:$N$497,MATCH(RIGHT($C388,4),'Standard cost - Testing'!$A$1:$A$497,0),10)=1,INDEX('Standard cost - Testing'!$A$1:$N$497,MATCH(RIGHT($C388,4),'Standard cost - Testing'!$A$1:$A$497,0),4)&amp;" [1 part]",INDEX('Standard cost - Testing'!$A$1:$N$497,MATCH(RIGHT($C388,4),'Standard cost - Testing'!$A$1:$A$497,0),4)&amp;" ["&amp;INDEX('Standard cost - Testing'!$A$1:$N$497,MATCH(RIGHT($C388,4),'Standard cost - Testing'!$A$1:$A$497,0),10)&amp;" parts]"))</f>
        <v>HE Engineless shaker vibration test (3 direction) [1 part]</v>
      </c>
      <c r="E388" s="51" t="str">
        <f>IF('Project information'!$A$4="","",'Project information'!$A$4)</f>
        <v>China</v>
      </c>
      <c r="F388" s="149" t="str">
        <f>INDEX('Standard cost - Testing'!$A$1:$N$497,MATCH(RIGHT($C388,4),'Standard cost - Testing'!$A$1:$A$497,0),5)</f>
        <v>Faurecia</v>
      </c>
      <c r="G388" s="149">
        <f>IF($E388='Standard cost - Testing'!$F$1,INDEX('Standard cost - Testing'!$A$1:$N$497,MATCH(RIGHT($C388,4),'Standard cost - Testing'!$A$1:$A$497,0),6),INDEX('Standard cost - Testing'!$A$1:$N$497,MATCH(RIGHT($C388,4),'Standard cost - Testing'!$A$1:$A$497,0),7))</f>
        <v>0</v>
      </c>
      <c r="H388" s="46"/>
      <c r="I388" s="46"/>
      <c r="J388" s="46"/>
      <c r="K388" s="46"/>
      <c r="L388" s="46"/>
      <c r="M388" s="33">
        <f t="shared" si="336"/>
        <v>0</v>
      </c>
      <c r="N388" s="157">
        <f>IF(E388="","",IF(ISERROR(INDEX('Standard cost - Testing'!$A$1:$N$497,MATCH(RIGHT($C388,4),'Standard cost - Testing'!$A$1:$A$497,0),MATCH($E388,'Standard cost - Testing'!$K$1:$N$1,0)+10)),"NA",INDEX('Standard cost - Testing'!$A$1:$N$497,MATCH(RIGHT($C388,4),'Standard cost - Testing'!$A$1:$A$497,0),MATCH($E388,'Standard cost - Testing'!$K$1:$N$1,0)+10)))</f>
        <v>74863</v>
      </c>
      <c r="O388" s="45">
        <f>IF(OR(ISERROR($N388),$N388="",$N388="NA"),0,H388*$N388)*(1+INDEX('For Finance Control'!$B$27:$E$29,2,MATCH('Project information'!$A$4,'For Finance Control'!$B$27:$E$27,0)))</f>
        <v>0</v>
      </c>
      <c r="P388" s="45">
        <f>IF(OR(ISERROR($N388),$N388="",$N388="NA"),0,I388*$N388)*(1+INDEX('For Finance Control'!$B$27:$E$29,2,MATCH('Project information'!$A$4,'For Finance Control'!$B$27:$E$27,0)))</f>
        <v>0</v>
      </c>
      <c r="Q388" s="45">
        <f>IF(OR(ISERROR($N388),$N388="",$N388="NA"),0,J388*$N388)*(1+INDEX('For Finance Control'!$B$27:$E$29,2,MATCH('Project information'!$A$4,'For Finance Control'!$B$27:$E$27,0)))</f>
        <v>0</v>
      </c>
      <c r="R388" s="45">
        <f>IF(OR(ISERROR($N388),$N388="",$N388="NA"),0,K388*$N388)*(1+INDEX('For Finance Control'!$B$27:$E$29,2,MATCH('Project information'!$A$4,'For Finance Control'!$B$27:$E$27,0)))</f>
        <v>0</v>
      </c>
      <c r="S388" s="45">
        <f>IF(OR(ISERROR($N388),$N388="",$N388="NA"),0,L388*$N388)*(1+INDEX('For Finance Control'!$B$27:$E$29,2,MATCH('Project information'!$A$4,'For Finance Control'!$B$27:$E$27,0)))</f>
        <v>0</v>
      </c>
      <c r="T388" s="45">
        <f t="shared" si="337"/>
        <v>0</v>
      </c>
      <c r="U388" s="33" cm="1">
        <f t="array" ref="U388">IF($N388="NA","NA",$N388*INDEX('Exchange rate'!$A$1:$G$7,MATCH('Project information'!$A$13,'Exchange rate'!$A$1:$A$7,0),MATCH(LOOKUP(2,1/({"China";"Korea";"India";"Japan";"EUR";"NAO"}=$E388),{"CNY";"KRW";"INR";"JPY";"EUR";"USD"}),'Exchange rate'!$A$1:$G$1,0)))</f>
        <v>74863</v>
      </c>
      <c r="V388" s="33">
        <f t="shared" si="338"/>
        <v>0</v>
      </c>
      <c r="W388" s="33">
        <f t="shared" si="339"/>
        <v>0</v>
      </c>
      <c r="X388" s="33">
        <f t="shared" si="340"/>
        <v>0</v>
      </c>
      <c r="Y388" s="33">
        <f t="shared" si="341"/>
        <v>0</v>
      </c>
      <c r="Z388" s="33">
        <f t="shared" si="342"/>
        <v>0</v>
      </c>
      <c r="AA388" s="33">
        <f t="shared" si="343"/>
        <v>0</v>
      </c>
      <c r="AB388" s="164"/>
      <c r="AC388" s="165"/>
      <c r="AZ388" s="148" t="str">
        <f t="shared" si="327"/>
        <v>5.266</v>
      </c>
      <c r="BA388" s="149" t="s">
        <v>101</v>
      </c>
    </row>
    <row r="389" spans="1:53" ht="50" outlineLevel="1">
      <c r="A389" s="148" t="str">
        <f t="shared" si="326"/>
        <v>5.267</v>
      </c>
      <c r="B389" s="148" t="str">
        <f>INDEX('Standard cost - Testing'!$A$1:$N$497,MATCH(RIGHT($C389,4),'Standard cost - Testing'!$A$1:$A$497,0),3)</f>
        <v>LVE</v>
      </c>
      <c r="C389" s="149" t="str">
        <f>'Standard cost - Testing'!B268&amp;" - "&amp;'Standard cost - Testing'!A268</f>
        <v>Fatigue test - F046</v>
      </c>
      <c r="D389" s="150" t="str">
        <f>IF(RIGHT(INDEX('Standard cost - Testing'!$A$1:$N$497,MATCH(RIGHT($C389,4),'Standard cost - Testing'!$A$1:$A$497,0),4),1)="]",INDEX('Standard cost - Testing'!$A$1:$N$497,MATCH(RIGHT($C389,4),'Standard cost - Testing'!$A$1:$A$497,0),4),IF(INDEX('Standard cost - Testing'!$A$1:$N$497,MATCH(RIGHT($C389,4),'Standard cost - Testing'!$A$1:$A$497,0),10)=1,INDEX('Standard cost - Testing'!$A$1:$N$497,MATCH(RIGHT($C389,4),'Standard cost - Testing'!$A$1:$A$497,0),4)&amp;" [1 part]",INDEX('Standard cost - Testing'!$A$1:$N$497,MATCH(RIGHT($C389,4),'Standard cost - Testing'!$A$1:$A$497,0),4)&amp;" ["&amp;INDEX('Standard cost - Testing'!$A$1:$N$497,MATCH(RIGHT($C389,4),'Standard cost - Testing'!$A$1:$A$497,0),10)&amp;" parts]"))</f>
        <v>Exhaust System Hanger Component Durability Test and Validation For Use Without Physically Measured Strain Data [6 parts]</v>
      </c>
      <c r="E389" s="51" t="str">
        <f>IF('Project information'!$A$4="","",'Project information'!$A$4)</f>
        <v>China</v>
      </c>
      <c r="F389" s="149" t="str">
        <f>INDEX('Standard cost - Testing'!$A$1:$N$497,MATCH(RIGHT($C389,4),'Standard cost - Testing'!$A$1:$A$497,0),5)</f>
        <v>GM</v>
      </c>
      <c r="G389" s="149" t="str">
        <f>IF($E389='Standard cost - Testing'!$F$1,INDEX('Standard cost - Testing'!$A$1:$N$497,MATCH(RIGHT($C389,4),'Standard cost - Testing'!$A$1:$A$497,0),6),INDEX('Standard cost - Testing'!$A$1:$N$497,MATCH(RIGHT($C389,4),'Standard cost - Testing'!$A$1:$A$497,0),7))</f>
        <v>GMW16941</v>
      </c>
      <c r="H389" s="46"/>
      <c r="I389" s="46"/>
      <c r="J389" s="46"/>
      <c r="K389" s="46"/>
      <c r="L389" s="46"/>
      <c r="M389" s="33">
        <f t="shared" si="336"/>
        <v>0</v>
      </c>
      <c r="N389" s="157">
        <f>IF(E389="","",IF(ISERROR(INDEX('Standard cost - Testing'!$A$1:$N$497,MATCH(RIGHT($C389,4),'Standard cost - Testing'!$A$1:$A$497,0),MATCH($E389,'Standard cost - Testing'!$K$1:$N$1,0)+10)),"NA",INDEX('Standard cost - Testing'!$A$1:$N$497,MATCH(RIGHT($C389,4),'Standard cost - Testing'!$A$1:$A$497,0),MATCH($E389,'Standard cost - Testing'!$K$1:$N$1,0)+10)))</f>
        <v>61240</v>
      </c>
      <c r="O389" s="45">
        <f>IF(OR(ISERROR($N389),$N389="",$N389="NA"),0,H389*$N389)*(1+INDEX('For Finance Control'!$B$27:$E$29,2,MATCH('Project information'!$A$4,'For Finance Control'!$B$27:$E$27,0)))</f>
        <v>0</v>
      </c>
      <c r="P389" s="45">
        <f>IF(OR(ISERROR($N389),$N389="",$N389="NA"),0,I389*$N389)*(1+INDEX('For Finance Control'!$B$27:$E$29,2,MATCH('Project information'!$A$4,'For Finance Control'!$B$27:$E$27,0)))</f>
        <v>0</v>
      </c>
      <c r="Q389" s="45">
        <f>IF(OR(ISERROR($N389),$N389="",$N389="NA"),0,J389*$N389)*(1+INDEX('For Finance Control'!$B$27:$E$29,2,MATCH('Project information'!$A$4,'For Finance Control'!$B$27:$E$27,0)))</f>
        <v>0</v>
      </c>
      <c r="R389" s="45">
        <f>IF(OR(ISERROR($N389),$N389="",$N389="NA"),0,K389*$N389)*(1+INDEX('For Finance Control'!$B$27:$E$29,2,MATCH('Project information'!$A$4,'For Finance Control'!$B$27:$E$27,0)))</f>
        <v>0</v>
      </c>
      <c r="S389" s="45">
        <f>IF(OR(ISERROR($N389),$N389="",$N389="NA"),0,L389*$N389)*(1+INDEX('For Finance Control'!$B$27:$E$29,2,MATCH('Project information'!$A$4,'For Finance Control'!$B$27:$E$27,0)))</f>
        <v>0</v>
      </c>
      <c r="T389" s="45">
        <f t="shared" si="337"/>
        <v>0</v>
      </c>
      <c r="U389" s="33" cm="1">
        <f t="array" ref="U389">IF($N389="NA","NA",$N389*INDEX('Exchange rate'!$A$1:$G$7,MATCH('Project information'!$A$13,'Exchange rate'!$A$1:$A$7,0),MATCH(LOOKUP(2,1/({"China";"Korea";"India";"Japan";"EUR";"NAO"}=$E389),{"CNY";"KRW";"INR";"JPY";"EUR";"USD"}),'Exchange rate'!$A$1:$G$1,0)))</f>
        <v>61240</v>
      </c>
      <c r="V389" s="33">
        <f t="shared" si="338"/>
        <v>0</v>
      </c>
      <c r="W389" s="33">
        <f t="shared" si="339"/>
        <v>0</v>
      </c>
      <c r="X389" s="33">
        <f t="shared" si="340"/>
        <v>0</v>
      </c>
      <c r="Y389" s="33">
        <f t="shared" si="341"/>
        <v>0</v>
      </c>
      <c r="Z389" s="33">
        <f t="shared" si="342"/>
        <v>0</v>
      </c>
      <c r="AA389" s="33">
        <f t="shared" si="343"/>
        <v>0</v>
      </c>
      <c r="AB389" s="246"/>
      <c r="AC389" s="247"/>
      <c r="AZ389" s="148" t="str">
        <f t="shared" si="327"/>
        <v>5.267</v>
      </c>
      <c r="BA389" s="149" t="s">
        <v>101</v>
      </c>
    </row>
    <row r="390" spans="1:53" ht="50" outlineLevel="1">
      <c r="A390" s="148" t="str">
        <f t="shared" si="326"/>
        <v>5.268</v>
      </c>
      <c r="B390" s="148" t="str">
        <f>INDEX('Standard cost - Testing'!$A$1:$N$497,MATCH(RIGHT($C390,4),'Standard cost - Testing'!$A$1:$A$497,0),3)</f>
        <v>LVE</v>
      </c>
      <c r="C390" s="149" t="str">
        <f>'Standard cost - Testing'!B269&amp;" - "&amp;'Standard cost - Testing'!A269</f>
        <v>Fatigue test - F047</v>
      </c>
      <c r="D390" s="150" t="str">
        <f>IF(RIGHT(INDEX('Standard cost - Testing'!$A$1:$N$497,MATCH(RIGHT($C390,4),'Standard cost - Testing'!$A$1:$A$497,0),4),1)="]",INDEX('Standard cost - Testing'!$A$1:$N$497,MATCH(RIGHT($C390,4),'Standard cost - Testing'!$A$1:$A$497,0),4),IF(INDEX('Standard cost - Testing'!$A$1:$N$497,MATCH(RIGHT($C390,4),'Standard cost - Testing'!$A$1:$A$497,0),10)=1,INDEX('Standard cost - Testing'!$A$1:$N$497,MATCH(RIGHT($C390,4),'Standard cost - Testing'!$A$1:$A$497,0),4)&amp;" [1 part]",INDEX('Standard cost - Testing'!$A$1:$N$497,MATCH(RIGHT($C390,4),'Standard cost - Testing'!$A$1:$A$497,0),4)&amp;" ["&amp;INDEX('Standard cost - Testing'!$A$1:$N$497,MATCH(RIGHT($C390,4),'Standard cost - Testing'!$A$1:$A$497,0),10)&amp;" parts]"))</f>
        <v>Exhaust System Welded Connection Durability Test and Validation For Use Without Physically Measured Strain Data [6 parts]</v>
      </c>
      <c r="E390" s="51" t="str">
        <f>IF('Project information'!$A$4="","",'Project information'!$A$4)</f>
        <v>China</v>
      </c>
      <c r="F390" s="149" t="str">
        <f>INDEX('Standard cost - Testing'!$A$1:$N$497,MATCH(RIGHT($C390,4),'Standard cost - Testing'!$A$1:$A$497,0),5)</f>
        <v>GM</v>
      </c>
      <c r="G390" s="149" t="str">
        <f>IF($E390='Standard cost - Testing'!$F$1,INDEX('Standard cost - Testing'!$A$1:$N$497,MATCH(RIGHT($C390,4),'Standard cost - Testing'!$A$1:$A$497,0),6),INDEX('Standard cost - Testing'!$A$1:$N$497,MATCH(RIGHT($C390,4),'Standard cost - Testing'!$A$1:$A$497,0),7))</f>
        <v>GMW18104</v>
      </c>
      <c r="H390" s="46"/>
      <c r="I390" s="46"/>
      <c r="J390" s="46"/>
      <c r="K390" s="46"/>
      <c r="L390" s="46"/>
      <c r="M390" s="33">
        <f t="shared" ref="M390:M391" si="344">SUM(H390:L390)</f>
        <v>0</v>
      </c>
      <c r="N390" s="157">
        <f>IF(E390="","",IF(ISERROR(INDEX('Standard cost - Testing'!$A$1:$N$497,MATCH(RIGHT($C390,4),'Standard cost - Testing'!$A$1:$A$497,0),MATCH($E390,'Standard cost - Testing'!$K$1:$N$1,0)+10)),"NA",INDEX('Standard cost - Testing'!$A$1:$N$497,MATCH(RIGHT($C390,4),'Standard cost - Testing'!$A$1:$A$497,0),MATCH($E390,'Standard cost - Testing'!$K$1:$N$1,0)+10)))</f>
        <v>63240</v>
      </c>
      <c r="O390" s="45">
        <f>IF(OR(ISERROR($N390),$N390="",$N390="NA"),0,H390*$N390)*(1+INDEX('For Finance Control'!$B$27:$E$29,2,MATCH('Project information'!$A$4,'For Finance Control'!$B$27:$E$27,0)))</f>
        <v>0</v>
      </c>
      <c r="P390" s="45">
        <f>IF(OR(ISERROR($N390),$N390="",$N390="NA"),0,I390*$N390)*(1+INDEX('For Finance Control'!$B$27:$E$29,2,MATCH('Project information'!$A$4,'For Finance Control'!$B$27:$E$27,0)))</f>
        <v>0</v>
      </c>
      <c r="Q390" s="45">
        <f>IF(OR(ISERROR($N390),$N390="",$N390="NA"),0,J390*$N390)*(1+INDEX('For Finance Control'!$B$27:$E$29,2,MATCH('Project information'!$A$4,'For Finance Control'!$B$27:$E$27,0)))</f>
        <v>0</v>
      </c>
      <c r="R390" s="45">
        <f>IF(OR(ISERROR($N390),$N390="",$N390="NA"),0,K390*$N390)*(1+INDEX('For Finance Control'!$B$27:$E$29,2,MATCH('Project information'!$A$4,'For Finance Control'!$B$27:$E$27,0)))</f>
        <v>0</v>
      </c>
      <c r="S390" s="45">
        <f>IF(OR(ISERROR($N390),$N390="",$N390="NA"),0,L390*$N390)*(1+INDEX('For Finance Control'!$B$27:$E$29,2,MATCH('Project information'!$A$4,'For Finance Control'!$B$27:$E$27,0)))</f>
        <v>0</v>
      </c>
      <c r="T390" s="45">
        <f t="shared" ref="T390:T391" si="345">SUM(O390:S390)</f>
        <v>0</v>
      </c>
      <c r="U390" s="33" cm="1">
        <f t="array" ref="U390">IF($N390="NA","NA",$N390*INDEX('Exchange rate'!$A$1:$G$7,MATCH('Project information'!$A$13,'Exchange rate'!$A$1:$A$7,0),MATCH(LOOKUP(2,1/({"China";"Korea";"India";"Japan";"EUR";"NAO"}=$E390),{"CNY";"KRW";"INR";"JPY";"EUR";"USD"}),'Exchange rate'!$A$1:$G$1,0)))</f>
        <v>63240</v>
      </c>
      <c r="V390" s="33">
        <f t="shared" ref="V390:V391" si="346">IF(OR(ISERROR($U390),$U390="",$U390="NA"),0,H390*$U390)</f>
        <v>0</v>
      </c>
      <c r="W390" s="33">
        <f t="shared" ref="W390:W391" si="347">IF(OR(ISERROR($U390),$U390="",$U390="NA"),0,I390*$U390)</f>
        <v>0</v>
      </c>
      <c r="X390" s="33">
        <f t="shared" ref="X390:X391" si="348">IF(OR(ISERROR($U390),$U390="",$U390="NA"),0,J390*$U390)</f>
        <v>0</v>
      </c>
      <c r="Y390" s="33">
        <f t="shared" ref="Y390:Y391" si="349">IF(OR(ISERROR($U390),$U390="",$U390="NA"),0,K390*$U390)</f>
        <v>0</v>
      </c>
      <c r="Z390" s="33">
        <f t="shared" ref="Z390:Z391" si="350">IF(OR(ISERROR($U390),$U390="",$U390="NA"),0,L390*$U390)</f>
        <v>0</v>
      </c>
      <c r="AA390" s="33">
        <f t="shared" ref="AA390:AA391" si="351">SUM(V390:Z390)</f>
        <v>0</v>
      </c>
      <c r="AB390" s="164"/>
      <c r="AC390" s="165"/>
      <c r="AZ390" s="148"/>
      <c r="BA390" s="149"/>
    </row>
    <row r="391" spans="1:53" ht="25" outlineLevel="1">
      <c r="A391" s="148" t="str">
        <f t="shared" si="326"/>
        <v>5.269</v>
      </c>
      <c r="B391" s="148" t="str">
        <f>INDEX('Standard cost - Testing'!$A$1:$N$497,MATCH(RIGHT($C391,4),'Standard cost - Testing'!$A$1:$A$497,0),3)</f>
        <v>LVE</v>
      </c>
      <c r="C391" s="149" t="str">
        <f>'Standard cost - Testing'!B270&amp;" - "&amp;'Standard cost - Testing'!A270</f>
        <v>Workshop - O013</v>
      </c>
      <c r="D391" s="150" t="s">
        <v>448</v>
      </c>
      <c r="E391" s="51" t="str">
        <f>IF('Project information'!$A$4="","",'Project information'!$A$4)</f>
        <v>China</v>
      </c>
      <c r="F391" s="149" t="str">
        <f>INDEX('Standard cost - Testing'!$A$1:$N$497,MATCH(RIGHT($C391,4),'Standard cost - Testing'!$A$1:$A$497,0),5)</f>
        <v>Faurecia</v>
      </c>
      <c r="G391" s="149" t="str">
        <f>IF($E391='Standard cost - Testing'!$F$1,INDEX('Standard cost - Testing'!$A$1:$N$497,MATCH(RIGHT($C391,4),'Standard cost - Testing'!$A$1:$A$497,0),6),INDEX('Standard cost - Testing'!$A$1:$N$497,MATCH(RIGHT($C391,4),'Standard cost - Testing'!$A$1:$A$497,0),7))</f>
        <v>CHD-I-DSE-2178</v>
      </c>
      <c r="H391" s="46"/>
      <c r="I391" s="46"/>
      <c r="J391" s="46"/>
      <c r="K391" s="46"/>
      <c r="L391" s="46"/>
      <c r="M391" s="33">
        <f t="shared" si="344"/>
        <v>0</v>
      </c>
      <c r="N391" s="157">
        <f>IF(E391="","",IF(ISERROR(INDEX('Standard cost - Testing'!$A$1:$N$497,MATCH(RIGHT($C391,4),'Standard cost - Testing'!$A$1:$A$497,0),MATCH($E391,'Standard cost - Testing'!$K$1:$N$1,0)+10)),"NA",INDEX('Standard cost - Testing'!$A$1:$N$497,MATCH(RIGHT($C391,4),'Standard cost - Testing'!$A$1:$A$497,0),MATCH($E391,'Standard cost - Testing'!$K$1:$N$1,0)+10)))</f>
        <v>22700</v>
      </c>
      <c r="O391" s="45">
        <f>IF(OR(ISERROR($N391),$N391="",$N391="NA"),0,H391*$N391)*(1+INDEX('For Finance Control'!$B$27:$E$29,2,MATCH('Project information'!$A$4,'For Finance Control'!$B$27:$E$27,0)))</f>
        <v>0</v>
      </c>
      <c r="P391" s="45">
        <f>IF(OR(ISERROR($N391),$N391="",$N391="NA"),0,I391*$N391)*(1+INDEX('For Finance Control'!$B$27:$E$29,2,MATCH('Project information'!$A$4,'For Finance Control'!$B$27:$E$27,0)))</f>
        <v>0</v>
      </c>
      <c r="Q391" s="45">
        <f>IF(OR(ISERROR($N391),$N391="",$N391="NA"),0,J391*$N391)*(1+INDEX('For Finance Control'!$B$27:$E$29,2,MATCH('Project information'!$A$4,'For Finance Control'!$B$27:$E$27,0)))</f>
        <v>0</v>
      </c>
      <c r="R391" s="45">
        <f>IF(OR(ISERROR($N391),$N391="",$N391="NA"),0,K391*$N391)*(1+INDEX('For Finance Control'!$B$27:$E$29,2,MATCH('Project information'!$A$4,'For Finance Control'!$B$27:$E$27,0)))</f>
        <v>0</v>
      </c>
      <c r="S391" s="45">
        <f>IF(OR(ISERROR($N391),$N391="",$N391="NA"),0,L391*$N391)*(1+INDEX('For Finance Control'!$B$27:$E$29,2,MATCH('Project information'!$A$4,'For Finance Control'!$B$27:$E$27,0)))</f>
        <v>0</v>
      </c>
      <c r="T391" s="45">
        <f t="shared" si="345"/>
        <v>0</v>
      </c>
      <c r="U391" s="33" cm="1">
        <f t="array" ref="U391">IF($N391="NA","NA",$N391*INDEX('Exchange rate'!$A$1:$G$7,MATCH('Project information'!$A$13,'Exchange rate'!$A$1:$A$7,0),MATCH(LOOKUP(2,1/({"China";"Korea";"India";"Japan";"EUR";"NAO"}=$E391),{"CNY";"KRW";"INR";"JPY";"EUR";"USD"}),'Exchange rate'!$A$1:$G$1,0)))</f>
        <v>22700</v>
      </c>
      <c r="V391" s="33">
        <f t="shared" si="346"/>
        <v>0</v>
      </c>
      <c r="W391" s="33">
        <f t="shared" si="347"/>
        <v>0</v>
      </c>
      <c r="X391" s="33">
        <f t="shared" si="348"/>
        <v>0</v>
      </c>
      <c r="Y391" s="33">
        <f t="shared" si="349"/>
        <v>0</v>
      </c>
      <c r="Z391" s="33">
        <f t="shared" si="350"/>
        <v>0</v>
      </c>
      <c r="AA391" s="33">
        <f t="shared" si="351"/>
        <v>0</v>
      </c>
      <c r="AB391" s="246"/>
      <c r="AC391" s="247"/>
      <c r="AZ391" s="148" t="str">
        <f t="shared" si="327"/>
        <v>5.269</v>
      </c>
      <c r="BA391" s="149" t="s">
        <v>101</v>
      </c>
    </row>
    <row r="392" spans="1:53" s="155" customFormat="1" ht="12.5">
      <c r="A392" s="248" t="s">
        <v>449</v>
      </c>
      <c r="B392" s="249"/>
      <c r="C392" s="249"/>
      <c r="D392" s="249"/>
      <c r="E392" s="249"/>
      <c r="F392" s="249"/>
      <c r="G392" s="249"/>
      <c r="H392" s="249"/>
      <c r="I392" s="249"/>
      <c r="J392" s="249"/>
      <c r="K392" s="249"/>
      <c r="L392" s="249"/>
      <c r="M392" s="249"/>
      <c r="N392" s="249"/>
      <c r="O392" s="249"/>
      <c r="P392" s="249"/>
      <c r="Q392" s="249"/>
      <c r="R392" s="249"/>
      <c r="S392" s="249"/>
      <c r="T392" s="249"/>
      <c r="U392" s="250"/>
      <c r="V392" s="36" t="s">
        <v>120</v>
      </c>
      <c r="W392" s="36" t="s">
        <v>121</v>
      </c>
      <c r="X392" s="36" t="s">
        <v>122</v>
      </c>
      <c r="Y392" s="36" t="s">
        <v>123</v>
      </c>
      <c r="Z392" s="36" t="s">
        <v>124</v>
      </c>
      <c r="AA392" s="37" t="s">
        <v>125</v>
      </c>
      <c r="AB392" s="254"/>
      <c r="AC392" s="255"/>
    </row>
    <row r="393" spans="1:53" s="155" customFormat="1" ht="12.5">
      <c r="A393" s="251"/>
      <c r="B393" s="252"/>
      <c r="C393" s="252"/>
      <c r="D393" s="252"/>
      <c r="E393" s="252"/>
      <c r="F393" s="252"/>
      <c r="G393" s="252"/>
      <c r="H393" s="252"/>
      <c r="I393" s="252"/>
      <c r="J393" s="252"/>
      <c r="K393" s="252"/>
      <c r="L393" s="252"/>
      <c r="M393" s="252"/>
      <c r="N393" s="252"/>
      <c r="O393" s="252"/>
      <c r="P393" s="252"/>
      <c r="Q393" s="252"/>
      <c r="R393" s="252"/>
      <c r="S393" s="252"/>
      <c r="T393" s="252"/>
      <c r="U393" s="253"/>
      <c r="V393" s="157">
        <f>INT(V397-SUMIF($G$12:$G$23,"Y",V12:V23)-SUM(V5:V10))</f>
        <v>96171</v>
      </c>
      <c r="W393" s="157">
        <f>INT(W397-SUMIF($G$12:$G$23,"Y",W12:W23)-SUM(W5:W10))</f>
        <v>279631</v>
      </c>
      <c r="X393" s="157">
        <f>INT(X397-SUMIF($G$12:$G$23,"Y",X12:X23)-SUM(X5:X10))</f>
        <v>188645</v>
      </c>
      <c r="Y393" s="157">
        <f>INT(Y397-SUMIF($G$12:$G$23,"Y",Y12:Y23)-SUM(Y5:Y10))</f>
        <v>128460</v>
      </c>
      <c r="Z393" s="157">
        <f>INT(Z397-SUMIF($G$12:$G$23,"Y",Z12:Z23)-SUM(Z5:Z10))</f>
        <v>29936</v>
      </c>
      <c r="AA393" s="33">
        <f>SUM(V393:Z393)</f>
        <v>722843</v>
      </c>
      <c r="AB393" s="256"/>
      <c r="AC393" s="257"/>
    </row>
    <row r="394" spans="1:53" s="155" customFormat="1" ht="12.5">
      <c r="A394" s="248" t="s">
        <v>450</v>
      </c>
      <c r="B394" s="249"/>
      <c r="C394" s="249"/>
      <c r="D394" s="249"/>
      <c r="E394" s="249"/>
      <c r="F394" s="249"/>
      <c r="G394" s="249"/>
      <c r="H394" s="249"/>
      <c r="I394" s="249"/>
      <c r="J394" s="249"/>
      <c r="K394" s="249"/>
      <c r="L394" s="249"/>
      <c r="M394" s="249"/>
      <c r="N394" s="249"/>
      <c r="O394" s="249"/>
      <c r="P394" s="249"/>
      <c r="Q394" s="249"/>
      <c r="R394" s="249"/>
      <c r="S394" s="249"/>
      <c r="T394" s="249"/>
      <c r="U394" s="250"/>
      <c r="V394" s="36" t="s">
        <v>120</v>
      </c>
      <c r="W394" s="36" t="s">
        <v>121</v>
      </c>
      <c r="X394" s="36" t="s">
        <v>122</v>
      </c>
      <c r="Y394" s="36" t="s">
        <v>123</v>
      </c>
      <c r="Z394" s="36" t="s">
        <v>124</v>
      </c>
      <c r="AA394" s="37" t="s">
        <v>125</v>
      </c>
      <c r="AB394" s="258"/>
      <c r="AC394" s="259"/>
    </row>
    <row r="395" spans="1:53" s="155" customFormat="1" ht="12.5">
      <c r="A395" s="251"/>
      <c r="B395" s="252"/>
      <c r="C395" s="252"/>
      <c r="D395" s="252"/>
      <c r="E395" s="252"/>
      <c r="F395" s="252"/>
      <c r="G395" s="252"/>
      <c r="H395" s="252"/>
      <c r="I395" s="252"/>
      <c r="J395" s="252"/>
      <c r="K395" s="252"/>
      <c r="L395" s="252"/>
      <c r="M395" s="252"/>
      <c r="N395" s="252"/>
      <c r="O395" s="252"/>
      <c r="P395" s="252"/>
      <c r="Q395" s="252"/>
      <c r="R395" s="252"/>
      <c r="S395" s="252"/>
      <c r="T395" s="252"/>
      <c r="U395" s="253"/>
      <c r="V395" s="156">
        <f>INT(V397-SUMIF($G$5:$G$10,"Y",V5:V10)-SUMIF($G$12:$G$23,"Y",V12:V23))</f>
        <v>96171</v>
      </c>
      <c r="W395" s="156">
        <f>INT(W397-SUMIF($G$5:$G$10,"Y",W5:W10)-SUMIF($G$12:$G$23,"Y",W12:W23))</f>
        <v>279631</v>
      </c>
      <c r="X395" s="156">
        <f>INT(X397-SUMIF($G$5:$G$10,"Y",X5:X10)-SUMIF($G$12:$G$23,"Y",X12:X23))</f>
        <v>188645</v>
      </c>
      <c r="Y395" s="156">
        <f>INT(Y397-SUMIF($G$5:$G$10,"Y",Y5:Y10)-SUMIF($G$12:$G$23,"Y",Y12:Y23))</f>
        <v>128460</v>
      </c>
      <c r="Z395" s="156">
        <f>INT(Z397-SUMIF($G$5:$G$10,"Y",Z5:Z10)-SUMIF($G$12:$G$23,"Y",Z12:Z23))</f>
        <v>29936</v>
      </c>
      <c r="AA395" s="149">
        <f>SUM(V395:Z395)</f>
        <v>722843</v>
      </c>
      <c r="AB395" s="258"/>
      <c r="AC395" s="259"/>
    </row>
    <row r="396" spans="1:53" s="155" customFormat="1" ht="12.5">
      <c r="A396" s="248" t="s">
        <v>451</v>
      </c>
      <c r="B396" s="249"/>
      <c r="C396" s="249"/>
      <c r="D396" s="249"/>
      <c r="E396" s="249"/>
      <c r="F396" s="249"/>
      <c r="G396" s="249"/>
      <c r="H396" s="249"/>
      <c r="I396" s="249"/>
      <c r="J396" s="249"/>
      <c r="K396" s="249"/>
      <c r="L396" s="249"/>
      <c r="M396" s="249"/>
      <c r="N396" s="249"/>
      <c r="O396" s="249"/>
      <c r="P396" s="249"/>
      <c r="Q396" s="249"/>
      <c r="R396" s="249"/>
      <c r="S396" s="249"/>
      <c r="T396" s="249"/>
      <c r="U396" s="250"/>
      <c r="V396" s="36" t="s">
        <v>120</v>
      </c>
      <c r="W396" s="36" t="s">
        <v>121</v>
      </c>
      <c r="X396" s="36" t="s">
        <v>122</v>
      </c>
      <c r="Y396" s="36" t="s">
        <v>123</v>
      </c>
      <c r="Z396" s="36" t="s">
        <v>124</v>
      </c>
      <c r="AA396" s="37" t="s">
        <v>125</v>
      </c>
      <c r="AB396" s="258"/>
      <c r="AC396" s="259"/>
    </row>
    <row r="397" spans="1:53" s="155" customFormat="1" ht="12.5">
      <c r="A397" s="251"/>
      <c r="B397" s="252"/>
      <c r="C397" s="252"/>
      <c r="D397" s="252"/>
      <c r="E397" s="252"/>
      <c r="F397" s="252"/>
      <c r="G397" s="252"/>
      <c r="H397" s="252"/>
      <c r="I397" s="252"/>
      <c r="J397" s="252"/>
      <c r="K397" s="252"/>
      <c r="L397" s="252"/>
      <c r="M397" s="252"/>
      <c r="N397" s="252"/>
      <c r="O397" s="252"/>
      <c r="P397" s="252"/>
      <c r="Q397" s="252"/>
      <c r="R397" s="252"/>
      <c r="S397" s="252"/>
      <c r="T397" s="252"/>
      <c r="U397" s="253"/>
      <c r="V397" s="156">
        <f>INT(V4+V11+V25+V105+V122)</f>
        <v>96171</v>
      </c>
      <c r="W397" s="156">
        <f>INT(W4+W11+W25+W105+W122)</f>
        <v>279631</v>
      </c>
      <c r="X397" s="156">
        <f>INT(X4+X11+X25+X105+X122)</f>
        <v>188645</v>
      </c>
      <c r="Y397" s="156">
        <f>INT(Y4+Y11+Y25+Y105+Y122)</f>
        <v>128460</v>
      </c>
      <c r="Z397" s="156">
        <f>INT(Z4+Z11+Z25+Z105+Z122)</f>
        <v>29936</v>
      </c>
      <c r="AA397" s="149">
        <f>SUM(V397:Z397)</f>
        <v>722843</v>
      </c>
      <c r="AB397" s="256"/>
      <c r="AC397" s="257"/>
    </row>
    <row r="399" spans="1:53">
      <c r="A399" s="68" t="s">
        <v>452</v>
      </c>
      <c r="B399" s="57"/>
      <c r="C399" s="58" t="s">
        <v>453</v>
      </c>
      <c r="D399" s="59"/>
      <c r="E399" s="60"/>
      <c r="F399" s="57"/>
      <c r="AZ399" s="68" t="s">
        <v>452</v>
      </c>
    </row>
    <row r="400" spans="1:53">
      <c r="A400" s="61"/>
      <c r="B400" s="62"/>
      <c r="C400" s="63" t="s">
        <v>454</v>
      </c>
      <c r="D400" s="64" t="s">
        <v>455</v>
      </c>
      <c r="E400" s="65"/>
      <c r="F400" s="66"/>
      <c r="AZ400" s="61"/>
    </row>
    <row r="401" spans="1:52">
      <c r="A401" s="59"/>
      <c r="B401" s="57"/>
      <c r="C401" s="67">
        <v>46223</v>
      </c>
      <c r="D401" s="267"/>
      <c r="E401" s="268"/>
      <c r="F401" s="269"/>
      <c r="AZ401" s="59"/>
    </row>
    <row r="402" spans="1:52">
      <c r="A402" s="59"/>
      <c r="B402" s="57"/>
      <c r="C402" s="67"/>
      <c r="D402" s="264"/>
      <c r="E402" s="265"/>
      <c r="F402" s="266"/>
      <c r="AZ402" s="59"/>
    </row>
    <row r="403" spans="1:52">
      <c r="C403" s="67"/>
      <c r="D403" s="264"/>
      <c r="E403" s="265"/>
      <c r="F403" s="266"/>
    </row>
    <row r="404" spans="1:52">
      <c r="A404" s="59"/>
      <c r="B404" s="57"/>
      <c r="C404" s="67"/>
      <c r="D404" s="264"/>
      <c r="E404" s="265"/>
      <c r="F404" s="266"/>
      <c r="AZ404" s="59"/>
    </row>
    <row r="405" spans="1:52">
      <c r="A405" s="59"/>
      <c r="B405" s="57"/>
      <c r="C405" s="67"/>
      <c r="D405" s="264"/>
      <c r="E405" s="265"/>
      <c r="F405" s="266"/>
      <c r="AZ405" s="59"/>
    </row>
    <row r="406" spans="1:52">
      <c r="A406" s="59"/>
      <c r="B406" s="57"/>
      <c r="C406" s="67"/>
      <c r="D406" s="264"/>
      <c r="E406" s="265"/>
      <c r="F406" s="266"/>
      <c r="AZ406" s="59"/>
    </row>
    <row r="407" spans="1:52">
      <c r="A407" s="59"/>
      <c r="B407" s="57"/>
      <c r="C407" s="67"/>
      <c r="D407" s="264"/>
      <c r="E407" s="265"/>
      <c r="F407" s="266"/>
      <c r="AZ407" s="59"/>
    </row>
    <row r="408" spans="1:52">
      <c r="A408" s="57"/>
      <c r="B408" s="57"/>
      <c r="C408" s="67"/>
      <c r="D408" s="264"/>
      <c r="E408" s="265"/>
      <c r="F408" s="266"/>
      <c r="AZ408" s="57"/>
    </row>
    <row r="409" spans="1:52">
      <c r="A409" s="57"/>
      <c r="B409" s="57"/>
      <c r="C409" s="67"/>
      <c r="D409" s="264"/>
      <c r="E409" s="265"/>
      <c r="F409" s="266"/>
      <c r="AZ409" s="57"/>
    </row>
    <row r="410" spans="1:52">
      <c r="A410" s="57"/>
      <c r="B410" s="57"/>
      <c r="C410" s="67"/>
      <c r="D410" s="264"/>
      <c r="E410" s="265"/>
      <c r="F410" s="266"/>
      <c r="AZ410" s="57"/>
    </row>
  </sheetData>
  <mergeCells count="395">
    <mergeCell ref="AB15:AC15"/>
    <mergeCell ref="AB16:AC16"/>
    <mergeCell ref="AB17:AC17"/>
    <mergeCell ref="AB6:AC6"/>
    <mergeCell ref="AB7:AC7"/>
    <mergeCell ref="AB8:AC8"/>
    <mergeCell ref="AB10:AC10"/>
    <mergeCell ref="AB11:AC11"/>
    <mergeCell ref="AB26:AC26"/>
    <mergeCell ref="AB19:AC19"/>
    <mergeCell ref="AB20:AC20"/>
    <mergeCell ref="AB23:AC23"/>
    <mergeCell ref="AB24:AC24"/>
    <mergeCell ref="AB25:AC25"/>
    <mergeCell ref="AB18:AC18"/>
    <mergeCell ref="AB13:AC13"/>
    <mergeCell ref="A2:G2"/>
    <mergeCell ref="A1:AC1"/>
    <mergeCell ref="AB4:AC4"/>
    <mergeCell ref="AB5:AC5"/>
    <mergeCell ref="U2:AA2"/>
    <mergeCell ref="N2:T2"/>
    <mergeCell ref="AB3:AC3"/>
    <mergeCell ref="AB12:AC12"/>
    <mergeCell ref="AB14:AC14"/>
    <mergeCell ref="AB38:AC38"/>
    <mergeCell ref="AB389:AC389"/>
    <mergeCell ref="AB226:AC226"/>
    <mergeCell ref="AB227:AC227"/>
    <mergeCell ref="AB228:AC228"/>
    <mergeCell ref="AB229:AC229"/>
    <mergeCell ref="AB270:AC270"/>
    <mergeCell ref="AB39:AC39"/>
    <mergeCell ref="AB44:AC44"/>
    <mergeCell ref="AB45:AC45"/>
    <mergeCell ref="AB106:AC106"/>
    <mergeCell ref="AB40:AC40"/>
    <mergeCell ref="AB42:AC42"/>
    <mergeCell ref="AB63:AC63"/>
    <mergeCell ref="AB60:AC60"/>
    <mergeCell ref="AB61:AC61"/>
    <mergeCell ref="AB70:AC70"/>
    <mergeCell ref="AB102:AC102"/>
    <mergeCell ref="AB66:AC66"/>
    <mergeCell ref="AB67:AC67"/>
    <mergeCell ref="AB64:AC64"/>
    <mergeCell ref="AB65:AC65"/>
    <mergeCell ref="AB68:AC68"/>
    <mergeCell ref="AB69:AC69"/>
    <mergeCell ref="D410:F410"/>
    <mergeCell ref="D401:F401"/>
    <mergeCell ref="D402:F402"/>
    <mergeCell ref="D403:F403"/>
    <mergeCell ref="D404:F404"/>
    <mergeCell ref="D405:F405"/>
    <mergeCell ref="D406:F406"/>
    <mergeCell ref="D407:F407"/>
    <mergeCell ref="D408:F408"/>
    <mergeCell ref="D409:F409"/>
    <mergeCell ref="AB37:AC37"/>
    <mergeCell ref="AB21:AC21"/>
    <mergeCell ref="AB30:AC30"/>
    <mergeCell ref="AB22:AC22"/>
    <mergeCell ref="AB32:AC32"/>
    <mergeCell ref="AB33:AC33"/>
    <mergeCell ref="AB34:AC34"/>
    <mergeCell ref="AB35:AC35"/>
    <mergeCell ref="AB36:AC36"/>
    <mergeCell ref="AB27:AC27"/>
    <mergeCell ref="AB28:AC28"/>
    <mergeCell ref="AB29:AC29"/>
    <mergeCell ref="AB31:AC31"/>
    <mergeCell ref="AB96:AC96"/>
    <mergeCell ref="AB97:AC97"/>
    <mergeCell ref="AB46:AC46"/>
    <mergeCell ref="AB47:AC47"/>
    <mergeCell ref="AB48:AC48"/>
    <mergeCell ref="AB49:AC49"/>
    <mergeCell ref="AB77:AC77"/>
    <mergeCell ref="AB72:AC72"/>
    <mergeCell ref="AB78:AC78"/>
    <mergeCell ref="AB79:AC79"/>
    <mergeCell ref="AB80:AC80"/>
    <mergeCell ref="AB81:AC81"/>
    <mergeCell ref="AB82:AC82"/>
    <mergeCell ref="AB83:AC83"/>
    <mergeCell ref="AB84:AC84"/>
    <mergeCell ref="AB85:AC85"/>
    <mergeCell ref="AB86:AC86"/>
    <mergeCell ref="AB50:AC50"/>
    <mergeCell ref="AB57:AC57"/>
    <mergeCell ref="AB56:AC56"/>
    <mergeCell ref="AB55:AC55"/>
    <mergeCell ref="AB41:AC41"/>
    <mergeCell ref="AB107:AC107"/>
    <mergeCell ref="AB108:AC108"/>
    <mergeCell ref="AB59:AC59"/>
    <mergeCell ref="AB62:AC62"/>
    <mergeCell ref="AB103:AC103"/>
    <mergeCell ref="AB104:AC104"/>
    <mergeCell ref="AB105:AC105"/>
    <mergeCell ref="AB51:AC51"/>
    <mergeCell ref="AB52:AC52"/>
    <mergeCell ref="AB53:AC53"/>
    <mergeCell ref="AB54:AC54"/>
    <mergeCell ref="AB58:AC58"/>
    <mergeCell ref="AB99:AC99"/>
    <mergeCell ref="AB100:AC100"/>
    <mergeCell ref="AB101:AC101"/>
    <mergeCell ref="AB91:AC91"/>
    <mergeCell ref="AB92:AC92"/>
    <mergeCell ref="AB93:AC93"/>
    <mergeCell ref="AB94:AC94"/>
    <mergeCell ref="AB95:AC95"/>
    <mergeCell ref="AB98:AC98"/>
    <mergeCell ref="AB71:AC71"/>
    <mergeCell ref="AB76:AC76"/>
    <mergeCell ref="AB117:AC117"/>
    <mergeCell ref="AB118:AC118"/>
    <mergeCell ref="AB119:AC119"/>
    <mergeCell ref="AB120:AC120"/>
    <mergeCell ref="AB121:AC121"/>
    <mergeCell ref="AB109:AC109"/>
    <mergeCell ref="AB110:AC110"/>
    <mergeCell ref="AB111:AC111"/>
    <mergeCell ref="AB112:AC112"/>
    <mergeCell ref="AB116:AC116"/>
    <mergeCell ref="AB114:AC114"/>
    <mergeCell ref="AB113:AC113"/>
    <mergeCell ref="AB115:AC115"/>
    <mergeCell ref="AB127:AC127"/>
    <mergeCell ref="AB128:AC128"/>
    <mergeCell ref="AB141:AC141"/>
    <mergeCell ref="AB142:AC142"/>
    <mergeCell ref="AB143:AC143"/>
    <mergeCell ref="AB122:AC122"/>
    <mergeCell ref="AB123:AC123"/>
    <mergeCell ref="AB124:AC124"/>
    <mergeCell ref="AB125:AC125"/>
    <mergeCell ref="AB126:AC126"/>
    <mergeCell ref="AB129:AC129"/>
    <mergeCell ref="AB130:AC130"/>
    <mergeCell ref="AB131:AC131"/>
    <mergeCell ref="AB132:AC132"/>
    <mergeCell ref="AB133:AC133"/>
    <mergeCell ref="AB134:AC134"/>
    <mergeCell ref="AB135:AC135"/>
    <mergeCell ref="AB136:AC136"/>
    <mergeCell ref="AB137:AC137"/>
    <mergeCell ref="AB138:AC138"/>
    <mergeCell ref="AB139:AC139"/>
    <mergeCell ref="AB140:AC140"/>
    <mergeCell ref="AB149:AC149"/>
    <mergeCell ref="AB150:AC150"/>
    <mergeCell ref="AB151:AC151"/>
    <mergeCell ref="AB152:AC152"/>
    <mergeCell ref="AB153:AC153"/>
    <mergeCell ref="AB144:AC144"/>
    <mergeCell ref="AB145:AC145"/>
    <mergeCell ref="AB146:AC146"/>
    <mergeCell ref="AB147:AC147"/>
    <mergeCell ref="AB148:AC148"/>
    <mergeCell ref="AB160:AC160"/>
    <mergeCell ref="AB161:AC161"/>
    <mergeCell ref="AB162:AC162"/>
    <mergeCell ref="AB163:AC163"/>
    <mergeCell ref="AB164:AC164"/>
    <mergeCell ref="AB154:AC154"/>
    <mergeCell ref="AB155:AC155"/>
    <mergeCell ref="AB156:AC156"/>
    <mergeCell ref="AB158:AC158"/>
    <mergeCell ref="AB159:AC159"/>
    <mergeCell ref="AB157:AC157"/>
    <mergeCell ref="AB174:AC174"/>
    <mergeCell ref="AB175:AC175"/>
    <mergeCell ref="AB176:AC176"/>
    <mergeCell ref="AB177:AC177"/>
    <mergeCell ref="AB178:AC178"/>
    <mergeCell ref="AB165:AC165"/>
    <mergeCell ref="AB166:AC166"/>
    <mergeCell ref="AB171:AC171"/>
    <mergeCell ref="AB172:AC172"/>
    <mergeCell ref="AB173:AC173"/>
    <mergeCell ref="AB167:AC167"/>
    <mergeCell ref="AB170:AC170"/>
    <mergeCell ref="AB169:AC169"/>
    <mergeCell ref="AB168:AC168"/>
    <mergeCell ref="AB184:AC184"/>
    <mergeCell ref="AB185:AC185"/>
    <mergeCell ref="AB186:AC186"/>
    <mergeCell ref="AB187:AC187"/>
    <mergeCell ref="AB188:AC188"/>
    <mergeCell ref="AB179:AC179"/>
    <mergeCell ref="AB180:AC180"/>
    <mergeCell ref="AB181:AC181"/>
    <mergeCell ref="AB182:AC182"/>
    <mergeCell ref="AB183:AC183"/>
    <mergeCell ref="AB194:AC194"/>
    <mergeCell ref="AB195:AC195"/>
    <mergeCell ref="AB196:AC196"/>
    <mergeCell ref="AB197:AC197"/>
    <mergeCell ref="AB198:AC198"/>
    <mergeCell ref="AB189:AC189"/>
    <mergeCell ref="AB190:AC190"/>
    <mergeCell ref="AB191:AC191"/>
    <mergeCell ref="AB192:AC192"/>
    <mergeCell ref="AB193:AC193"/>
    <mergeCell ref="AB204:AC204"/>
    <mergeCell ref="AB205:AC205"/>
    <mergeCell ref="AB206:AC206"/>
    <mergeCell ref="AB207:AC207"/>
    <mergeCell ref="AB208:AC208"/>
    <mergeCell ref="AB199:AC199"/>
    <mergeCell ref="AB200:AC200"/>
    <mergeCell ref="AB201:AC201"/>
    <mergeCell ref="AB202:AC202"/>
    <mergeCell ref="AB203:AC203"/>
    <mergeCell ref="AB232:AC232"/>
    <mergeCell ref="AB233:AC233"/>
    <mergeCell ref="AB234:AC234"/>
    <mergeCell ref="AB235:AC235"/>
    <mergeCell ref="AB236:AC236"/>
    <mergeCell ref="AB209:AC209"/>
    <mergeCell ref="AB210:AC210"/>
    <mergeCell ref="AB211:AC211"/>
    <mergeCell ref="AB230:AC230"/>
    <mergeCell ref="AB231:AC231"/>
    <mergeCell ref="AB212:AC212"/>
    <mergeCell ref="AB213:AC213"/>
    <mergeCell ref="AB214:AC214"/>
    <mergeCell ref="AB215:AC215"/>
    <mergeCell ref="AB216:AC216"/>
    <mergeCell ref="AB217:AC217"/>
    <mergeCell ref="AB218:AC218"/>
    <mergeCell ref="AB219:AC219"/>
    <mergeCell ref="AB220:AC220"/>
    <mergeCell ref="AB221:AC221"/>
    <mergeCell ref="AB222:AC222"/>
    <mergeCell ref="AB223:AC223"/>
    <mergeCell ref="AB224:AC224"/>
    <mergeCell ref="AB225:AC225"/>
    <mergeCell ref="AB242:AC242"/>
    <mergeCell ref="AB243:AC243"/>
    <mergeCell ref="AB244:AC244"/>
    <mergeCell ref="AB245:AC245"/>
    <mergeCell ref="AB254:AC254"/>
    <mergeCell ref="AB237:AC237"/>
    <mergeCell ref="AB238:AC238"/>
    <mergeCell ref="AB239:AC239"/>
    <mergeCell ref="AB240:AC240"/>
    <mergeCell ref="AB241:AC241"/>
    <mergeCell ref="AB246:AC246"/>
    <mergeCell ref="AB247:AC247"/>
    <mergeCell ref="AB248:AC248"/>
    <mergeCell ref="AB249:AC249"/>
    <mergeCell ref="AB250:AC250"/>
    <mergeCell ref="AB251:AC251"/>
    <mergeCell ref="AB252:AC252"/>
    <mergeCell ref="AB253:AC253"/>
    <mergeCell ref="AB261:AC261"/>
    <mergeCell ref="AB262:AC262"/>
    <mergeCell ref="AB263:AC263"/>
    <mergeCell ref="AB264:AC264"/>
    <mergeCell ref="AB265:AC265"/>
    <mergeCell ref="AB255:AC255"/>
    <mergeCell ref="AB256:AC256"/>
    <mergeCell ref="AB257:AC257"/>
    <mergeCell ref="AB258:AC258"/>
    <mergeCell ref="AB259:AC259"/>
    <mergeCell ref="AB260:AC260"/>
    <mergeCell ref="AB276:AC276"/>
    <mergeCell ref="AB277:AC277"/>
    <mergeCell ref="AB278:AC278"/>
    <mergeCell ref="AB279:AC279"/>
    <mergeCell ref="AB280:AC280"/>
    <mergeCell ref="AB273:AC273"/>
    <mergeCell ref="AB274:AC274"/>
    <mergeCell ref="AB275:AC275"/>
    <mergeCell ref="AB266:AC266"/>
    <mergeCell ref="AB267:AC267"/>
    <mergeCell ref="AB268:AC268"/>
    <mergeCell ref="AB269:AC269"/>
    <mergeCell ref="AB271:AC271"/>
    <mergeCell ref="AB272:AC272"/>
    <mergeCell ref="AB286:AC286"/>
    <mergeCell ref="AB287:AC287"/>
    <mergeCell ref="AB288:AC288"/>
    <mergeCell ref="AB289:AC289"/>
    <mergeCell ref="AB290:AC290"/>
    <mergeCell ref="AB281:AC281"/>
    <mergeCell ref="AB282:AC282"/>
    <mergeCell ref="AB283:AC283"/>
    <mergeCell ref="AB284:AC284"/>
    <mergeCell ref="AB285:AC285"/>
    <mergeCell ref="AB296:AC296"/>
    <mergeCell ref="AB297:AC297"/>
    <mergeCell ref="AB298:AC298"/>
    <mergeCell ref="AB299:AC299"/>
    <mergeCell ref="AB301:AC301"/>
    <mergeCell ref="AB300:AC300"/>
    <mergeCell ref="AB291:AC291"/>
    <mergeCell ref="AB292:AC292"/>
    <mergeCell ref="AB293:AC293"/>
    <mergeCell ref="AB294:AC294"/>
    <mergeCell ref="AB295:AC295"/>
    <mergeCell ref="AB307:AC307"/>
    <mergeCell ref="AB308:AC308"/>
    <mergeCell ref="AB309:AC309"/>
    <mergeCell ref="AB310:AC310"/>
    <mergeCell ref="AB311:AC311"/>
    <mergeCell ref="AB302:AC302"/>
    <mergeCell ref="AB303:AC303"/>
    <mergeCell ref="AB304:AC304"/>
    <mergeCell ref="AB305:AC305"/>
    <mergeCell ref="AB306:AC306"/>
    <mergeCell ref="AB317:AC317"/>
    <mergeCell ref="AB318:AC318"/>
    <mergeCell ref="AB319:AC319"/>
    <mergeCell ref="AB320:AC320"/>
    <mergeCell ref="AB321:AC321"/>
    <mergeCell ref="AB312:AC312"/>
    <mergeCell ref="AB313:AC313"/>
    <mergeCell ref="AB314:AC314"/>
    <mergeCell ref="AB315:AC315"/>
    <mergeCell ref="AB316:AC316"/>
    <mergeCell ref="AB327:AC327"/>
    <mergeCell ref="AB328:AC328"/>
    <mergeCell ref="AB329:AC329"/>
    <mergeCell ref="AB330:AC330"/>
    <mergeCell ref="AB331:AC331"/>
    <mergeCell ref="AB322:AC322"/>
    <mergeCell ref="AB323:AC323"/>
    <mergeCell ref="AB324:AC324"/>
    <mergeCell ref="AB325:AC325"/>
    <mergeCell ref="AB326:AC326"/>
    <mergeCell ref="AB343:AC343"/>
    <mergeCell ref="AB344:AC344"/>
    <mergeCell ref="AB336:AC336"/>
    <mergeCell ref="AB337:AC337"/>
    <mergeCell ref="AB338:AC338"/>
    <mergeCell ref="AB339:AC339"/>
    <mergeCell ref="AB340:AC340"/>
    <mergeCell ref="AB332:AC332"/>
    <mergeCell ref="AB333:AC333"/>
    <mergeCell ref="AB334:AC334"/>
    <mergeCell ref="AB335:AC335"/>
    <mergeCell ref="AB342:AC342"/>
    <mergeCell ref="A392:U393"/>
    <mergeCell ref="A394:U395"/>
    <mergeCell ref="A396:U397"/>
    <mergeCell ref="AB383:AC383"/>
    <mergeCell ref="AB384:AC384"/>
    <mergeCell ref="AB391:AC391"/>
    <mergeCell ref="AB392:AC393"/>
    <mergeCell ref="AB351:AC351"/>
    <mergeCell ref="AB352:AC352"/>
    <mergeCell ref="AB353:AC353"/>
    <mergeCell ref="AB354:AC354"/>
    <mergeCell ref="AB381:AC381"/>
    <mergeCell ref="AB382:AC382"/>
    <mergeCell ref="AB365:AC365"/>
    <mergeCell ref="AB366:AC366"/>
    <mergeCell ref="AB367:AC367"/>
    <mergeCell ref="AB368:AC368"/>
    <mergeCell ref="AB369:AC369"/>
    <mergeCell ref="AB394:AC395"/>
    <mergeCell ref="AB396:AC397"/>
    <mergeCell ref="AB360:AC360"/>
    <mergeCell ref="AB361:AC361"/>
    <mergeCell ref="AB362:AC362"/>
    <mergeCell ref="AB363:AC363"/>
    <mergeCell ref="AB43:AC43"/>
    <mergeCell ref="AB373:AC373"/>
    <mergeCell ref="AB374:AC374"/>
    <mergeCell ref="AB375:AC375"/>
    <mergeCell ref="AB87:AC87"/>
    <mergeCell ref="AB88:AC88"/>
    <mergeCell ref="AB89:AC89"/>
    <mergeCell ref="AB90:AC90"/>
    <mergeCell ref="AB364:AC364"/>
    <mergeCell ref="AB355:AC355"/>
    <mergeCell ref="AB356:AC356"/>
    <mergeCell ref="AB357:AC357"/>
    <mergeCell ref="AB358:AC358"/>
    <mergeCell ref="AB359:AC359"/>
    <mergeCell ref="AB350:AC350"/>
    <mergeCell ref="AB370:AC370"/>
    <mergeCell ref="AB371:AC371"/>
    <mergeCell ref="AB372:AC372"/>
    <mergeCell ref="AB345:AC345"/>
    <mergeCell ref="AB346:AC346"/>
    <mergeCell ref="AB347:AC347"/>
    <mergeCell ref="AB348:AC348"/>
    <mergeCell ref="AB349:AC349"/>
    <mergeCell ref="AB341:AC341"/>
  </mergeCells>
  <phoneticPr fontId="22" type="noConversion"/>
  <conditionalFormatting sqref="G123:G156 G70 G102:G103 G254:G259 G261:G299 G158:G245 G301:G391 G26:G63">
    <cfRule type="cellIs" dxfId="751" priority="2061" operator="equal">
      <formula>0</formula>
    </cfRule>
  </conditionalFormatting>
  <conditionalFormatting sqref="E26:E40 E106:E120 E103 E62 E123:E128 E141:E156 E254:E259 E261:E299 E158:E245 E301:E391 E42:E59 E5:E10 E12:E23">
    <cfRule type="cellIs" dxfId="750" priority="2059" operator="equal">
      <formula>""</formula>
    </cfRule>
  </conditionalFormatting>
  <conditionalFormatting sqref="N103 N62 N42 T141:T156 T124:T128 N26:T26 N27:N40 T27:T40 T42 T62 T103 N106:T120 N123:T123 N124:S156 N254:T259 N261:T299 N158:T245 O27:S42 N301:T391 T44:T59 N44:N59 N43:T43 O44:S103 N5:T10 N12:T23">
    <cfRule type="expression" dxfId="749" priority="2030">
      <formula>IF($E5="NAO",TRUE)</formula>
    </cfRule>
    <cfRule type="expression" dxfId="748" priority="2050">
      <formula>IF($E5="Eur",TRUE)</formula>
    </cfRule>
    <cfRule type="expression" dxfId="747" priority="2051">
      <formula>IF($E5="Japan",TRUE)</formula>
    </cfRule>
    <cfRule type="expression" dxfId="746" priority="2056">
      <formula>IF($E5="India",TRUE)</formula>
    </cfRule>
    <cfRule type="expression" dxfId="745" priority="2057">
      <formula>IF($E5="Korea",TRUE)</formula>
    </cfRule>
    <cfRule type="expression" dxfId="744" priority="2058">
      <formula>IF($E5="China",TRUE)</formula>
    </cfRule>
  </conditionalFormatting>
  <conditionalFormatting sqref="E63">
    <cfRule type="cellIs" dxfId="743" priority="1161" operator="equal">
      <formula>""</formula>
    </cfRule>
  </conditionalFormatting>
  <conditionalFormatting sqref="N63 T63">
    <cfRule type="expression" dxfId="742" priority="1155">
      <formula>IF($E63="NAO",TRUE)</formula>
    </cfRule>
    <cfRule type="expression" dxfId="741" priority="1156">
      <formula>IF($E63="Eur",TRUE)</formula>
    </cfRule>
    <cfRule type="expression" dxfId="740" priority="1157">
      <formula>IF($E63="Japan",TRUE)</formula>
    </cfRule>
    <cfRule type="expression" dxfId="739" priority="1158">
      <formula>IF($E63="India",TRUE)</formula>
    </cfRule>
    <cfRule type="expression" dxfId="738" priority="1159">
      <formula>IF($E63="Korea",TRUE)</formula>
    </cfRule>
    <cfRule type="expression" dxfId="737" priority="1160">
      <formula>IF($E63="China",TRUE)</formula>
    </cfRule>
  </conditionalFormatting>
  <conditionalFormatting sqref="E60">
    <cfRule type="cellIs" dxfId="736" priority="1146" operator="equal">
      <formula>""</formula>
    </cfRule>
  </conditionalFormatting>
  <conditionalFormatting sqref="N60 T60">
    <cfRule type="expression" dxfId="735" priority="1140">
      <formula>IF($E60="NAO",TRUE)</formula>
    </cfRule>
    <cfRule type="expression" dxfId="734" priority="1141">
      <formula>IF($E60="Eur",TRUE)</formula>
    </cfRule>
    <cfRule type="expression" dxfId="733" priority="1142">
      <formula>IF($E60="Japan",TRUE)</formula>
    </cfRule>
    <cfRule type="expression" dxfId="732" priority="1143">
      <formula>IF($E60="India",TRUE)</formula>
    </cfRule>
    <cfRule type="expression" dxfId="731" priority="1144">
      <formula>IF($E60="Korea",TRUE)</formula>
    </cfRule>
    <cfRule type="expression" dxfId="730" priority="1145">
      <formula>IF($E60="China",TRUE)</formula>
    </cfRule>
  </conditionalFormatting>
  <conditionalFormatting sqref="E61">
    <cfRule type="cellIs" dxfId="729" priority="1131" operator="equal">
      <formula>""</formula>
    </cfRule>
  </conditionalFormatting>
  <conditionalFormatting sqref="N61 T61">
    <cfRule type="expression" dxfId="728" priority="1125">
      <formula>IF($E61="NAO",TRUE)</formula>
    </cfRule>
    <cfRule type="expression" dxfId="727" priority="1126">
      <formula>IF($E61="Eur",TRUE)</formula>
    </cfRule>
    <cfRule type="expression" dxfId="726" priority="1127">
      <formula>IF($E61="Japan",TRUE)</formula>
    </cfRule>
    <cfRule type="expression" dxfId="725" priority="1128">
      <formula>IF($E61="India",TRUE)</formula>
    </cfRule>
    <cfRule type="expression" dxfId="724" priority="1129">
      <formula>IF($E61="Korea",TRUE)</formula>
    </cfRule>
    <cfRule type="expression" dxfId="723" priority="1130">
      <formula>IF($E61="China",TRUE)</formula>
    </cfRule>
  </conditionalFormatting>
  <conditionalFormatting sqref="E41">
    <cfRule type="cellIs" dxfId="722" priority="1116" operator="equal">
      <formula>""</formula>
    </cfRule>
  </conditionalFormatting>
  <conditionalFormatting sqref="N41 T41">
    <cfRule type="expression" dxfId="721" priority="1110">
      <formula>IF($E41="NAO",TRUE)</formula>
    </cfRule>
    <cfRule type="expression" dxfId="720" priority="1111">
      <formula>IF($E41="Eur",TRUE)</formula>
    </cfRule>
    <cfRule type="expression" dxfId="719" priority="1112">
      <formula>IF($E41="Japan",TRUE)</formula>
    </cfRule>
    <cfRule type="expression" dxfId="718" priority="1113">
      <formula>IF($E41="India",TRUE)</formula>
    </cfRule>
    <cfRule type="expression" dxfId="717" priority="1114">
      <formula>IF($E41="Korea",TRUE)</formula>
    </cfRule>
    <cfRule type="expression" dxfId="716" priority="1115">
      <formula>IF($E41="China",TRUE)</formula>
    </cfRule>
  </conditionalFormatting>
  <conditionalFormatting sqref="E70">
    <cfRule type="cellIs" dxfId="715" priority="1101" operator="equal">
      <formula>""</formula>
    </cfRule>
  </conditionalFormatting>
  <conditionalFormatting sqref="N70 T70">
    <cfRule type="expression" dxfId="714" priority="1095">
      <formula>IF($E70="NAO",TRUE)</formula>
    </cfRule>
    <cfRule type="expression" dxfId="713" priority="1096">
      <formula>IF($E70="Eur",TRUE)</formula>
    </cfRule>
    <cfRule type="expression" dxfId="712" priority="1097">
      <formula>IF($E70="Japan",TRUE)</formula>
    </cfRule>
    <cfRule type="expression" dxfId="711" priority="1098">
      <formula>IF($E70="India",TRUE)</formula>
    </cfRule>
    <cfRule type="expression" dxfId="710" priority="1099">
      <formula>IF($E70="Korea",TRUE)</formula>
    </cfRule>
    <cfRule type="expression" dxfId="709" priority="1100">
      <formula>IF($E70="China",TRUE)</formula>
    </cfRule>
  </conditionalFormatting>
  <conditionalFormatting sqref="E102">
    <cfRule type="cellIs" dxfId="708" priority="1086" operator="equal">
      <formula>""</formula>
    </cfRule>
  </conditionalFormatting>
  <conditionalFormatting sqref="N102 T102">
    <cfRule type="expression" dxfId="707" priority="1080">
      <formula>IF($E102="NAO",TRUE)</formula>
    </cfRule>
    <cfRule type="expression" dxfId="706" priority="1081">
      <formula>IF($E102="Eur",TRUE)</formula>
    </cfRule>
    <cfRule type="expression" dxfId="705" priority="1082">
      <formula>IF($E102="Japan",TRUE)</formula>
    </cfRule>
    <cfRule type="expression" dxfId="704" priority="1083">
      <formula>IF($E102="India",TRUE)</formula>
    </cfRule>
    <cfRule type="expression" dxfId="703" priority="1084">
      <formula>IF($E102="Korea",TRUE)</formula>
    </cfRule>
    <cfRule type="expression" dxfId="702" priority="1085">
      <formula>IF($E102="China",TRUE)</formula>
    </cfRule>
  </conditionalFormatting>
  <conditionalFormatting sqref="E129:E140">
    <cfRule type="cellIs" dxfId="701" priority="1056" operator="equal">
      <formula>""</formula>
    </cfRule>
  </conditionalFormatting>
  <conditionalFormatting sqref="T129:T140">
    <cfRule type="expression" dxfId="700" priority="1050">
      <formula>IF($E129="NAO",TRUE)</formula>
    </cfRule>
    <cfRule type="expression" dxfId="699" priority="1051">
      <formula>IF($E129="Eur",TRUE)</formula>
    </cfRule>
    <cfRule type="expression" dxfId="698" priority="1052">
      <formula>IF($E129="Japan",TRUE)</formula>
    </cfRule>
    <cfRule type="expression" dxfId="697" priority="1053">
      <formula>IF($E129="India",TRUE)</formula>
    </cfRule>
    <cfRule type="expression" dxfId="696" priority="1054">
      <formula>IF($E129="Korea",TRUE)</formula>
    </cfRule>
    <cfRule type="expression" dxfId="695" priority="1055">
      <formula>IF($E129="China",TRUE)</formula>
    </cfRule>
  </conditionalFormatting>
  <conditionalFormatting sqref="G66:G67">
    <cfRule type="cellIs" dxfId="694" priority="1043" operator="equal">
      <formula>0</formula>
    </cfRule>
  </conditionalFormatting>
  <conditionalFormatting sqref="E66">
    <cfRule type="cellIs" dxfId="693" priority="1041" operator="equal">
      <formula>""</formula>
    </cfRule>
  </conditionalFormatting>
  <conditionalFormatting sqref="N66 T66">
    <cfRule type="expression" dxfId="692" priority="1035">
      <formula>IF($E66="NAO",TRUE)</formula>
    </cfRule>
    <cfRule type="expression" dxfId="691" priority="1036">
      <formula>IF($E66="Eur",TRUE)</formula>
    </cfRule>
    <cfRule type="expression" dxfId="690" priority="1037">
      <formula>IF($E66="Japan",TRUE)</formula>
    </cfRule>
    <cfRule type="expression" dxfId="689" priority="1038">
      <formula>IF($E66="India",TRUE)</formula>
    </cfRule>
    <cfRule type="expression" dxfId="688" priority="1039">
      <formula>IF($E66="Korea",TRUE)</formula>
    </cfRule>
    <cfRule type="expression" dxfId="687" priority="1040">
      <formula>IF($E66="China",TRUE)</formula>
    </cfRule>
  </conditionalFormatting>
  <conditionalFormatting sqref="E67">
    <cfRule type="cellIs" dxfId="686" priority="1027" operator="equal">
      <formula>""</formula>
    </cfRule>
  </conditionalFormatting>
  <conditionalFormatting sqref="N67 T67">
    <cfRule type="expression" dxfId="685" priority="1021">
      <formula>IF($E67="NAO",TRUE)</formula>
    </cfRule>
    <cfRule type="expression" dxfId="684" priority="1022">
      <formula>IF($E67="Eur",TRUE)</formula>
    </cfRule>
    <cfRule type="expression" dxfId="683" priority="1023">
      <formula>IF($E67="Japan",TRUE)</formula>
    </cfRule>
    <cfRule type="expression" dxfId="682" priority="1024">
      <formula>IF($E67="India",TRUE)</formula>
    </cfRule>
    <cfRule type="expression" dxfId="681" priority="1025">
      <formula>IF($E67="Korea",TRUE)</formula>
    </cfRule>
    <cfRule type="expression" dxfId="680" priority="1026">
      <formula>IF($E67="China",TRUE)</formula>
    </cfRule>
  </conditionalFormatting>
  <conditionalFormatting sqref="G64:G65">
    <cfRule type="cellIs" dxfId="679" priority="1014" operator="equal">
      <formula>0</formula>
    </cfRule>
  </conditionalFormatting>
  <conditionalFormatting sqref="E64">
    <cfRule type="cellIs" dxfId="678" priority="1012" operator="equal">
      <formula>""</formula>
    </cfRule>
  </conditionalFormatting>
  <conditionalFormatting sqref="N64 T64">
    <cfRule type="expression" dxfId="677" priority="1006">
      <formula>IF($E64="NAO",TRUE)</formula>
    </cfRule>
    <cfRule type="expression" dxfId="676" priority="1007">
      <formula>IF($E64="Eur",TRUE)</formula>
    </cfRule>
    <cfRule type="expression" dxfId="675" priority="1008">
      <formula>IF($E64="Japan",TRUE)</formula>
    </cfRule>
    <cfRule type="expression" dxfId="674" priority="1009">
      <formula>IF($E64="India",TRUE)</formula>
    </cfRule>
    <cfRule type="expression" dxfId="673" priority="1010">
      <formula>IF($E64="Korea",TRUE)</formula>
    </cfRule>
    <cfRule type="expression" dxfId="672" priority="1011">
      <formula>IF($E64="China",TRUE)</formula>
    </cfRule>
  </conditionalFormatting>
  <conditionalFormatting sqref="E65">
    <cfRule type="cellIs" dxfId="671" priority="998" operator="equal">
      <formula>""</formula>
    </cfRule>
  </conditionalFormatting>
  <conditionalFormatting sqref="N65 T65">
    <cfRule type="expression" dxfId="670" priority="992">
      <formula>IF($E65="NAO",TRUE)</formula>
    </cfRule>
    <cfRule type="expression" dxfId="669" priority="993">
      <formula>IF($E65="Eur",TRUE)</formula>
    </cfRule>
    <cfRule type="expression" dxfId="668" priority="994">
      <formula>IF($E65="Japan",TRUE)</formula>
    </cfRule>
    <cfRule type="expression" dxfId="667" priority="995">
      <formula>IF($E65="India",TRUE)</formula>
    </cfRule>
    <cfRule type="expression" dxfId="666" priority="996">
      <formula>IF($E65="Korea",TRUE)</formula>
    </cfRule>
    <cfRule type="expression" dxfId="665" priority="997">
      <formula>IF($E65="China",TRUE)</formula>
    </cfRule>
  </conditionalFormatting>
  <conditionalFormatting sqref="G68:G69">
    <cfRule type="cellIs" dxfId="664" priority="985" operator="equal">
      <formula>0</formula>
    </cfRule>
  </conditionalFormatting>
  <conditionalFormatting sqref="E68">
    <cfRule type="cellIs" dxfId="663" priority="983" operator="equal">
      <formula>""</formula>
    </cfRule>
  </conditionalFormatting>
  <conditionalFormatting sqref="N68 T68">
    <cfRule type="expression" dxfId="662" priority="977">
      <formula>IF($E68="NAO",TRUE)</formula>
    </cfRule>
    <cfRule type="expression" dxfId="661" priority="978">
      <formula>IF($E68="Eur",TRUE)</formula>
    </cfRule>
    <cfRule type="expression" dxfId="660" priority="979">
      <formula>IF($E68="Japan",TRUE)</formula>
    </cfRule>
    <cfRule type="expression" dxfId="659" priority="980">
      <formula>IF($E68="India",TRUE)</formula>
    </cfRule>
    <cfRule type="expression" dxfId="658" priority="981">
      <formula>IF($E68="Korea",TRUE)</formula>
    </cfRule>
    <cfRule type="expression" dxfId="657" priority="982">
      <formula>IF($E68="China",TRUE)</formula>
    </cfRule>
  </conditionalFormatting>
  <conditionalFormatting sqref="E69">
    <cfRule type="cellIs" dxfId="656" priority="969" operator="equal">
      <formula>""</formula>
    </cfRule>
  </conditionalFormatting>
  <conditionalFormatting sqref="N69 T69">
    <cfRule type="expression" dxfId="655" priority="963">
      <formula>IF($E69="NAO",TRUE)</formula>
    </cfRule>
    <cfRule type="expression" dxfId="654" priority="964">
      <formula>IF($E69="Eur",TRUE)</formula>
    </cfRule>
    <cfRule type="expression" dxfId="653" priority="965">
      <formula>IF($E69="Japan",TRUE)</formula>
    </cfRule>
    <cfRule type="expression" dxfId="652" priority="966">
      <formula>IF($E69="India",TRUE)</formula>
    </cfRule>
    <cfRule type="expression" dxfId="651" priority="967">
      <formula>IF($E69="Korea",TRUE)</formula>
    </cfRule>
    <cfRule type="expression" dxfId="650" priority="968">
      <formula>IF($E69="China",TRUE)</formula>
    </cfRule>
  </conditionalFormatting>
  <conditionalFormatting sqref="G101">
    <cfRule type="cellIs" dxfId="649" priority="876" operator="equal">
      <formula>0</formula>
    </cfRule>
  </conditionalFormatting>
  <conditionalFormatting sqref="E101">
    <cfRule type="cellIs" dxfId="648" priority="874" operator="equal">
      <formula>""</formula>
    </cfRule>
  </conditionalFormatting>
  <conditionalFormatting sqref="N101 T101">
    <cfRule type="expression" dxfId="647" priority="868">
      <formula>IF($E101="NAO",TRUE)</formula>
    </cfRule>
    <cfRule type="expression" dxfId="646" priority="869">
      <formula>IF($E101="Eur",TRUE)</formula>
    </cfRule>
    <cfRule type="expression" dxfId="645" priority="870">
      <formula>IF($E101="Japan",TRUE)</formula>
    </cfRule>
    <cfRule type="expression" dxfId="644" priority="871">
      <formula>IF($E101="India",TRUE)</formula>
    </cfRule>
    <cfRule type="expression" dxfId="643" priority="872">
      <formula>IF($E101="Korea",TRUE)</formula>
    </cfRule>
    <cfRule type="expression" dxfId="642" priority="873">
      <formula>IF($E101="China",TRUE)</formula>
    </cfRule>
  </conditionalFormatting>
  <conditionalFormatting sqref="G98">
    <cfRule type="cellIs" dxfId="641" priority="828" operator="equal">
      <formula>0</formula>
    </cfRule>
  </conditionalFormatting>
  <conditionalFormatting sqref="G100">
    <cfRule type="cellIs" dxfId="640" priority="860" operator="equal">
      <formula>0</formula>
    </cfRule>
  </conditionalFormatting>
  <conditionalFormatting sqref="E100">
    <cfRule type="cellIs" dxfId="639" priority="858" operator="equal">
      <formula>""</formula>
    </cfRule>
  </conditionalFormatting>
  <conditionalFormatting sqref="N100 T100">
    <cfRule type="expression" dxfId="638" priority="852">
      <formula>IF($E100="NAO",TRUE)</formula>
    </cfRule>
    <cfRule type="expression" dxfId="637" priority="853">
      <formula>IF($E100="Eur",TRUE)</formula>
    </cfRule>
    <cfRule type="expression" dxfId="636" priority="854">
      <formula>IF($E100="Japan",TRUE)</formula>
    </cfRule>
    <cfRule type="expression" dxfId="635" priority="855">
      <formula>IF($E100="India",TRUE)</formula>
    </cfRule>
    <cfRule type="expression" dxfId="634" priority="856">
      <formula>IF($E100="Korea",TRUE)</formula>
    </cfRule>
    <cfRule type="expression" dxfId="633" priority="857">
      <formula>IF($E100="China",TRUE)</formula>
    </cfRule>
  </conditionalFormatting>
  <conditionalFormatting sqref="G97">
    <cfRule type="cellIs" dxfId="632" priority="812" operator="equal">
      <formula>0</formula>
    </cfRule>
  </conditionalFormatting>
  <conditionalFormatting sqref="G99">
    <cfRule type="cellIs" dxfId="631" priority="844" operator="equal">
      <formula>0</formula>
    </cfRule>
  </conditionalFormatting>
  <conditionalFormatting sqref="E99">
    <cfRule type="cellIs" dxfId="630" priority="842" operator="equal">
      <formula>""</formula>
    </cfRule>
  </conditionalFormatting>
  <conditionalFormatting sqref="N99 T99">
    <cfRule type="expression" dxfId="629" priority="836">
      <formula>IF($E99="NAO",TRUE)</formula>
    </cfRule>
    <cfRule type="expression" dxfId="628" priority="837">
      <formula>IF($E99="Eur",TRUE)</formula>
    </cfRule>
    <cfRule type="expression" dxfId="627" priority="838">
      <formula>IF($E99="Japan",TRUE)</formula>
    </cfRule>
    <cfRule type="expression" dxfId="626" priority="839">
      <formula>IF($E99="India",TRUE)</formula>
    </cfRule>
    <cfRule type="expression" dxfId="625" priority="840">
      <formula>IF($E99="Korea",TRUE)</formula>
    </cfRule>
    <cfRule type="expression" dxfId="624" priority="841">
      <formula>IF($E99="China",TRUE)</formula>
    </cfRule>
  </conditionalFormatting>
  <conditionalFormatting sqref="G96">
    <cfRule type="cellIs" dxfId="623" priority="796" operator="equal">
      <formula>0</formula>
    </cfRule>
  </conditionalFormatting>
  <conditionalFormatting sqref="E98">
    <cfRule type="cellIs" dxfId="622" priority="826" operator="equal">
      <formula>""</formula>
    </cfRule>
  </conditionalFormatting>
  <conditionalFormatting sqref="N98 T98">
    <cfRule type="expression" dxfId="621" priority="820">
      <formula>IF($E98="NAO",TRUE)</formula>
    </cfRule>
    <cfRule type="expression" dxfId="620" priority="821">
      <formula>IF($E98="Eur",TRUE)</formula>
    </cfRule>
    <cfRule type="expression" dxfId="619" priority="822">
      <formula>IF($E98="Japan",TRUE)</formula>
    </cfRule>
    <cfRule type="expression" dxfId="618" priority="823">
      <formula>IF($E98="India",TRUE)</formula>
    </cfRule>
    <cfRule type="expression" dxfId="617" priority="824">
      <formula>IF($E98="Korea",TRUE)</formula>
    </cfRule>
    <cfRule type="expression" dxfId="616" priority="825">
      <formula>IF($E98="China",TRUE)</formula>
    </cfRule>
  </conditionalFormatting>
  <conditionalFormatting sqref="G95">
    <cfRule type="cellIs" dxfId="615" priority="780" operator="equal">
      <formula>0</formula>
    </cfRule>
  </conditionalFormatting>
  <conditionalFormatting sqref="E97">
    <cfRule type="cellIs" dxfId="614" priority="810" operator="equal">
      <formula>""</formula>
    </cfRule>
  </conditionalFormatting>
  <conditionalFormatting sqref="N97 T97">
    <cfRule type="expression" dxfId="613" priority="804">
      <formula>IF($E97="NAO",TRUE)</formula>
    </cfRule>
    <cfRule type="expression" dxfId="612" priority="805">
      <formula>IF($E97="Eur",TRUE)</formula>
    </cfRule>
    <cfRule type="expression" dxfId="611" priority="806">
      <formula>IF($E97="Japan",TRUE)</formula>
    </cfRule>
    <cfRule type="expression" dxfId="610" priority="807">
      <formula>IF($E97="India",TRUE)</formula>
    </cfRule>
    <cfRule type="expression" dxfId="609" priority="808">
      <formula>IF($E97="Korea",TRUE)</formula>
    </cfRule>
    <cfRule type="expression" dxfId="608" priority="809">
      <formula>IF($E97="China",TRUE)</formula>
    </cfRule>
  </conditionalFormatting>
  <conditionalFormatting sqref="G94">
    <cfRule type="cellIs" dxfId="607" priority="764" operator="equal">
      <formula>0</formula>
    </cfRule>
  </conditionalFormatting>
  <conditionalFormatting sqref="E96">
    <cfRule type="cellIs" dxfId="606" priority="794" operator="equal">
      <formula>""</formula>
    </cfRule>
  </conditionalFormatting>
  <conditionalFormatting sqref="N96 T96">
    <cfRule type="expression" dxfId="605" priority="788">
      <formula>IF($E96="NAO",TRUE)</formula>
    </cfRule>
    <cfRule type="expression" dxfId="604" priority="789">
      <formula>IF($E96="Eur",TRUE)</formula>
    </cfRule>
    <cfRule type="expression" dxfId="603" priority="790">
      <formula>IF($E96="Japan",TRUE)</formula>
    </cfRule>
    <cfRule type="expression" dxfId="602" priority="791">
      <formula>IF($E96="India",TRUE)</formula>
    </cfRule>
    <cfRule type="expression" dxfId="601" priority="792">
      <formula>IF($E96="Korea",TRUE)</formula>
    </cfRule>
    <cfRule type="expression" dxfId="600" priority="793">
      <formula>IF($E96="China",TRUE)</formula>
    </cfRule>
  </conditionalFormatting>
  <conditionalFormatting sqref="G93">
    <cfRule type="cellIs" dxfId="599" priority="748" operator="equal">
      <formula>0</formula>
    </cfRule>
  </conditionalFormatting>
  <conditionalFormatting sqref="E95">
    <cfRule type="cellIs" dxfId="598" priority="778" operator="equal">
      <formula>""</formula>
    </cfRule>
  </conditionalFormatting>
  <conditionalFormatting sqref="N95 T95">
    <cfRule type="expression" dxfId="597" priority="772">
      <formula>IF($E95="NAO",TRUE)</formula>
    </cfRule>
    <cfRule type="expression" dxfId="596" priority="773">
      <formula>IF($E95="Eur",TRUE)</formula>
    </cfRule>
    <cfRule type="expression" dxfId="595" priority="774">
      <formula>IF($E95="Japan",TRUE)</formula>
    </cfRule>
    <cfRule type="expression" dxfId="594" priority="775">
      <formula>IF($E95="India",TRUE)</formula>
    </cfRule>
    <cfRule type="expression" dxfId="593" priority="776">
      <formula>IF($E95="Korea",TRUE)</formula>
    </cfRule>
    <cfRule type="expression" dxfId="592" priority="777">
      <formula>IF($E95="China",TRUE)</formula>
    </cfRule>
  </conditionalFormatting>
  <conditionalFormatting sqref="G92">
    <cfRule type="cellIs" dxfId="591" priority="732" operator="equal">
      <formula>0</formula>
    </cfRule>
  </conditionalFormatting>
  <conditionalFormatting sqref="E94">
    <cfRule type="cellIs" dxfId="590" priority="762" operator="equal">
      <formula>""</formula>
    </cfRule>
  </conditionalFormatting>
  <conditionalFormatting sqref="N94 T94">
    <cfRule type="expression" dxfId="589" priority="756">
      <formula>IF($E94="NAO",TRUE)</formula>
    </cfRule>
    <cfRule type="expression" dxfId="588" priority="757">
      <formula>IF($E94="Eur",TRUE)</formula>
    </cfRule>
    <cfRule type="expression" dxfId="587" priority="758">
      <formula>IF($E94="Japan",TRUE)</formula>
    </cfRule>
    <cfRule type="expression" dxfId="586" priority="759">
      <formula>IF($E94="India",TRUE)</formula>
    </cfRule>
    <cfRule type="expression" dxfId="585" priority="760">
      <formula>IF($E94="Korea",TRUE)</formula>
    </cfRule>
    <cfRule type="expression" dxfId="584" priority="761">
      <formula>IF($E94="China",TRUE)</formula>
    </cfRule>
  </conditionalFormatting>
  <conditionalFormatting sqref="G91">
    <cfRule type="cellIs" dxfId="583" priority="716" operator="equal">
      <formula>0</formula>
    </cfRule>
  </conditionalFormatting>
  <conditionalFormatting sqref="E93">
    <cfRule type="cellIs" dxfId="582" priority="746" operator="equal">
      <formula>""</formula>
    </cfRule>
  </conditionalFormatting>
  <conditionalFormatting sqref="N93 T93">
    <cfRule type="expression" dxfId="581" priority="740">
      <formula>IF($E93="NAO",TRUE)</formula>
    </cfRule>
    <cfRule type="expression" dxfId="580" priority="741">
      <formula>IF($E93="Eur",TRUE)</formula>
    </cfRule>
    <cfRule type="expression" dxfId="579" priority="742">
      <formula>IF($E93="Japan",TRUE)</formula>
    </cfRule>
    <cfRule type="expression" dxfId="578" priority="743">
      <formula>IF($E93="India",TRUE)</formula>
    </cfRule>
    <cfRule type="expression" dxfId="577" priority="744">
      <formula>IF($E93="Korea",TRUE)</formula>
    </cfRule>
    <cfRule type="expression" dxfId="576" priority="745">
      <formula>IF($E93="China",TRUE)</formula>
    </cfRule>
  </conditionalFormatting>
  <conditionalFormatting sqref="G90">
    <cfRule type="cellIs" dxfId="575" priority="700" operator="equal">
      <formula>0</formula>
    </cfRule>
  </conditionalFormatting>
  <conditionalFormatting sqref="E92">
    <cfRule type="cellIs" dxfId="574" priority="730" operator="equal">
      <formula>""</formula>
    </cfRule>
  </conditionalFormatting>
  <conditionalFormatting sqref="N92 T92">
    <cfRule type="expression" dxfId="573" priority="724">
      <formula>IF($E92="NAO",TRUE)</formula>
    </cfRule>
    <cfRule type="expression" dxfId="572" priority="725">
      <formula>IF($E92="Eur",TRUE)</formula>
    </cfRule>
    <cfRule type="expression" dxfId="571" priority="726">
      <formula>IF($E92="Japan",TRUE)</formula>
    </cfRule>
    <cfRule type="expression" dxfId="570" priority="727">
      <formula>IF($E92="India",TRUE)</formula>
    </cfRule>
    <cfRule type="expression" dxfId="569" priority="728">
      <formula>IF($E92="Korea",TRUE)</formula>
    </cfRule>
    <cfRule type="expression" dxfId="568" priority="729">
      <formula>IF($E92="China",TRUE)</formula>
    </cfRule>
  </conditionalFormatting>
  <conditionalFormatting sqref="G89">
    <cfRule type="cellIs" dxfId="567" priority="684" operator="equal">
      <formula>0</formula>
    </cfRule>
  </conditionalFormatting>
  <conditionalFormatting sqref="E91">
    <cfRule type="cellIs" dxfId="566" priority="714" operator="equal">
      <formula>""</formula>
    </cfRule>
  </conditionalFormatting>
  <conditionalFormatting sqref="N91 T91">
    <cfRule type="expression" dxfId="565" priority="708">
      <formula>IF($E91="NAO",TRUE)</formula>
    </cfRule>
    <cfRule type="expression" dxfId="564" priority="709">
      <formula>IF($E91="Eur",TRUE)</formula>
    </cfRule>
    <cfRule type="expression" dxfId="563" priority="710">
      <formula>IF($E91="Japan",TRUE)</formula>
    </cfRule>
    <cfRule type="expression" dxfId="562" priority="711">
      <formula>IF($E91="India",TRUE)</formula>
    </cfRule>
    <cfRule type="expression" dxfId="561" priority="712">
      <formula>IF($E91="Korea",TRUE)</formula>
    </cfRule>
    <cfRule type="expression" dxfId="560" priority="713">
      <formula>IF($E91="China",TRUE)</formula>
    </cfRule>
  </conditionalFormatting>
  <conditionalFormatting sqref="G88">
    <cfRule type="cellIs" dxfId="559" priority="668" operator="equal">
      <formula>0</formula>
    </cfRule>
  </conditionalFormatting>
  <conditionalFormatting sqref="E90">
    <cfRule type="cellIs" dxfId="558" priority="698" operator="equal">
      <formula>""</formula>
    </cfRule>
  </conditionalFormatting>
  <conditionalFormatting sqref="N90 T90">
    <cfRule type="expression" dxfId="557" priority="692">
      <formula>IF($E90="NAO",TRUE)</formula>
    </cfRule>
    <cfRule type="expression" dxfId="556" priority="693">
      <formula>IF($E90="Eur",TRUE)</formula>
    </cfRule>
    <cfRule type="expression" dxfId="555" priority="694">
      <formula>IF($E90="Japan",TRUE)</formula>
    </cfRule>
    <cfRule type="expression" dxfId="554" priority="695">
      <formula>IF($E90="India",TRUE)</formula>
    </cfRule>
    <cfRule type="expression" dxfId="553" priority="696">
      <formula>IF($E90="Korea",TRUE)</formula>
    </cfRule>
    <cfRule type="expression" dxfId="552" priority="697">
      <formula>IF($E90="China",TRUE)</formula>
    </cfRule>
  </conditionalFormatting>
  <conditionalFormatting sqref="G87">
    <cfRule type="cellIs" dxfId="551" priority="652" operator="equal">
      <formula>0</formula>
    </cfRule>
  </conditionalFormatting>
  <conditionalFormatting sqref="E89">
    <cfRule type="cellIs" dxfId="550" priority="682" operator="equal">
      <formula>""</formula>
    </cfRule>
  </conditionalFormatting>
  <conditionalFormatting sqref="N89 T89">
    <cfRule type="expression" dxfId="549" priority="676">
      <formula>IF($E89="NAO",TRUE)</formula>
    </cfRule>
    <cfRule type="expression" dxfId="548" priority="677">
      <formula>IF($E89="Eur",TRUE)</formula>
    </cfRule>
    <cfRule type="expression" dxfId="547" priority="678">
      <formula>IF($E89="Japan",TRUE)</formula>
    </cfRule>
    <cfRule type="expression" dxfId="546" priority="679">
      <formula>IF($E89="India",TRUE)</formula>
    </cfRule>
    <cfRule type="expression" dxfId="545" priority="680">
      <formula>IF($E89="Korea",TRUE)</formula>
    </cfRule>
    <cfRule type="expression" dxfId="544" priority="681">
      <formula>IF($E89="China",TRUE)</formula>
    </cfRule>
  </conditionalFormatting>
  <conditionalFormatting sqref="G86">
    <cfRule type="cellIs" dxfId="543" priority="636" operator="equal">
      <formula>0</formula>
    </cfRule>
  </conditionalFormatting>
  <conditionalFormatting sqref="E88">
    <cfRule type="cellIs" dxfId="542" priority="666" operator="equal">
      <formula>""</formula>
    </cfRule>
  </conditionalFormatting>
  <conditionalFormatting sqref="N88 T88">
    <cfRule type="expression" dxfId="541" priority="660">
      <formula>IF($E88="NAO",TRUE)</formula>
    </cfRule>
    <cfRule type="expression" dxfId="540" priority="661">
      <formula>IF($E88="Eur",TRUE)</formula>
    </cfRule>
    <cfRule type="expression" dxfId="539" priority="662">
      <formula>IF($E88="Japan",TRUE)</formula>
    </cfRule>
    <cfRule type="expression" dxfId="538" priority="663">
      <formula>IF($E88="India",TRUE)</formula>
    </cfRule>
    <cfRule type="expression" dxfId="537" priority="664">
      <formula>IF($E88="Korea",TRUE)</formula>
    </cfRule>
    <cfRule type="expression" dxfId="536" priority="665">
      <formula>IF($E88="China",TRUE)</formula>
    </cfRule>
  </conditionalFormatting>
  <conditionalFormatting sqref="G85">
    <cfRule type="cellIs" dxfId="535" priority="620" operator="equal">
      <formula>0</formula>
    </cfRule>
  </conditionalFormatting>
  <conditionalFormatting sqref="E87">
    <cfRule type="cellIs" dxfId="534" priority="650" operator="equal">
      <formula>""</formula>
    </cfRule>
  </conditionalFormatting>
  <conditionalFormatting sqref="N87 T87">
    <cfRule type="expression" dxfId="533" priority="644">
      <formula>IF($E87="NAO",TRUE)</formula>
    </cfRule>
    <cfRule type="expression" dxfId="532" priority="645">
      <formula>IF($E87="Eur",TRUE)</formula>
    </cfRule>
    <cfRule type="expression" dxfId="531" priority="646">
      <formula>IF($E87="Japan",TRUE)</formula>
    </cfRule>
    <cfRule type="expression" dxfId="530" priority="647">
      <formula>IF($E87="India",TRUE)</formula>
    </cfRule>
    <cfRule type="expression" dxfId="529" priority="648">
      <formula>IF($E87="Korea",TRUE)</formula>
    </cfRule>
    <cfRule type="expression" dxfId="528" priority="649">
      <formula>IF($E87="China",TRUE)</formula>
    </cfRule>
  </conditionalFormatting>
  <conditionalFormatting sqref="G84">
    <cfRule type="cellIs" dxfId="527" priority="604" operator="equal">
      <formula>0</formula>
    </cfRule>
  </conditionalFormatting>
  <conditionalFormatting sqref="E86">
    <cfRule type="cellIs" dxfId="526" priority="634" operator="equal">
      <formula>""</formula>
    </cfRule>
  </conditionalFormatting>
  <conditionalFormatting sqref="N86 T86">
    <cfRule type="expression" dxfId="525" priority="628">
      <formula>IF($E86="NAO",TRUE)</formula>
    </cfRule>
    <cfRule type="expression" dxfId="524" priority="629">
      <formula>IF($E86="Eur",TRUE)</formula>
    </cfRule>
    <cfRule type="expression" dxfId="523" priority="630">
      <formula>IF($E86="Japan",TRUE)</formula>
    </cfRule>
    <cfRule type="expression" dxfId="522" priority="631">
      <formula>IF($E86="India",TRUE)</formula>
    </cfRule>
    <cfRule type="expression" dxfId="521" priority="632">
      <formula>IF($E86="Korea",TRUE)</formula>
    </cfRule>
    <cfRule type="expression" dxfId="520" priority="633">
      <formula>IF($E86="China",TRUE)</formula>
    </cfRule>
  </conditionalFormatting>
  <conditionalFormatting sqref="G83">
    <cfRule type="cellIs" dxfId="519" priority="588" operator="equal">
      <formula>0</formula>
    </cfRule>
  </conditionalFormatting>
  <conditionalFormatting sqref="E85">
    <cfRule type="cellIs" dxfId="518" priority="618" operator="equal">
      <formula>""</formula>
    </cfRule>
  </conditionalFormatting>
  <conditionalFormatting sqref="N85 T85">
    <cfRule type="expression" dxfId="517" priority="612">
      <formula>IF($E85="NAO",TRUE)</formula>
    </cfRule>
    <cfRule type="expression" dxfId="516" priority="613">
      <formula>IF($E85="Eur",TRUE)</formula>
    </cfRule>
    <cfRule type="expression" dxfId="515" priority="614">
      <formula>IF($E85="Japan",TRUE)</formula>
    </cfRule>
    <cfRule type="expression" dxfId="514" priority="615">
      <formula>IF($E85="India",TRUE)</formula>
    </cfRule>
    <cfRule type="expression" dxfId="513" priority="616">
      <formula>IF($E85="Korea",TRUE)</formula>
    </cfRule>
    <cfRule type="expression" dxfId="512" priority="617">
      <formula>IF($E85="China",TRUE)</formula>
    </cfRule>
  </conditionalFormatting>
  <conditionalFormatting sqref="G82">
    <cfRule type="cellIs" dxfId="511" priority="572" operator="equal">
      <formula>0</formula>
    </cfRule>
  </conditionalFormatting>
  <conditionalFormatting sqref="E84">
    <cfRule type="cellIs" dxfId="510" priority="602" operator="equal">
      <formula>""</formula>
    </cfRule>
  </conditionalFormatting>
  <conditionalFormatting sqref="N84 T84">
    <cfRule type="expression" dxfId="509" priority="596">
      <formula>IF($E84="NAO",TRUE)</formula>
    </cfRule>
    <cfRule type="expression" dxfId="508" priority="597">
      <formula>IF($E84="Eur",TRUE)</formula>
    </cfRule>
    <cfRule type="expression" dxfId="507" priority="598">
      <formula>IF($E84="Japan",TRUE)</formula>
    </cfRule>
    <cfRule type="expression" dxfId="506" priority="599">
      <formula>IF($E84="India",TRUE)</formula>
    </cfRule>
    <cfRule type="expression" dxfId="505" priority="600">
      <formula>IF($E84="Korea",TRUE)</formula>
    </cfRule>
    <cfRule type="expression" dxfId="504" priority="601">
      <formula>IF($E84="China",TRUE)</formula>
    </cfRule>
  </conditionalFormatting>
  <conditionalFormatting sqref="G81">
    <cfRule type="cellIs" dxfId="503" priority="556" operator="equal">
      <formula>0</formula>
    </cfRule>
  </conditionalFormatting>
  <conditionalFormatting sqref="E83">
    <cfRule type="cellIs" dxfId="502" priority="586" operator="equal">
      <formula>""</formula>
    </cfRule>
  </conditionalFormatting>
  <conditionalFormatting sqref="N83 T83">
    <cfRule type="expression" dxfId="501" priority="580">
      <formula>IF($E83="NAO",TRUE)</formula>
    </cfRule>
    <cfRule type="expression" dxfId="500" priority="581">
      <formula>IF($E83="Eur",TRUE)</formula>
    </cfRule>
    <cfRule type="expression" dxfId="499" priority="582">
      <formula>IF($E83="Japan",TRUE)</formula>
    </cfRule>
    <cfRule type="expression" dxfId="498" priority="583">
      <formula>IF($E83="India",TRUE)</formula>
    </cfRule>
    <cfRule type="expression" dxfId="497" priority="584">
      <formula>IF($E83="Korea",TRUE)</formula>
    </cfRule>
    <cfRule type="expression" dxfId="496" priority="585">
      <formula>IF($E83="China",TRUE)</formula>
    </cfRule>
  </conditionalFormatting>
  <conditionalFormatting sqref="G80">
    <cfRule type="cellIs" dxfId="495" priority="540" operator="equal">
      <formula>0</formula>
    </cfRule>
  </conditionalFormatting>
  <conditionalFormatting sqref="E82">
    <cfRule type="cellIs" dxfId="494" priority="570" operator="equal">
      <formula>""</formula>
    </cfRule>
  </conditionalFormatting>
  <conditionalFormatting sqref="N82 T82">
    <cfRule type="expression" dxfId="493" priority="564">
      <formula>IF($E82="NAO",TRUE)</formula>
    </cfRule>
    <cfRule type="expression" dxfId="492" priority="565">
      <formula>IF($E82="Eur",TRUE)</formula>
    </cfRule>
    <cfRule type="expression" dxfId="491" priority="566">
      <formula>IF($E82="Japan",TRUE)</formula>
    </cfRule>
    <cfRule type="expression" dxfId="490" priority="567">
      <formula>IF($E82="India",TRUE)</formula>
    </cfRule>
    <cfRule type="expression" dxfId="489" priority="568">
      <formula>IF($E82="Korea",TRUE)</formula>
    </cfRule>
    <cfRule type="expression" dxfId="488" priority="569">
      <formula>IF($E82="China",TRUE)</formula>
    </cfRule>
  </conditionalFormatting>
  <conditionalFormatting sqref="G79">
    <cfRule type="cellIs" dxfId="487" priority="524" operator="equal">
      <formula>0</formula>
    </cfRule>
  </conditionalFormatting>
  <conditionalFormatting sqref="E81">
    <cfRule type="cellIs" dxfId="486" priority="554" operator="equal">
      <formula>""</formula>
    </cfRule>
  </conditionalFormatting>
  <conditionalFormatting sqref="N81 T81">
    <cfRule type="expression" dxfId="485" priority="548">
      <formula>IF($E81="NAO",TRUE)</formula>
    </cfRule>
    <cfRule type="expression" dxfId="484" priority="549">
      <formula>IF($E81="Eur",TRUE)</formula>
    </cfRule>
    <cfRule type="expression" dxfId="483" priority="550">
      <formula>IF($E81="Japan",TRUE)</formula>
    </cfRule>
    <cfRule type="expression" dxfId="482" priority="551">
      <formula>IF($E81="India",TRUE)</formula>
    </cfRule>
    <cfRule type="expression" dxfId="481" priority="552">
      <formula>IF($E81="Korea",TRUE)</formula>
    </cfRule>
    <cfRule type="expression" dxfId="480" priority="553">
      <formula>IF($E81="China",TRUE)</formula>
    </cfRule>
  </conditionalFormatting>
  <conditionalFormatting sqref="G78">
    <cfRule type="cellIs" dxfId="479" priority="508" operator="equal">
      <formula>0</formula>
    </cfRule>
  </conditionalFormatting>
  <conditionalFormatting sqref="E80">
    <cfRule type="cellIs" dxfId="478" priority="538" operator="equal">
      <formula>""</formula>
    </cfRule>
  </conditionalFormatting>
  <conditionalFormatting sqref="N80 T80">
    <cfRule type="expression" dxfId="477" priority="532">
      <formula>IF($E80="NAO",TRUE)</formula>
    </cfRule>
    <cfRule type="expression" dxfId="476" priority="533">
      <formula>IF($E80="Eur",TRUE)</formula>
    </cfRule>
    <cfRule type="expression" dxfId="475" priority="534">
      <formula>IF($E80="Japan",TRUE)</formula>
    </cfRule>
    <cfRule type="expression" dxfId="474" priority="535">
      <formula>IF($E80="India",TRUE)</formula>
    </cfRule>
    <cfRule type="expression" dxfId="473" priority="536">
      <formula>IF($E80="Korea",TRUE)</formula>
    </cfRule>
    <cfRule type="expression" dxfId="472" priority="537">
      <formula>IF($E80="China",TRUE)</formula>
    </cfRule>
  </conditionalFormatting>
  <conditionalFormatting sqref="G77">
    <cfRule type="cellIs" dxfId="471" priority="492" operator="equal">
      <formula>0</formula>
    </cfRule>
  </conditionalFormatting>
  <conditionalFormatting sqref="E79">
    <cfRule type="cellIs" dxfId="470" priority="522" operator="equal">
      <formula>""</formula>
    </cfRule>
  </conditionalFormatting>
  <conditionalFormatting sqref="N79 T79">
    <cfRule type="expression" dxfId="469" priority="516">
      <formula>IF($E79="NAO",TRUE)</formula>
    </cfRule>
    <cfRule type="expression" dxfId="468" priority="517">
      <formula>IF($E79="Eur",TRUE)</formula>
    </cfRule>
    <cfRule type="expression" dxfId="467" priority="518">
      <formula>IF($E79="Japan",TRUE)</formula>
    </cfRule>
    <cfRule type="expression" dxfId="466" priority="519">
      <formula>IF($E79="India",TRUE)</formula>
    </cfRule>
    <cfRule type="expression" dxfId="465" priority="520">
      <formula>IF($E79="Korea",TRUE)</formula>
    </cfRule>
    <cfRule type="expression" dxfId="464" priority="521">
      <formula>IF($E79="China",TRUE)</formula>
    </cfRule>
  </conditionalFormatting>
  <conditionalFormatting sqref="G76">
    <cfRule type="cellIs" dxfId="463" priority="476" operator="equal">
      <formula>0</formula>
    </cfRule>
  </conditionalFormatting>
  <conditionalFormatting sqref="E78">
    <cfRule type="cellIs" dxfId="462" priority="506" operator="equal">
      <formula>""</formula>
    </cfRule>
  </conditionalFormatting>
  <conditionalFormatting sqref="N78 T78">
    <cfRule type="expression" dxfId="461" priority="500">
      <formula>IF($E78="NAO",TRUE)</formula>
    </cfRule>
    <cfRule type="expression" dxfId="460" priority="501">
      <formula>IF($E78="Eur",TRUE)</formula>
    </cfRule>
    <cfRule type="expression" dxfId="459" priority="502">
      <formula>IF($E78="Japan",TRUE)</formula>
    </cfRule>
    <cfRule type="expression" dxfId="458" priority="503">
      <formula>IF($E78="India",TRUE)</formula>
    </cfRule>
    <cfRule type="expression" dxfId="457" priority="504">
      <formula>IF($E78="Korea",TRUE)</formula>
    </cfRule>
    <cfRule type="expression" dxfId="456" priority="505">
      <formula>IF($E78="China",TRUE)</formula>
    </cfRule>
  </conditionalFormatting>
  <conditionalFormatting sqref="G71">
    <cfRule type="cellIs" dxfId="455" priority="460" operator="equal">
      <formula>0</formula>
    </cfRule>
  </conditionalFormatting>
  <conditionalFormatting sqref="E77">
    <cfRule type="cellIs" dxfId="454" priority="490" operator="equal">
      <formula>""</formula>
    </cfRule>
  </conditionalFormatting>
  <conditionalFormatting sqref="N77 T77">
    <cfRule type="expression" dxfId="453" priority="484">
      <formula>IF($E77="NAO",TRUE)</formula>
    </cfRule>
    <cfRule type="expression" dxfId="452" priority="485">
      <formula>IF($E77="Eur",TRUE)</formula>
    </cfRule>
    <cfRule type="expression" dxfId="451" priority="486">
      <formula>IF($E77="Japan",TRUE)</formula>
    </cfRule>
    <cfRule type="expression" dxfId="450" priority="487">
      <formula>IF($E77="India",TRUE)</formula>
    </cfRule>
    <cfRule type="expression" dxfId="449" priority="488">
      <formula>IF($E77="Korea",TRUE)</formula>
    </cfRule>
    <cfRule type="expression" dxfId="448" priority="489">
      <formula>IF($E77="China",TRUE)</formula>
    </cfRule>
  </conditionalFormatting>
  <conditionalFormatting sqref="G72:G75">
    <cfRule type="cellIs" dxfId="447" priority="444" operator="equal">
      <formula>0</formula>
    </cfRule>
  </conditionalFormatting>
  <conditionalFormatting sqref="E76">
    <cfRule type="cellIs" dxfId="446" priority="474" operator="equal">
      <formula>""</formula>
    </cfRule>
  </conditionalFormatting>
  <conditionalFormatting sqref="N76 T76">
    <cfRule type="expression" dxfId="445" priority="468">
      <formula>IF($E76="NAO",TRUE)</formula>
    </cfRule>
    <cfRule type="expression" dxfId="444" priority="469">
      <formula>IF($E76="Eur",TRUE)</formula>
    </cfRule>
    <cfRule type="expression" dxfId="443" priority="470">
      <formula>IF($E76="Japan",TRUE)</formula>
    </cfRule>
    <cfRule type="expression" dxfId="442" priority="471">
      <formula>IF($E76="India",TRUE)</formula>
    </cfRule>
    <cfRule type="expression" dxfId="441" priority="472">
      <formula>IF($E76="Korea",TRUE)</formula>
    </cfRule>
    <cfRule type="expression" dxfId="440" priority="473">
      <formula>IF($E76="China",TRUE)</formula>
    </cfRule>
  </conditionalFormatting>
  <conditionalFormatting sqref="E71">
    <cfRule type="cellIs" dxfId="439" priority="458" operator="equal">
      <formula>""</formula>
    </cfRule>
  </conditionalFormatting>
  <conditionalFormatting sqref="N71 T71">
    <cfRule type="expression" dxfId="438" priority="452">
      <formula>IF($E71="NAO",TRUE)</formula>
    </cfRule>
    <cfRule type="expression" dxfId="437" priority="453">
      <formula>IF($E71="Eur",TRUE)</formula>
    </cfRule>
    <cfRule type="expression" dxfId="436" priority="454">
      <formula>IF($E71="Japan",TRUE)</formula>
    </cfRule>
    <cfRule type="expression" dxfId="435" priority="455">
      <formula>IF($E71="India",TRUE)</formula>
    </cfRule>
    <cfRule type="expression" dxfId="434" priority="456">
      <formula>IF($E71="Korea",TRUE)</formula>
    </cfRule>
    <cfRule type="expression" dxfId="433" priority="457">
      <formula>IF($E71="China",TRUE)</formula>
    </cfRule>
  </conditionalFormatting>
  <conditionalFormatting sqref="E72:E75">
    <cfRule type="cellIs" dxfId="432" priority="442" operator="equal">
      <formula>""</formula>
    </cfRule>
  </conditionalFormatting>
  <conditionalFormatting sqref="N72:N75 T72:T75">
    <cfRule type="expression" dxfId="431" priority="436">
      <formula>IF($E72="NAO",TRUE)</formula>
    </cfRule>
    <cfRule type="expression" dxfId="430" priority="437">
      <formula>IF($E72="Eur",TRUE)</formula>
    </cfRule>
    <cfRule type="expression" dxfId="429" priority="438">
      <formula>IF($E72="Japan",TRUE)</formula>
    </cfRule>
    <cfRule type="expression" dxfId="428" priority="439">
      <formula>IF($E72="India",TRUE)</formula>
    </cfRule>
    <cfRule type="expression" dxfId="427" priority="440">
      <formula>IF($E72="Korea",TRUE)</formula>
    </cfRule>
    <cfRule type="expression" dxfId="426" priority="441">
      <formula>IF($E72="China",TRUE)</formula>
    </cfRule>
  </conditionalFormatting>
  <conditionalFormatting sqref="G253 G246:G251">
    <cfRule type="cellIs" dxfId="425" priority="247" operator="equal">
      <formula>0</formula>
    </cfRule>
  </conditionalFormatting>
  <conditionalFormatting sqref="G252">
    <cfRule type="cellIs" dxfId="424" priority="231" operator="equal">
      <formula>0</formula>
    </cfRule>
  </conditionalFormatting>
  <conditionalFormatting sqref="G260">
    <cfRule type="cellIs" dxfId="423" priority="263" operator="equal">
      <formula>0</formula>
    </cfRule>
  </conditionalFormatting>
  <conditionalFormatting sqref="E260">
    <cfRule type="cellIs" dxfId="422" priority="261" operator="equal">
      <formula>""</formula>
    </cfRule>
  </conditionalFormatting>
  <conditionalFormatting sqref="N260:T260">
    <cfRule type="expression" dxfId="421" priority="255">
      <formula>IF($E260="NAO",TRUE)</formula>
    </cfRule>
    <cfRule type="expression" dxfId="420" priority="256">
      <formula>IF($E260="Eur",TRUE)</formula>
    </cfRule>
    <cfRule type="expression" dxfId="419" priority="257">
      <formula>IF($E260="Japan",TRUE)</formula>
    </cfRule>
    <cfRule type="expression" dxfId="418" priority="258">
      <formula>IF($E260="India",TRUE)</formula>
    </cfRule>
    <cfRule type="expression" dxfId="417" priority="259">
      <formula>IF($E260="Korea",TRUE)</formula>
    </cfRule>
    <cfRule type="expression" dxfId="416" priority="260">
      <formula>IF($E260="China",TRUE)</formula>
    </cfRule>
  </conditionalFormatting>
  <conditionalFormatting sqref="E253 E246:E251">
    <cfRule type="cellIs" dxfId="415" priority="245" operator="equal">
      <formula>""</formula>
    </cfRule>
  </conditionalFormatting>
  <conditionalFormatting sqref="N253:T253 N246:T251">
    <cfRule type="expression" dxfId="414" priority="239">
      <formula>IF($E246="NAO",TRUE)</formula>
    </cfRule>
    <cfRule type="expression" dxfId="413" priority="240">
      <formula>IF($E246="Eur",TRUE)</formula>
    </cfRule>
    <cfRule type="expression" dxfId="412" priority="241">
      <formula>IF($E246="Japan",TRUE)</formula>
    </cfRule>
    <cfRule type="expression" dxfId="411" priority="242">
      <formula>IF($E246="India",TRUE)</formula>
    </cfRule>
    <cfRule type="expression" dxfId="410" priority="243">
      <formula>IF($E246="Korea",TRUE)</formula>
    </cfRule>
    <cfRule type="expression" dxfId="409" priority="244">
      <formula>IF($E246="China",TRUE)</formula>
    </cfRule>
  </conditionalFormatting>
  <conditionalFormatting sqref="BA101">
    <cfRule type="cellIs" dxfId="408" priority="88" operator="equal">
      <formula>0</formula>
    </cfRule>
  </conditionalFormatting>
  <conditionalFormatting sqref="E252">
    <cfRule type="cellIs" dxfId="407" priority="229" operator="equal">
      <formula>""</formula>
    </cfRule>
  </conditionalFormatting>
  <conditionalFormatting sqref="N252:T252">
    <cfRule type="expression" dxfId="406" priority="223">
      <formula>IF($E252="NAO",TRUE)</formula>
    </cfRule>
    <cfRule type="expression" dxfId="405" priority="224">
      <formula>IF($E252="Eur",TRUE)</formula>
    </cfRule>
    <cfRule type="expression" dxfId="404" priority="225">
      <formula>IF($E252="Japan",TRUE)</formula>
    </cfRule>
    <cfRule type="expression" dxfId="403" priority="226">
      <formula>IF($E252="India",TRUE)</formula>
    </cfRule>
    <cfRule type="expression" dxfId="402" priority="227">
      <formula>IF($E252="Korea",TRUE)</formula>
    </cfRule>
    <cfRule type="expression" dxfId="401" priority="228">
      <formula>IF($E252="China",TRUE)</formula>
    </cfRule>
  </conditionalFormatting>
  <conditionalFormatting sqref="BA85">
    <cfRule type="cellIs" dxfId="400" priority="72" operator="equal">
      <formula>0</formula>
    </cfRule>
  </conditionalFormatting>
  <conditionalFormatting sqref="G300">
    <cfRule type="cellIs" dxfId="399" priority="215" operator="equal">
      <formula>0</formula>
    </cfRule>
  </conditionalFormatting>
  <conditionalFormatting sqref="E300">
    <cfRule type="cellIs" dxfId="398" priority="213" operator="equal">
      <formula>""</formula>
    </cfRule>
  </conditionalFormatting>
  <conditionalFormatting sqref="N300:T300">
    <cfRule type="expression" dxfId="397" priority="207">
      <formula>IF($E300="NAO",TRUE)</formula>
    </cfRule>
    <cfRule type="expression" dxfId="396" priority="208">
      <formula>IF($E300="Eur",TRUE)</formula>
    </cfRule>
    <cfRule type="expression" dxfId="395" priority="209">
      <formula>IF($E300="Japan",TRUE)</formula>
    </cfRule>
    <cfRule type="expression" dxfId="394" priority="210">
      <formula>IF($E300="India",TRUE)</formula>
    </cfRule>
    <cfRule type="expression" dxfId="393" priority="211">
      <formula>IF($E300="Korea",TRUE)</formula>
    </cfRule>
    <cfRule type="expression" dxfId="392" priority="212">
      <formula>IF($E300="China",TRUE)</formula>
    </cfRule>
  </conditionalFormatting>
  <conditionalFormatting sqref="BA123:BA156 BA70 BA102:BA103 BA254:BA259 BA261:BA299 BA301:BA388 BA158:BA245 BA391 BA26:BA63">
    <cfRule type="cellIs" dxfId="391" priority="92" operator="equal">
      <formula>0</formula>
    </cfRule>
  </conditionalFormatting>
  <conditionalFormatting sqref="BA66:BA67">
    <cfRule type="cellIs" dxfId="390" priority="91" operator="equal">
      <formula>0</formula>
    </cfRule>
  </conditionalFormatting>
  <conditionalFormatting sqref="BA64:BA65">
    <cfRule type="cellIs" dxfId="389" priority="90" operator="equal">
      <formula>0</formula>
    </cfRule>
  </conditionalFormatting>
  <conditionalFormatting sqref="BA68:BA69">
    <cfRule type="cellIs" dxfId="388" priority="89" operator="equal">
      <formula>0</formula>
    </cfRule>
  </conditionalFormatting>
  <conditionalFormatting sqref="BA98">
    <cfRule type="cellIs" dxfId="387" priority="85" operator="equal">
      <formula>0</formula>
    </cfRule>
  </conditionalFormatting>
  <conditionalFormatting sqref="BA100">
    <cfRule type="cellIs" dxfId="386" priority="87" operator="equal">
      <formula>0</formula>
    </cfRule>
  </conditionalFormatting>
  <conditionalFormatting sqref="BA97">
    <cfRule type="cellIs" dxfId="385" priority="84" operator="equal">
      <formula>0</formula>
    </cfRule>
  </conditionalFormatting>
  <conditionalFormatting sqref="BA99">
    <cfRule type="cellIs" dxfId="384" priority="86" operator="equal">
      <formula>0</formula>
    </cfRule>
  </conditionalFormatting>
  <conditionalFormatting sqref="BA96">
    <cfRule type="cellIs" dxfId="383" priority="83" operator="equal">
      <formula>0</formula>
    </cfRule>
  </conditionalFormatting>
  <conditionalFormatting sqref="BA95">
    <cfRule type="cellIs" dxfId="382" priority="82" operator="equal">
      <formula>0</formula>
    </cfRule>
  </conditionalFormatting>
  <conditionalFormatting sqref="BA94">
    <cfRule type="cellIs" dxfId="381" priority="81" operator="equal">
      <formula>0</formula>
    </cfRule>
  </conditionalFormatting>
  <conditionalFormatting sqref="BA93">
    <cfRule type="cellIs" dxfId="380" priority="80" operator="equal">
      <formula>0</formula>
    </cfRule>
  </conditionalFormatting>
  <conditionalFormatting sqref="BA92">
    <cfRule type="cellIs" dxfId="379" priority="79" operator="equal">
      <formula>0</formula>
    </cfRule>
  </conditionalFormatting>
  <conditionalFormatting sqref="BA91">
    <cfRule type="cellIs" dxfId="378" priority="78" operator="equal">
      <formula>0</formula>
    </cfRule>
  </conditionalFormatting>
  <conditionalFormatting sqref="BA90">
    <cfRule type="cellIs" dxfId="377" priority="77" operator="equal">
      <formula>0</formula>
    </cfRule>
  </conditionalFormatting>
  <conditionalFormatting sqref="BA89">
    <cfRule type="cellIs" dxfId="376" priority="76" operator="equal">
      <formula>0</formula>
    </cfRule>
  </conditionalFormatting>
  <conditionalFormatting sqref="BA88">
    <cfRule type="cellIs" dxfId="375" priority="75" operator="equal">
      <formula>0</formula>
    </cfRule>
  </conditionalFormatting>
  <conditionalFormatting sqref="BA87">
    <cfRule type="cellIs" dxfId="374" priority="74" operator="equal">
      <formula>0</formula>
    </cfRule>
  </conditionalFormatting>
  <conditionalFormatting sqref="BA86">
    <cfRule type="cellIs" dxfId="373" priority="73" operator="equal">
      <formula>0</formula>
    </cfRule>
  </conditionalFormatting>
  <conditionalFormatting sqref="BA84">
    <cfRule type="cellIs" dxfId="372" priority="71" operator="equal">
      <formula>0</formula>
    </cfRule>
  </conditionalFormatting>
  <conditionalFormatting sqref="BA83">
    <cfRule type="cellIs" dxfId="371" priority="70" operator="equal">
      <formula>0</formula>
    </cfRule>
  </conditionalFormatting>
  <conditionalFormatting sqref="BA82">
    <cfRule type="cellIs" dxfId="370" priority="69" operator="equal">
      <formula>0</formula>
    </cfRule>
  </conditionalFormatting>
  <conditionalFormatting sqref="BA81">
    <cfRule type="cellIs" dxfId="369" priority="68" operator="equal">
      <formula>0</formula>
    </cfRule>
  </conditionalFormatting>
  <conditionalFormatting sqref="BA80">
    <cfRule type="cellIs" dxfId="368" priority="67" operator="equal">
      <formula>0</formula>
    </cfRule>
  </conditionalFormatting>
  <conditionalFormatting sqref="BA79">
    <cfRule type="cellIs" dxfId="367" priority="66" operator="equal">
      <formula>0</formula>
    </cfRule>
  </conditionalFormatting>
  <conditionalFormatting sqref="BA78">
    <cfRule type="cellIs" dxfId="366" priority="65" operator="equal">
      <formula>0</formula>
    </cfRule>
  </conditionalFormatting>
  <conditionalFormatting sqref="BA77">
    <cfRule type="cellIs" dxfId="365" priority="64" operator="equal">
      <formula>0</formula>
    </cfRule>
  </conditionalFormatting>
  <conditionalFormatting sqref="BA76">
    <cfRule type="cellIs" dxfId="364" priority="63" operator="equal">
      <formula>0</formula>
    </cfRule>
  </conditionalFormatting>
  <conditionalFormatting sqref="BA71">
    <cfRule type="cellIs" dxfId="363" priority="62" operator="equal">
      <formula>0</formula>
    </cfRule>
  </conditionalFormatting>
  <conditionalFormatting sqref="BA72:BA75">
    <cfRule type="cellIs" dxfId="362" priority="61" operator="equal">
      <formula>0</formula>
    </cfRule>
  </conditionalFormatting>
  <conditionalFormatting sqref="BA260">
    <cfRule type="cellIs" dxfId="361" priority="60" operator="equal">
      <formula>0</formula>
    </cfRule>
  </conditionalFormatting>
  <conditionalFormatting sqref="BA253 BA246:BA251">
    <cfRule type="cellIs" dxfId="360" priority="59" operator="equal">
      <formula>0</formula>
    </cfRule>
  </conditionalFormatting>
  <conditionalFormatting sqref="BA252">
    <cfRule type="cellIs" dxfId="359" priority="58" operator="equal">
      <formula>0</formula>
    </cfRule>
  </conditionalFormatting>
  <conditionalFormatting sqref="BA300">
    <cfRule type="cellIs" dxfId="358" priority="57" operator="equal">
      <formula>0</formula>
    </cfRule>
  </conditionalFormatting>
  <conditionalFormatting sqref="G157">
    <cfRule type="cellIs" dxfId="357" priority="44" operator="equal">
      <formula>0</formula>
    </cfRule>
  </conditionalFormatting>
  <conditionalFormatting sqref="E157">
    <cfRule type="cellIs" dxfId="356" priority="42" operator="equal">
      <formula>""</formula>
    </cfRule>
  </conditionalFormatting>
  <conditionalFormatting sqref="N157:T157">
    <cfRule type="expression" dxfId="355" priority="36">
      <formula>IF($E157="NAO",TRUE)</formula>
    </cfRule>
    <cfRule type="expression" dxfId="354" priority="37">
      <formula>IF($E157="Eur",TRUE)</formula>
    </cfRule>
    <cfRule type="expression" dxfId="353" priority="38">
      <formula>IF($E157="Japan",TRUE)</formula>
    </cfRule>
    <cfRule type="expression" dxfId="352" priority="39">
      <formula>IF($E157="India",TRUE)</formula>
    </cfRule>
    <cfRule type="expression" dxfId="351" priority="40">
      <formula>IF($E157="Korea",TRUE)</formula>
    </cfRule>
    <cfRule type="expression" dxfId="350" priority="41">
      <formula>IF($E157="China",TRUE)</formula>
    </cfRule>
  </conditionalFormatting>
  <conditionalFormatting sqref="BA157">
    <cfRule type="cellIs" dxfId="349" priority="29" operator="equal">
      <formula>0</formula>
    </cfRule>
  </conditionalFormatting>
  <conditionalFormatting sqref="BA389:BA390">
    <cfRule type="cellIs" dxfId="348" priority="7" operator="equal">
      <formula>0</formula>
    </cfRule>
  </conditionalFormatting>
  <dataValidations count="3">
    <dataValidation type="list" allowBlank="1" showInputMessage="1" showErrorMessage="1" sqref="G17 BA17 BA5:BA9 G5:G9 G13:G14 BA13:BA14" xr:uid="{00000000-0002-0000-0300-000000000000}">
      <formula1>"Y,N"</formula1>
    </dataValidation>
    <dataValidation type="date" allowBlank="1" showInputMessage="1" showErrorMessage="1" error="Please input the date in right format. Otherwise macro cannot run properly." promptTitle="Date format" prompt="yyyy-mm-dd_x000a_or_x000a_yyyy/mm/dd" sqref="C401:C410" xr:uid="{00000000-0002-0000-0300-000001000000}">
      <formula1>40544</formula1>
      <formula2>73050</formula2>
    </dataValidation>
    <dataValidation allowBlank="1" sqref="B5 B13:B14" xr:uid="{00000000-0002-0000-0300-000002000000}"/>
  </dataValidations>
  <hyperlinks>
    <hyperlink ref="A399" location="'D&amp;D cost quotation'!A1" display="TOP" xr:uid="{00000000-0004-0000-0300-000000000000}"/>
    <hyperlink ref="AZ399" location="'D&amp;D cost quotation'!A1" display="TOP" xr:uid="{BF6C5EAB-8D6C-482B-AE21-19EDA93C622E}"/>
  </hyperlinks>
  <pageMargins left="0.31496062992125984" right="0.31496062992125984" top="0.35433070866141736" bottom="0.15748031496062992" header="0.31496062992125984" footer="0.31496062992125984"/>
  <pageSetup paperSize="9" orientation="portrait" horizontalDpi="1200" verticalDpi="1200" r:id="rId1"/>
  <headerFooter>
    <oddHeader>&amp;L&amp;1&amp;K00+000mrB4UcbL&amp;R&amp;"Century Gothic,Regular"ESA-F-DSS-0001</oddHeader>
    <oddFooter>&amp;R&amp;"Century Gothic,Regular"V8.4.5 - May 2024</oddFooter>
  </headerFooter>
  <ignoredErrors>
    <ignoredError sqref="E102:E103 E106:E120 E70 E44:E63 E26:E42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9" r:id="rId4" name="Button 13">
              <controlPr defaultSize="0" print="0" autoFill="0" autoPict="0" macro="[0]!Unhide_All">
                <anchor>
                  <from>
                    <xdr:col>0</xdr:col>
                    <xdr:colOff>95250</xdr:colOff>
                    <xdr:row>0</xdr:row>
                    <xdr:rowOff>107950</xdr:rowOff>
                  </from>
                  <to>
                    <xdr:col>2</xdr:col>
                    <xdr:colOff>222250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5" name="Button 14">
              <controlPr defaultSize="0" print="0" autoFill="0" autoPict="0" macro="[0]!Filter_for_Input" altText="Filter_For_Input">
                <anchor>
                  <from>
                    <xdr:col>2</xdr:col>
                    <xdr:colOff>298450</xdr:colOff>
                    <xdr:row>0</xdr:row>
                    <xdr:rowOff>107950</xdr:rowOff>
                  </from>
                  <to>
                    <xdr:col>3</xdr:col>
                    <xdr:colOff>457200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6" name="Button 15">
              <controlPr defaultSize="0" print="0" autoFill="0" autoPict="0" macro="[0]!Quatation" altText="Filter_For_Input">
                <anchor>
                  <from>
                    <xdr:col>3</xdr:col>
                    <xdr:colOff>546100</xdr:colOff>
                    <xdr:row>0</xdr:row>
                    <xdr:rowOff>107950</xdr:rowOff>
                  </from>
                  <to>
                    <xdr:col>3</xdr:col>
                    <xdr:colOff>1695450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060" operator="notEqual" id="{5B1134E4-E65D-4BD1-B77A-80B8ECD6AA7B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E26:E40 E106:E120 E103 E62 E123:E128 E141:E156 E254:E259 E261:E299 E158:E245 E301:E391 E42:E59 E5:E10 E12:E23</xm:sqref>
        </x14:conditionalFormatting>
        <x14:conditionalFormatting xmlns:xm="http://schemas.microsoft.com/office/excel/2006/main">
          <x14:cfRule type="expression" priority="1578" id="{8D2E6129-5845-4A4A-98A0-20F168F06C3F}">
            <xm:f>IF('Project information'!$A$13="USD",TRUE)</xm:f>
            <x14:dxf>
              <numFmt numFmtId="199" formatCode="_-[$$-409]* #,##0_ ;_-[$$-409]* \-#,##0\ ;_-[$$-409]* &quot;-&quot;_ ;_-@_ "/>
            </x14:dxf>
          </x14:cfRule>
          <x14:cfRule type="expression" priority="2025" id="{3414B20C-9B0F-450A-BFFE-9EC359BA7027}">
            <xm:f>IF('Project information'!$A$13="EUR",TRUE)</xm:f>
            <x14:dxf>
              <numFmt numFmtId="198" formatCode="_ [$€-2]\ * #,##0_ ;_ [$€-2]\ * \-#,##0_ ;_ [$€-2]\ * &quot;-&quot;_ ;_ @_ "/>
            </x14:dxf>
          </x14:cfRule>
          <x14:cfRule type="expression" priority="2026" id="{93FD5342-2A2C-4F57-BC84-D560671BC32C}">
            <xm:f>IF('Project information'!$A$13="INR",TRUE)</xm:f>
            <x14:dxf>
              <numFmt numFmtId="191" formatCode="_ [$₹-4009]\ * #,##0_ ;_ [$₹-4009]\ * \-#,##0_ ;_ [$₹-4009]\ * &quot;-&quot;_ ;_ @_ "/>
            </x14:dxf>
          </x14:cfRule>
          <x14:cfRule type="expression" priority="2027" id="{B7AC75AE-E8BD-4AF6-9C56-3631B3E34DB4}">
            <xm:f>IF('Project information'!$A$13="JPN",TRUE)</xm:f>
            <x14:dxf>
              <numFmt numFmtId="190" formatCode="_-[$¥-411]* #,##0_-;\-[$¥-411]* #,##0_-;_-[$¥-411]* &quot;-&quot;_-;_-@_-"/>
            </x14:dxf>
          </x14:cfRule>
          <x14:cfRule type="expression" priority="2028" id="{32C1AFC2-0934-449C-ACA4-3B0AA9D389D0}">
            <xm:f>IF('Project information'!$A$13="KRW",TRUE)</xm:f>
            <x14:dxf>
              <numFmt numFmtId="181" formatCode="_-[$₩-412]* #,##0_-;\-[$₩-412]* #,##0_-;_-[$₩-412]* &quot;-&quot;_-;_-@_-"/>
            </x14:dxf>
          </x14:cfRule>
          <x14:cfRule type="expression" priority="2029" id="{83BDD14A-31B2-48AE-A6A6-69F56FE2707F}">
            <xm:f>IF('Project information'!$A$13="CNY",TRUE)</xm:f>
            <x14:dxf>
              <numFmt numFmtId="178" formatCode="_(&quot;¥&quot;* #,##0_);_(&quot;¥&quot;* \(#,##0\);_(&quot;¥&quot;* &quot;-&quot;_);_(@_)"/>
            </x14:dxf>
          </x14:cfRule>
          <xm:sqref>U26:AA26 V4:AA4 V11:AA11 V25:AA25 V105:AA105 V397:AA397 V393:AA393 V395:AA395 V103:AA103 V62:AA62 V42:AA42 V141:AA156 V27:AA40 V122:AA128 V254:AA259 V261:AA299 U106:AA120 V158:AA245 U26:U42 V301:AA391 V44:AA59 U43:AA43 U44:U103 U5:AA10 U12:AA23</xm:sqref>
        </x14:conditionalFormatting>
        <x14:conditionalFormatting xmlns:xm="http://schemas.microsoft.com/office/excel/2006/main">
          <x14:cfRule type="cellIs" priority="1162" operator="notEqual" id="{00D8C942-A1D7-4FBC-997B-75CAF2EA48CF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E63</xm:sqref>
        </x14:conditionalFormatting>
        <x14:conditionalFormatting xmlns:xm="http://schemas.microsoft.com/office/excel/2006/main">
          <x14:cfRule type="expression" priority="1149" id="{5385A7A0-B859-4B8D-913D-376391058E1E}">
            <xm:f>IF('Project information'!$A$13="USD",TRUE)</xm:f>
            <x14:dxf>
              <numFmt numFmtId="199" formatCode="_-[$$-409]* #,##0_ ;_-[$$-409]* \-#,##0\ ;_-[$$-409]* &quot;-&quot;_ ;_-@_ "/>
            </x14:dxf>
          </x14:cfRule>
          <x14:cfRule type="expression" priority="1150" id="{5D0ED0F4-B86B-4AA6-A679-353A2DCB2410}">
            <xm:f>IF('Project information'!$A$13="EUR",TRUE)</xm:f>
            <x14:dxf>
              <numFmt numFmtId="198" formatCode="_ [$€-2]\ * #,##0_ ;_ [$€-2]\ * \-#,##0_ ;_ [$€-2]\ * &quot;-&quot;_ ;_ @_ "/>
            </x14:dxf>
          </x14:cfRule>
          <x14:cfRule type="expression" priority="1151" id="{6F480145-7480-47E3-A9F9-FC07B9E088D7}">
            <xm:f>IF('Project information'!$A$13="INR",TRUE)</xm:f>
            <x14:dxf>
              <numFmt numFmtId="191" formatCode="_ [$₹-4009]\ * #,##0_ ;_ [$₹-4009]\ * \-#,##0_ ;_ [$₹-4009]\ * &quot;-&quot;_ ;_ @_ "/>
            </x14:dxf>
          </x14:cfRule>
          <x14:cfRule type="expression" priority="1152" id="{7663A7EA-BF91-4345-8CEA-07EE2926B77C}">
            <xm:f>IF('Project information'!$A$13="JPN",TRUE)</xm:f>
            <x14:dxf>
              <numFmt numFmtId="190" formatCode="_-[$¥-411]* #,##0_-;\-[$¥-411]* #,##0_-;_-[$¥-411]* &quot;-&quot;_-;_-@_-"/>
            </x14:dxf>
          </x14:cfRule>
          <x14:cfRule type="expression" priority="1153" id="{536C751E-5D20-4022-86D0-6D84140F6887}">
            <xm:f>IF('Project information'!$A$13="KRW",TRUE)</xm:f>
            <x14:dxf>
              <numFmt numFmtId="181" formatCode="_-[$₩-412]* #,##0_-;\-[$₩-412]* #,##0_-;_-[$₩-412]* &quot;-&quot;_-;_-@_-"/>
            </x14:dxf>
          </x14:cfRule>
          <x14:cfRule type="expression" priority="1154" id="{020B02F6-7A57-401B-9303-B115E8FAA648}">
            <xm:f>IF('Project information'!$A$13="CNY",TRUE)</xm:f>
            <x14:dxf>
              <numFmt numFmtId="178" formatCode="_(&quot;¥&quot;* #,##0_);_(&quot;¥&quot;* \(#,##0\);_(&quot;¥&quot;* &quot;-&quot;_);_(@_)"/>
            </x14:dxf>
          </x14:cfRule>
          <xm:sqref>V63:AA63</xm:sqref>
        </x14:conditionalFormatting>
        <x14:conditionalFormatting xmlns:xm="http://schemas.microsoft.com/office/excel/2006/main">
          <x14:cfRule type="cellIs" priority="1147" operator="notEqual" id="{624E02BA-F1AD-4880-8317-5E38AD92F50A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E60</xm:sqref>
        </x14:conditionalFormatting>
        <x14:conditionalFormatting xmlns:xm="http://schemas.microsoft.com/office/excel/2006/main">
          <x14:cfRule type="expression" priority="1134" id="{B997CF0F-A120-42A1-8660-23F8A2F1B28D}">
            <xm:f>IF('Project information'!$A$13="USD",TRUE)</xm:f>
            <x14:dxf>
              <numFmt numFmtId="199" formatCode="_-[$$-409]* #,##0_ ;_-[$$-409]* \-#,##0\ ;_-[$$-409]* &quot;-&quot;_ ;_-@_ "/>
            </x14:dxf>
          </x14:cfRule>
          <x14:cfRule type="expression" priority="1135" id="{1C3D5199-E6E1-4993-B650-8CA1876170AA}">
            <xm:f>IF('Project information'!$A$13="EUR",TRUE)</xm:f>
            <x14:dxf>
              <numFmt numFmtId="198" formatCode="_ [$€-2]\ * #,##0_ ;_ [$€-2]\ * \-#,##0_ ;_ [$€-2]\ * &quot;-&quot;_ ;_ @_ "/>
            </x14:dxf>
          </x14:cfRule>
          <x14:cfRule type="expression" priority="1136" id="{34854ED4-4CE6-4AE4-B989-88E2C145F43C}">
            <xm:f>IF('Project information'!$A$13="INR",TRUE)</xm:f>
            <x14:dxf>
              <numFmt numFmtId="191" formatCode="_ [$₹-4009]\ * #,##0_ ;_ [$₹-4009]\ * \-#,##0_ ;_ [$₹-4009]\ * &quot;-&quot;_ ;_ @_ "/>
            </x14:dxf>
          </x14:cfRule>
          <x14:cfRule type="expression" priority="1137" id="{DB745B22-FE38-4F5C-A2D2-F9A564821D60}">
            <xm:f>IF('Project information'!$A$13="JPN",TRUE)</xm:f>
            <x14:dxf>
              <numFmt numFmtId="190" formatCode="_-[$¥-411]* #,##0_-;\-[$¥-411]* #,##0_-;_-[$¥-411]* &quot;-&quot;_-;_-@_-"/>
            </x14:dxf>
          </x14:cfRule>
          <x14:cfRule type="expression" priority="1138" id="{FB854B70-A57D-4F2A-8C65-E50CD423FED8}">
            <xm:f>IF('Project information'!$A$13="KRW",TRUE)</xm:f>
            <x14:dxf>
              <numFmt numFmtId="181" formatCode="_-[$₩-412]* #,##0_-;\-[$₩-412]* #,##0_-;_-[$₩-412]* &quot;-&quot;_-;_-@_-"/>
            </x14:dxf>
          </x14:cfRule>
          <x14:cfRule type="expression" priority="1139" id="{25711E1A-8B7B-4347-A146-FED8D47E2FC9}">
            <xm:f>IF('Project information'!$A$13="CNY",TRUE)</xm:f>
            <x14:dxf>
              <numFmt numFmtId="178" formatCode="_(&quot;¥&quot;* #,##0_);_(&quot;¥&quot;* \(#,##0\);_(&quot;¥&quot;* &quot;-&quot;_);_(@_)"/>
            </x14:dxf>
          </x14:cfRule>
          <xm:sqref>V60:AA60</xm:sqref>
        </x14:conditionalFormatting>
        <x14:conditionalFormatting xmlns:xm="http://schemas.microsoft.com/office/excel/2006/main">
          <x14:cfRule type="cellIs" priority="1132" operator="notEqual" id="{3F0DF975-E679-4826-BC98-56FF28C05DDB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E61</xm:sqref>
        </x14:conditionalFormatting>
        <x14:conditionalFormatting xmlns:xm="http://schemas.microsoft.com/office/excel/2006/main">
          <x14:cfRule type="expression" priority="1119" id="{9C2C9645-C007-4476-9A5B-576A82B7D741}">
            <xm:f>IF('Project information'!$A$13="USD",TRUE)</xm:f>
            <x14:dxf>
              <numFmt numFmtId="199" formatCode="_-[$$-409]* #,##0_ ;_-[$$-409]* \-#,##0\ ;_-[$$-409]* &quot;-&quot;_ ;_-@_ "/>
            </x14:dxf>
          </x14:cfRule>
          <x14:cfRule type="expression" priority="1120" id="{EB50F860-D476-4965-A8BD-1C78CEA63DD5}">
            <xm:f>IF('Project information'!$A$13="EUR",TRUE)</xm:f>
            <x14:dxf>
              <numFmt numFmtId="198" formatCode="_ [$€-2]\ * #,##0_ ;_ [$€-2]\ * \-#,##0_ ;_ [$€-2]\ * &quot;-&quot;_ ;_ @_ "/>
            </x14:dxf>
          </x14:cfRule>
          <x14:cfRule type="expression" priority="1121" id="{6C45F0E0-6E9C-45D9-816E-3DD90491E496}">
            <xm:f>IF('Project information'!$A$13="INR",TRUE)</xm:f>
            <x14:dxf>
              <numFmt numFmtId="191" formatCode="_ [$₹-4009]\ * #,##0_ ;_ [$₹-4009]\ * \-#,##0_ ;_ [$₹-4009]\ * &quot;-&quot;_ ;_ @_ "/>
            </x14:dxf>
          </x14:cfRule>
          <x14:cfRule type="expression" priority="1122" id="{E7F7A9A0-2ACE-4CCC-8580-18B43B3ABD06}">
            <xm:f>IF('Project information'!$A$13="JPN",TRUE)</xm:f>
            <x14:dxf>
              <numFmt numFmtId="190" formatCode="_-[$¥-411]* #,##0_-;\-[$¥-411]* #,##0_-;_-[$¥-411]* &quot;-&quot;_-;_-@_-"/>
            </x14:dxf>
          </x14:cfRule>
          <x14:cfRule type="expression" priority="1123" id="{1188F1C1-D440-44FD-AD3A-2BF328D1779F}">
            <xm:f>IF('Project information'!$A$13="KRW",TRUE)</xm:f>
            <x14:dxf>
              <numFmt numFmtId="181" formatCode="_-[$₩-412]* #,##0_-;\-[$₩-412]* #,##0_-;_-[$₩-412]* &quot;-&quot;_-;_-@_-"/>
            </x14:dxf>
          </x14:cfRule>
          <x14:cfRule type="expression" priority="1124" id="{27F68705-3332-46A5-B110-30DB30ACA3BF}">
            <xm:f>IF('Project information'!$A$13="CNY",TRUE)</xm:f>
            <x14:dxf>
              <numFmt numFmtId="178" formatCode="_(&quot;¥&quot;* #,##0_);_(&quot;¥&quot;* \(#,##0\);_(&quot;¥&quot;* &quot;-&quot;_);_(@_)"/>
            </x14:dxf>
          </x14:cfRule>
          <xm:sqref>V61:AA61</xm:sqref>
        </x14:conditionalFormatting>
        <x14:conditionalFormatting xmlns:xm="http://schemas.microsoft.com/office/excel/2006/main">
          <x14:cfRule type="cellIs" priority="1117" operator="notEqual" id="{203CD618-F8FE-4889-AE3C-D5EF96EE2519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E41</xm:sqref>
        </x14:conditionalFormatting>
        <x14:conditionalFormatting xmlns:xm="http://schemas.microsoft.com/office/excel/2006/main">
          <x14:cfRule type="expression" priority="1104" id="{7B3655E1-64BF-4265-B7BD-82606AF00DDF}">
            <xm:f>IF('Project information'!$A$13="USD",TRUE)</xm:f>
            <x14:dxf>
              <numFmt numFmtId="199" formatCode="_-[$$-409]* #,##0_ ;_-[$$-409]* \-#,##0\ ;_-[$$-409]* &quot;-&quot;_ ;_-@_ "/>
            </x14:dxf>
          </x14:cfRule>
          <x14:cfRule type="expression" priority="1105" id="{CE1878E4-4BE2-4BEA-B2FF-E824A0AC4BCC}">
            <xm:f>IF('Project information'!$A$13="EUR",TRUE)</xm:f>
            <x14:dxf>
              <numFmt numFmtId="198" formatCode="_ [$€-2]\ * #,##0_ ;_ [$€-2]\ * \-#,##0_ ;_ [$€-2]\ * &quot;-&quot;_ ;_ @_ "/>
            </x14:dxf>
          </x14:cfRule>
          <x14:cfRule type="expression" priority="1106" id="{5AA69F7C-F1DE-428D-8D8A-ADAF70CC6438}">
            <xm:f>IF('Project information'!$A$13="INR",TRUE)</xm:f>
            <x14:dxf>
              <numFmt numFmtId="191" formatCode="_ [$₹-4009]\ * #,##0_ ;_ [$₹-4009]\ * \-#,##0_ ;_ [$₹-4009]\ * &quot;-&quot;_ ;_ @_ "/>
            </x14:dxf>
          </x14:cfRule>
          <x14:cfRule type="expression" priority="1107" id="{BFD43BD6-73E2-4B72-8933-286FFF377B2F}">
            <xm:f>IF('Project information'!$A$13="JPN",TRUE)</xm:f>
            <x14:dxf>
              <numFmt numFmtId="190" formatCode="_-[$¥-411]* #,##0_-;\-[$¥-411]* #,##0_-;_-[$¥-411]* &quot;-&quot;_-;_-@_-"/>
            </x14:dxf>
          </x14:cfRule>
          <x14:cfRule type="expression" priority="1108" id="{76DAF027-1881-433D-8E33-A97719E50FED}">
            <xm:f>IF('Project information'!$A$13="KRW",TRUE)</xm:f>
            <x14:dxf>
              <numFmt numFmtId="181" formatCode="_-[$₩-412]* #,##0_-;\-[$₩-412]* #,##0_-;_-[$₩-412]* &quot;-&quot;_-;_-@_-"/>
            </x14:dxf>
          </x14:cfRule>
          <x14:cfRule type="expression" priority="1109" id="{0A3DA8F9-3CFC-41D6-A92D-60832B2D247E}">
            <xm:f>IF('Project information'!$A$13="CNY",TRUE)</xm:f>
            <x14:dxf>
              <numFmt numFmtId="178" formatCode="_(&quot;¥&quot;* #,##0_);_(&quot;¥&quot;* \(#,##0\);_(&quot;¥&quot;* &quot;-&quot;_);_(@_)"/>
            </x14:dxf>
          </x14:cfRule>
          <xm:sqref>V41:AA41</xm:sqref>
        </x14:conditionalFormatting>
        <x14:conditionalFormatting xmlns:xm="http://schemas.microsoft.com/office/excel/2006/main">
          <x14:cfRule type="cellIs" priority="1102" operator="notEqual" id="{44FC1533-50ED-4D1C-BA55-73F961E49C53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E70</xm:sqref>
        </x14:conditionalFormatting>
        <x14:conditionalFormatting xmlns:xm="http://schemas.microsoft.com/office/excel/2006/main">
          <x14:cfRule type="expression" priority="1089" id="{DA3E1E09-905B-470C-9FA6-FF47D3FBB2F5}">
            <xm:f>IF('Project information'!$A$13="USD",TRUE)</xm:f>
            <x14:dxf>
              <numFmt numFmtId="199" formatCode="_-[$$-409]* #,##0_ ;_-[$$-409]* \-#,##0\ ;_-[$$-409]* &quot;-&quot;_ ;_-@_ "/>
            </x14:dxf>
          </x14:cfRule>
          <x14:cfRule type="expression" priority="1090" id="{F27D0215-ECD8-423A-BB34-DAEB32089AFF}">
            <xm:f>IF('Project information'!$A$13="EUR",TRUE)</xm:f>
            <x14:dxf>
              <numFmt numFmtId="198" formatCode="_ [$€-2]\ * #,##0_ ;_ [$€-2]\ * \-#,##0_ ;_ [$€-2]\ * &quot;-&quot;_ ;_ @_ "/>
            </x14:dxf>
          </x14:cfRule>
          <x14:cfRule type="expression" priority="1091" id="{9DF9B766-7213-40A9-8F09-49E4E037EB1F}">
            <xm:f>IF('Project information'!$A$13="INR",TRUE)</xm:f>
            <x14:dxf>
              <numFmt numFmtId="191" formatCode="_ [$₹-4009]\ * #,##0_ ;_ [$₹-4009]\ * \-#,##0_ ;_ [$₹-4009]\ * &quot;-&quot;_ ;_ @_ "/>
            </x14:dxf>
          </x14:cfRule>
          <x14:cfRule type="expression" priority="1092" id="{DBBE87E3-0704-4708-9C1B-D271931BB97B}">
            <xm:f>IF('Project information'!$A$13="JPN",TRUE)</xm:f>
            <x14:dxf>
              <numFmt numFmtId="190" formatCode="_-[$¥-411]* #,##0_-;\-[$¥-411]* #,##0_-;_-[$¥-411]* &quot;-&quot;_-;_-@_-"/>
            </x14:dxf>
          </x14:cfRule>
          <x14:cfRule type="expression" priority="1093" id="{2CC3F6C1-41A9-485C-8198-4D5D0E1E6AC9}">
            <xm:f>IF('Project information'!$A$13="KRW",TRUE)</xm:f>
            <x14:dxf>
              <numFmt numFmtId="181" formatCode="_-[$₩-412]* #,##0_-;\-[$₩-412]* #,##0_-;_-[$₩-412]* &quot;-&quot;_-;_-@_-"/>
            </x14:dxf>
          </x14:cfRule>
          <x14:cfRule type="expression" priority="1094" id="{FE738EDF-20DA-45BC-905F-641898459946}">
            <xm:f>IF('Project information'!$A$13="CNY",TRUE)</xm:f>
            <x14:dxf>
              <numFmt numFmtId="178" formatCode="_(&quot;¥&quot;* #,##0_);_(&quot;¥&quot;* \(#,##0\);_(&quot;¥&quot;* &quot;-&quot;_);_(@_)"/>
            </x14:dxf>
          </x14:cfRule>
          <xm:sqref>V70:AA70</xm:sqref>
        </x14:conditionalFormatting>
        <x14:conditionalFormatting xmlns:xm="http://schemas.microsoft.com/office/excel/2006/main">
          <x14:cfRule type="cellIs" priority="1087" operator="notEqual" id="{0E417CB6-9CFF-4A87-9BCF-5011EEE38351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E102</xm:sqref>
        </x14:conditionalFormatting>
        <x14:conditionalFormatting xmlns:xm="http://schemas.microsoft.com/office/excel/2006/main">
          <x14:cfRule type="expression" priority="1074" id="{A4823459-E9DD-49E5-9B38-D3939531981C}">
            <xm:f>IF('Project information'!$A$13="USD",TRUE)</xm:f>
            <x14:dxf>
              <numFmt numFmtId="199" formatCode="_-[$$-409]* #,##0_ ;_-[$$-409]* \-#,##0\ ;_-[$$-409]* &quot;-&quot;_ ;_-@_ "/>
            </x14:dxf>
          </x14:cfRule>
          <x14:cfRule type="expression" priority="1075" id="{E44BBED4-30AC-4395-91F5-66A7B8AE5220}">
            <xm:f>IF('Project information'!$A$13="EUR",TRUE)</xm:f>
            <x14:dxf>
              <numFmt numFmtId="198" formatCode="_ [$€-2]\ * #,##0_ ;_ [$€-2]\ * \-#,##0_ ;_ [$€-2]\ * &quot;-&quot;_ ;_ @_ "/>
            </x14:dxf>
          </x14:cfRule>
          <x14:cfRule type="expression" priority="1076" id="{1209721D-2B12-45B8-BF60-E008B136C7DF}">
            <xm:f>IF('Project information'!$A$13="INR",TRUE)</xm:f>
            <x14:dxf>
              <numFmt numFmtId="191" formatCode="_ [$₹-4009]\ * #,##0_ ;_ [$₹-4009]\ * \-#,##0_ ;_ [$₹-4009]\ * &quot;-&quot;_ ;_ @_ "/>
            </x14:dxf>
          </x14:cfRule>
          <x14:cfRule type="expression" priority="1077" id="{1EF91D17-A5A5-4C4B-9B21-CBE3FFCAFC20}">
            <xm:f>IF('Project information'!$A$13="JPN",TRUE)</xm:f>
            <x14:dxf>
              <numFmt numFmtId="190" formatCode="_-[$¥-411]* #,##0_-;\-[$¥-411]* #,##0_-;_-[$¥-411]* &quot;-&quot;_-;_-@_-"/>
            </x14:dxf>
          </x14:cfRule>
          <x14:cfRule type="expression" priority="1078" id="{EDEFE89F-569B-40D1-AEB5-82713C51214D}">
            <xm:f>IF('Project information'!$A$13="KRW",TRUE)</xm:f>
            <x14:dxf>
              <numFmt numFmtId="181" formatCode="_-[$₩-412]* #,##0_-;\-[$₩-412]* #,##0_-;_-[$₩-412]* &quot;-&quot;_-;_-@_-"/>
            </x14:dxf>
          </x14:cfRule>
          <x14:cfRule type="expression" priority="1079" id="{B1AD2331-C0B3-40FC-AA70-7AC7428981E2}">
            <xm:f>IF('Project information'!$A$13="CNY",TRUE)</xm:f>
            <x14:dxf>
              <numFmt numFmtId="178" formatCode="_(&quot;¥&quot;* #,##0_);_(&quot;¥&quot;* \(#,##0\);_(&quot;¥&quot;* &quot;-&quot;_);_(@_)"/>
            </x14:dxf>
          </x14:cfRule>
          <xm:sqref>V102:AA102</xm:sqref>
        </x14:conditionalFormatting>
        <x14:conditionalFormatting xmlns:xm="http://schemas.microsoft.com/office/excel/2006/main">
          <x14:cfRule type="cellIs" priority="1057" operator="notEqual" id="{7AC85F2D-2E28-41AE-A87D-90B25BCAFF9D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E129:E140</xm:sqref>
        </x14:conditionalFormatting>
        <x14:conditionalFormatting xmlns:xm="http://schemas.microsoft.com/office/excel/2006/main">
          <x14:cfRule type="expression" priority="1044" id="{297700BA-08A1-42F7-8A10-8560029991E1}">
            <xm:f>IF('Project information'!$A$13="USD",TRUE)</xm:f>
            <x14:dxf>
              <numFmt numFmtId="199" formatCode="_-[$$-409]* #,##0_ ;_-[$$-409]* \-#,##0\ ;_-[$$-409]* &quot;-&quot;_ ;_-@_ "/>
            </x14:dxf>
          </x14:cfRule>
          <x14:cfRule type="expression" priority="1045" id="{91A064F7-4A51-408F-980A-AA81CC9E02ED}">
            <xm:f>IF('Project information'!$A$13="EUR",TRUE)</xm:f>
            <x14:dxf>
              <numFmt numFmtId="198" formatCode="_ [$€-2]\ * #,##0_ ;_ [$€-2]\ * \-#,##0_ ;_ [$€-2]\ * &quot;-&quot;_ ;_ @_ "/>
            </x14:dxf>
          </x14:cfRule>
          <x14:cfRule type="expression" priority="1046" id="{4C7F4018-F08B-4749-9E1E-E11AF58F0961}">
            <xm:f>IF('Project information'!$A$13="INR",TRUE)</xm:f>
            <x14:dxf>
              <numFmt numFmtId="191" formatCode="_ [$₹-4009]\ * #,##0_ ;_ [$₹-4009]\ * \-#,##0_ ;_ [$₹-4009]\ * &quot;-&quot;_ ;_ @_ "/>
            </x14:dxf>
          </x14:cfRule>
          <x14:cfRule type="expression" priority="1047" id="{EAE46FEB-C7E5-4FE0-AA01-B6D429AAECDB}">
            <xm:f>IF('Project information'!$A$13="JPN",TRUE)</xm:f>
            <x14:dxf>
              <numFmt numFmtId="190" formatCode="_-[$¥-411]* #,##0_-;\-[$¥-411]* #,##0_-;_-[$¥-411]* &quot;-&quot;_-;_-@_-"/>
            </x14:dxf>
          </x14:cfRule>
          <x14:cfRule type="expression" priority="1048" id="{FF1D6BC2-3809-4C7E-B328-F348E5C507DB}">
            <xm:f>IF('Project information'!$A$13="KRW",TRUE)</xm:f>
            <x14:dxf>
              <numFmt numFmtId="181" formatCode="_-[$₩-412]* #,##0_-;\-[$₩-412]* #,##0_-;_-[$₩-412]* &quot;-&quot;_-;_-@_-"/>
            </x14:dxf>
          </x14:cfRule>
          <x14:cfRule type="expression" priority="1049" id="{973E0821-4318-4076-8B1F-00228CBD8475}">
            <xm:f>IF('Project information'!$A$13="CNY",TRUE)</xm:f>
            <x14:dxf>
              <numFmt numFmtId="178" formatCode="_(&quot;¥&quot;* #,##0_);_(&quot;¥&quot;* \(#,##0\);_(&quot;¥&quot;* &quot;-&quot;_);_(@_)"/>
            </x14:dxf>
          </x14:cfRule>
          <xm:sqref>V129:AA140</xm:sqref>
        </x14:conditionalFormatting>
        <x14:conditionalFormatting xmlns:xm="http://schemas.microsoft.com/office/excel/2006/main">
          <x14:cfRule type="cellIs" priority="1042" operator="notEqual" id="{7CC0255F-D511-4142-BCA3-0DBCEF775A9C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E66</xm:sqref>
        </x14:conditionalFormatting>
        <x14:conditionalFormatting xmlns:xm="http://schemas.microsoft.com/office/excel/2006/main">
          <x14:cfRule type="expression" priority="1029" id="{178F2FF5-5539-4C52-99F1-95069851CBF8}">
            <xm:f>IF('Project information'!$A$13="USD",TRUE)</xm:f>
            <x14:dxf>
              <numFmt numFmtId="199" formatCode="_-[$$-409]* #,##0_ ;_-[$$-409]* \-#,##0\ ;_-[$$-409]* &quot;-&quot;_ ;_-@_ "/>
            </x14:dxf>
          </x14:cfRule>
          <x14:cfRule type="expression" priority="1030" id="{4D5AF60C-4610-43B9-831F-A9AA5AD9D4AE}">
            <xm:f>IF('Project information'!$A$13="EUR",TRUE)</xm:f>
            <x14:dxf>
              <numFmt numFmtId="198" formatCode="_ [$€-2]\ * #,##0_ ;_ [$€-2]\ * \-#,##0_ ;_ [$€-2]\ * &quot;-&quot;_ ;_ @_ "/>
            </x14:dxf>
          </x14:cfRule>
          <x14:cfRule type="expression" priority="1031" id="{FCA55908-A714-4C8A-9081-74EDB69A4ECC}">
            <xm:f>IF('Project information'!$A$13="INR",TRUE)</xm:f>
            <x14:dxf>
              <numFmt numFmtId="191" formatCode="_ [$₹-4009]\ * #,##0_ ;_ [$₹-4009]\ * \-#,##0_ ;_ [$₹-4009]\ * &quot;-&quot;_ ;_ @_ "/>
            </x14:dxf>
          </x14:cfRule>
          <x14:cfRule type="expression" priority="1032" id="{43A4ED29-37BB-43A6-B8E6-6A5793401D9C}">
            <xm:f>IF('Project information'!$A$13="JPN",TRUE)</xm:f>
            <x14:dxf>
              <numFmt numFmtId="190" formatCode="_-[$¥-411]* #,##0_-;\-[$¥-411]* #,##0_-;_-[$¥-411]* &quot;-&quot;_-;_-@_-"/>
            </x14:dxf>
          </x14:cfRule>
          <x14:cfRule type="expression" priority="1033" id="{483DD037-2410-4DEF-8D93-2DBC993A7A01}">
            <xm:f>IF('Project information'!$A$13="KRW",TRUE)</xm:f>
            <x14:dxf>
              <numFmt numFmtId="181" formatCode="_-[$₩-412]* #,##0_-;\-[$₩-412]* #,##0_-;_-[$₩-412]* &quot;-&quot;_-;_-@_-"/>
            </x14:dxf>
          </x14:cfRule>
          <x14:cfRule type="expression" priority="1034" id="{792B32EA-C97F-47BE-80BF-2487433FD797}">
            <xm:f>IF('Project information'!$A$13="CNY",TRUE)</xm:f>
            <x14:dxf>
              <numFmt numFmtId="178" formatCode="_(&quot;¥&quot;* #,##0_);_(&quot;¥&quot;* \(#,##0\);_(&quot;¥&quot;* &quot;-&quot;_);_(@_)"/>
            </x14:dxf>
          </x14:cfRule>
          <xm:sqref>V66:AA66</xm:sqref>
        </x14:conditionalFormatting>
        <x14:conditionalFormatting xmlns:xm="http://schemas.microsoft.com/office/excel/2006/main">
          <x14:cfRule type="cellIs" priority="1028" operator="notEqual" id="{6710F69C-FB9F-405D-84EE-1D2696A31FCB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E67</xm:sqref>
        </x14:conditionalFormatting>
        <x14:conditionalFormatting xmlns:xm="http://schemas.microsoft.com/office/excel/2006/main">
          <x14:cfRule type="expression" priority="1015" id="{343EF5F0-03D0-4D7B-834E-EE8F800F34F4}">
            <xm:f>IF('Project information'!$A$13="USD",TRUE)</xm:f>
            <x14:dxf>
              <numFmt numFmtId="199" formatCode="_-[$$-409]* #,##0_ ;_-[$$-409]* \-#,##0\ ;_-[$$-409]* &quot;-&quot;_ ;_-@_ "/>
            </x14:dxf>
          </x14:cfRule>
          <x14:cfRule type="expression" priority="1016" id="{4BF3717C-80E4-4A84-B22E-F9202C7B2CB0}">
            <xm:f>IF('Project information'!$A$13="EUR",TRUE)</xm:f>
            <x14:dxf>
              <numFmt numFmtId="198" formatCode="_ [$€-2]\ * #,##0_ ;_ [$€-2]\ * \-#,##0_ ;_ [$€-2]\ * &quot;-&quot;_ ;_ @_ "/>
            </x14:dxf>
          </x14:cfRule>
          <x14:cfRule type="expression" priority="1017" id="{B8A9B543-CF5E-4531-A4F9-A8073AE71EBD}">
            <xm:f>IF('Project information'!$A$13="INR",TRUE)</xm:f>
            <x14:dxf>
              <numFmt numFmtId="191" formatCode="_ [$₹-4009]\ * #,##0_ ;_ [$₹-4009]\ * \-#,##0_ ;_ [$₹-4009]\ * &quot;-&quot;_ ;_ @_ "/>
            </x14:dxf>
          </x14:cfRule>
          <x14:cfRule type="expression" priority="1018" id="{4E1A1924-E41A-434E-8053-8351CB34F276}">
            <xm:f>IF('Project information'!$A$13="JPN",TRUE)</xm:f>
            <x14:dxf>
              <numFmt numFmtId="190" formatCode="_-[$¥-411]* #,##0_-;\-[$¥-411]* #,##0_-;_-[$¥-411]* &quot;-&quot;_-;_-@_-"/>
            </x14:dxf>
          </x14:cfRule>
          <x14:cfRule type="expression" priority="1019" id="{60E72267-5D30-4EFC-8373-B42D51D5D96F}">
            <xm:f>IF('Project information'!$A$13="KRW",TRUE)</xm:f>
            <x14:dxf>
              <numFmt numFmtId="181" formatCode="_-[$₩-412]* #,##0_-;\-[$₩-412]* #,##0_-;_-[$₩-412]* &quot;-&quot;_-;_-@_-"/>
            </x14:dxf>
          </x14:cfRule>
          <x14:cfRule type="expression" priority="1020" id="{A5927E6F-E670-491F-9B8A-E49D462812F0}">
            <xm:f>IF('Project information'!$A$13="CNY",TRUE)</xm:f>
            <x14:dxf>
              <numFmt numFmtId="178" formatCode="_(&quot;¥&quot;* #,##0_);_(&quot;¥&quot;* \(#,##0\);_(&quot;¥&quot;* &quot;-&quot;_);_(@_)"/>
            </x14:dxf>
          </x14:cfRule>
          <xm:sqref>V67:AA67</xm:sqref>
        </x14:conditionalFormatting>
        <x14:conditionalFormatting xmlns:xm="http://schemas.microsoft.com/office/excel/2006/main">
          <x14:cfRule type="cellIs" priority="1013" operator="notEqual" id="{A133200D-649F-4A78-B6AB-F79CF5E7ECEF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E64</xm:sqref>
        </x14:conditionalFormatting>
        <x14:conditionalFormatting xmlns:xm="http://schemas.microsoft.com/office/excel/2006/main">
          <x14:cfRule type="expression" priority="1000" id="{8D78DCD2-DBDB-422D-881C-3110EA181FF0}">
            <xm:f>IF('Project information'!$A$13="USD",TRUE)</xm:f>
            <x14:dxf>
              <numFmt numFmtId="199" formatCode="_-[$$-409]* #,##0_ ;_-[$$-409]* \-#,##0\ ;_-[$$-409]* &quot;-&quot;_ ;_-@_ "/>
            </x14:dxf>
          </x14:cfRule>
          <x14:cfRule type="expression" priority="1001" id="{1592F27F-CC89-41F6-BD62-1EC63B49ABDF}">
            <xm:f>IF('Project information'!$A$13="EUR",TRUE)</xm:f>
            <x14:dxf>
              <numFmt numFmtId="198" formatCode="_ [$€-2]\ * #,##0_ ;_ [$€-2]\ * \-#,##0_ ;_ [$€-2]\ * &quot;-&quot;_ ;_ @_ "/>
            </x14:dxf>
          </x14:cfRule>
          <x14:cfRule type="expression" priority="1002" id="{4A46D67B-41C7-4268-BFBF-34C4ADC98E6B}">
            <xm:f>IF('Project information'!$A$13="INR",TRUE)</xm:f>
            <x14:dxf>
              <numFmt numFmtId="191" formatCode="_ [$₹-4009]\ * #,##0_ ;_ [$₹-4009]\ * \-#,##0_ ;_ [$₹-4009]\ * &quot;-&quot;_ ;_ @_ "/>
            </x14:dxf>
          </x14:cfRule>
          <x14:cfRule type="expression" priority="1003" id="{D91BA779-21A4-40AD-8C90-CA7FAA0AD392}">
            <xm:f>IF('Project information'!$A$13="JPN",TRUE)</xm:f>
            <x14:dxf>
              <numFmt numFmtId="190" formatCode="_-[$¥-411]* #,##0_-;\-[$¥-411]* #,##0_-;_-[$¥-411]* &quot;-&quot;_-;_-@_-"/>
            </x14:dxf>
          </x14:cfRule>
          <x14:cfRule type="expression" priority="1004" id="{F68C8B29-922A-440D-AE98-5708EBCD6F4D}">
            <xm:f>IF('Project information'!$A$13="KRW",TRUE)</xm:f>
            <x14:dxf>
              <numFmt numFmtId="181" formatCode="_-[$₩-412]* #,##0_-;\-[$₩-412]* #,##0_-;_-[$₩-412]* &quot;-&quot;_-;_-@_-"/>
            </x14:dxf>
          </x14:cfRule>
          <x14:cfRule type="expression" priority="1005" id="{D7F096EF-0D47-4563-8B4B-3C9715F1C360}">
            <xm:f>IF('Project information'!$A$13="CNY",TRUE)</xm:f>
            <x14:dxf>
              <numFmt numFmtId="178" formatCode="_(&quot;¥&quot;* #,##0_);_(&quot;¥&quot;* \(#,##0\);_(&quot;¥&quot;* &quot;-&quot;_);_(@_)"/>
            </x14:dxf>
          </x14:cfRule>
          <xm:sqref>V64:AA64</xm:sqref>
        </x14:conditionalFormatting>
        <x14:conditionalFormatting xmlns:xm="http://schemas.microsoft.com/office/excel/2006/main">
          <x14:cfRule type="cellIs" priority="999" operator="notEqual" id="{3941DE4D-5184-4AA9-BD68-874FE07119A7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E65</xm:sqref>
        </x14:conditionalFormatting>
        <x14:conditionalFormatting xmlns:xm="http://schemas.microsoft.com/office/excel/2006/main">
          <x14:cfRule type="expression" priority="986" id="{B501E8C2-2FF5-4CCD-894C-298673FB24AB}">
            <xm:f>IF('Project information'!$A$13="USD",TRUE)</xm:f>
            <x14:dxf>
              <numFmt numFmtId="199" formatCode="_-[$$-409]* #,##0_ ;_-[$$-409]* \-#,##0\ ;_-[$$-409]* &quot;-&quot;_ ;_-@_ "/>
            </x14:dxf>
          </x14:cfRule>
          <x14:cfRule type="expression" priority="987" id="{DBB3C534-87E0-454C-A5D0-D6CBFD9C29BE}">
            <xm:f>IF('Project information'!$A$13="EUR",TRUE)</xm:f>
            <x14:dxf>
              <numFmt numFmtId="198" formatCode="_ [$€-2]\ * #,##0_ ;_ [$€-2]\ * \-#,##0_ ;_ [$€-2]\ * &quot;-&quot;_ ;_ @_ "/>
            </x14:dxf>
          </x14:cfRule>
          <x14:cfRule type="expression" priority="988" id="{4D15303D-4662-4118-BFEE-AA9939CE88CA}">
            <xm:f>IF('Project information'!$A$13="INR",TRUE)</xm:f>
            <x14:dxf>
              <numFmt numFmtId="191" formatCode="_ [$₹-4009]\ * #,##0_ ;_ [$₹-4009]\ * \-#,##0_ ;_ [$₹-4009]\ * &quot;-&quot;_ ;_ @_ "/>
            </x14:dxf>
          </x14:cfRule>
          <x14:cfRule type="expression" priority="989" id="{7A63DD55-1E21-4501-83C0-2B2C65B82572}">
            <xm:f>IF('Project information'!$A$13="JPN",TRUE)</xm:f>
            <x14:dxf>
              <numFmt numFmtId="190" formatCode="_-[$¥-411]* #,##0_-;\-[$¥-411]* #,##0_-;_-[$¥-411]* &quot;-&quot;_-;_-@_-"/>
            </x14:dxf>
          </x14:cfRule>
          <x14:cfRule type="expression" priority="990" id="{9698C33A-58DD-4BA4-8211-CCD6034886F1}">
            <xm:f>IF('Project information'!$A$13="KRW",TRUE)</xm:f>
            <x14:dxf>
              <numFmt numFmtId="181" formatCode="_-[$₩-412]* #,##0_-;\-[$₩-412]* #,##0_-;_-[$₩-412]* &quot;-&quot;_-;_-@_-"/>
            </x14:dxf>
          </x14:cfRule>
          <x14:cfRule type="expression" priority="991" id="{0E475FB5-1E22-400F-9A9A-8FBB7BAA5E7C}">
            <xm:f>IF('Project information'!$A$13="CNY",TRUE)</xm:f>
            <x14:dxf>
              <numFmt numFmtId="178" formatCode="_(&quot;¥&quot;* #,##0_);_(&quot;¥&quot;* \(#,##0\);_(&quot;¥&quot;* &quot;-&quot;_);_(@_)"/>
            </x14:dxf>
          </x14:cfRule>
          <xm:sqref>V65:AA65</xm:sqref>
        </x14:conditionalFormatting>
        <x14:conditionalFormatting xmlns:xm="http://schemas.microsoft.com/office/excel/2006/main">
          <x14:cfRule type="cellIs" priority="984" operator="notEqual" id="{C0D1C2ED-34D7-4202-B5DB-C069438BBB4F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E68</xm:sqref>
        </x14:conditionalFormatting>
        <x14:conditionalFormatting xmlns:xm="http://schemas.microsoft.com/office/excel/2006/main">
          <x14:cfRule type="expression" priority="971" id="{3AEDAC5C-7679-435D-8EAD-AC59F3EC9D5D}">
            <xm:f>IF('Project information'!$A$13="USD",TRUE)</xm:f>
            <x14:dxf>
              <numFmt numFmtId="199" formatCode="_-[$$-409]* #,##0_ ;_-[$$-409]* \-#,##0\ ;_-[$$-409]* &quot;-&quot;_ ;_-@_ "/>
            </x14:dxf>
          </x14:cfRule>
          <x14:cfRule type="expression" priority="972" id="{B2328835-D1E2-4241-8D12-090B5DA232A2}">
            <xm:f>IF('Project information'!$A$13="EUR",TRUE)</xm:f>
            <x14:dxf>
              <numFmt numFmtId="198" formatCode="_ [$€-2]\ * #,##0_ ;_ [$€-2]\ * \-#,##0_ ;_ [$€-2]\ * &quot;-&quot;_ ;_ @_ "/>
            </x14:dxf>
          </x14:cfRule>
          <x14:cfRule type="expression" priority="973" id="{19182912-EECC-4720-A359-3949385A6213}">
            <xm:f>IF('Project information'!$A$13="INR",TRUE)</xm:f>
            <x14:dxf>
              <numFmt numFmtId="191" formatCode="_ [$₹-4009]\ * #,##0_ ;_ [$₹-4009]\ * \-#,##0_ ;_ [$₹-4009]\ * &quot;-&quot;_ ;_ @_ "/>
            </x14:dxf>
          </x14:cfRule>
          <x14:cfRule type="expression" priority="974" id="{43700622-EBC8-48CC-8D19-9724C3D05907}">
            <xm:f>IF('Project information'!$A$13="JPN",TRUE)</xm:f>
            <x14:dxf>
              <numFmt numFmtId="190" formatCode="_-[$¥-411]* #,##0_-;\-[$¥-411]* #,##0_-;_-[$¥-411]* &quot;-&quot;_-;_-@_-"/>
            </x14:dxf>
          </x14:cfRule>
          <x14:cfRule type="expression" priority="975" id="{422BDAC1-32D8-4552-B70E-BD01511377F6}">
            <xm:f>IF('Project information'!$A$13="KRW",TRUE)</xm:f>
            <x14:dxf>
              <numFmt numFmtId="181" formatCode="_-[$₩-412]* #,##0_-;\-[$₩-412]* #,##0_-;_-[$₩-412]* &quot;-&quot;_-;_-@_-"/>
            </x14:dxf>
          </x14:cfRule>
          <x14:cfRule type="expression" priority="976" id="{49BCAE40-5769-4976-AF8B-78890275154C}">
            <xm:f>IF('Project information'!$A$13="CNY",TRUE)</xm:f>
            <x14:dxf>
              <numFmt numFmtId="178" formatCode="_(&quot;¥&quot;* #,##0_);_(&quot;¥&quot;* \(#,##0\);_(&quot;¥&quot;* &quot;-&quot;_);_(@_)"/>
            </x14:dxf>
          </x14:cfRule>
          <xm:sqref>V68:AA68</xm:sqref>
        </x14:conditionalFormatting>
        <x14:conditionalFormatting xmlns:xm="http://schemas.microsoft.com/office/excel/2006/main">
          <x14:cfRule type="cellIs" priority="970" operator="notEqual" id="{F3A228E0-4070-42F2-AA1F-1F2C23069E61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E69</xm:sqref>
        </x14:conditionalFormatting>
        <x14:conditionalFormatting xmlns:xm="http://schemas.microsoft.com/office/excel/2006/main">
          <x14:cfRule type="expression" priority="957" id="{519B9E36-0BA8-4008-AC0F-D6BC7A8120C1}">
            <xm:f>IF('Project information'!$A$13="USD",TRUE)</xm:f>
            <x14:dxf>
              <numFmt numFmtId="199" formatCode="_-[$$-409]* #,##0_ ;_-[$$-409]* \-#,##0\ ;_-[$$-409]* &quot;-&quot;_ ;_-@_ "/>
            </x14:dxf>
          </x14:cfRule>
          <x14:cfRule type="expression" priority="958" id="{8CD96846-9FD9-437F-803A-B233B0A53B44}">
            <xm:f>IF('Project information'!$A$13="EUR",TRUE)</xm:f>
            <x14:dxf>
              <numFmt numFmtId="198" formatCode="_ [$€-2]\ * #,##0_ ;_ [$€-2]\ * \-#,##0_ ;_ [$€-2]\ * &quot;-&quot;_ ;_ @_ "/>
            </x14:dxf>
          </x14:cfRule>
          <x14:cfRule type="expression" priority="959" id="{46B6933D-57AC-4FF3-AEB3-88E5D2F31EFC}">
            <xm:f>IF('Project information'!$A$13="INR",TRUE)</xm:f>
            <x14:dxf>
              <numFmt numFmtId="191" formatCode="_ [$₹-4009]\ * #,##0_ ;_ [$₹-4009]\ * \-#,##0_ ;_ [$₹-4009]\ * &quot;-&quot;_ ;_ @_ "/>
            </x14:dxf>
          </x14:cfRule>
          <x14:cfRule type="expression" priority="960" id="{91BBB2DC-1F7C-404F-8B20-1116247CBE26}">
            <xm:f>IF('Project information'!$A$13="JPN",TRUE)</xm:f>
            <x14:dxf>
              <numFmt numFmtId="190" formatCode="_-[$¥-411]* #,##0_-;\-[$¥-411]* #,##0_-;_-[$¥-411]* &quot;-&quot;_-;_-@_-"/>
            </x14:dxf>
          </x14:cfRule>
          <x14:cfRule type="expression" priority="961" id="{591C1730-935C-4B6E-8C9F-6ED1BB5E52AC}">
            <xm:f>IF('Project information'!$A$13="KRW",TRUE)</xm:f>
            <x14:dxf>
              <numFmt numFmtId="181" formatCode="_-[$₩-412]* #,##0_-;\-[$₩-412]* #,##0_-;_-[$₩-412]* &quot;-&quot;_-;_-@_-"/>
            </x14:dxf>
          </x14:cfRule>
          <x14:cfRule type="expression" priority="962" id="{2443D0D4-4473-4D0D-B8B6-F6AEB9F1945B}">
            <xm:f>IF('Project information'!$A$13="CNY",TRUE)</xm:f>
            <x14:dxf>
              <numFmt numFmtId="178" formatCode="_(&quot;¥&quot;* #,##0_);_(&quot;¥&quot;* \(#,##0\);_(&quot;¥&quot;* &quot;-&quot;_);_(@_)"/>
            </x14:dxf>
          </x14:cfRule>
          <xm:sqref>V69:AA69</xm:sqref>
        </x14:conditionalFormatting>
        <x14:conditionalFormatting xmlns:xm="http://schemas.microsoft.com/office/excel/2006/main">
          <x14:cfRule type="cellIs" priority="875" operator="notEqual" id="{5ECE44BA-E8F3-4005-82B2-6DC5E4964491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E101</xm:sqref>
        </x14:conditionalFormatting>
        <x14:conditionalFormatting xmlns:xm="http://schemas.microsoft.com/office/excel/2006/main">
          <x14:cfRule type="expression" priority="862" id="{6EA57A8B-970B-46F8-BDC4-E29611397D1C}">
            <xm:f>IF('Project information'!$A$13="USD",TRUE)</xm:f>
            <x14:dxf>
              <numFmt numFmtId="199" formatCode="_-[$$-409]* #,##0_ ;_-[$$-409]* \-#,##0\ ;_-[$$-409]* &quot;-&quot;_ ;_-@_ "/>
            </x14:dxf>
          </x14:cfRule>
          <x14:cfRule type="expression" priority="863" id="{3EFD2F1F-327D-48EC-8074-7675048EFD99}">
            <xm:f>IF('Project information'!$A$13="EUR",TRUE)</xm:f>
            <x14:dxf>
              <numFmt numFmtId="198" formatCode="_ [$€-2]\ * #,##0_ ;_ [$€-2]\ * \-#,##0_ ;_ [$€-2]\ * &quot;-&quot;_ ;_ @_ "/>
            </x14:dxf>
          </x14:cfRule>
          <x14:cfRule type="expression" priority="864" id="{30CA8142-B8D9-443E-AE0D-0CFD309C843A}">
            <xm:f>IF('Project information'!$A$13="INR",TRUE)</xm:f>
            <x14:dxf>
              <numFmt numFmtId="191" formatCode="_ [$₹-4009]\ * #,##0_ ;_ [$₹-4009]\ * \-#,##0_ ;_ [$₹-4009]\ * &quot;-&quot;_ ;_ @_ "/>
            </x14:dxf>
          </x14:cfRule>
          <x14:cfRule type="expression" priority="865" id="{F4F1D141-E25E-40BE-A996-DECC59AC93EE}">
            <xm:f>IF('Project information'!$A$13="JPN",TRUE)</xm:f>
            <x14:dxf>
              <numFmt numFmtId="190" formatCode="_-[$¥-411]* #,##0_-;\-[$¥-411]* #,##0_-;_-[$¥-411]* &quot;-&quot;_-;_-@_-"/>
            </x14:dxf>
          </x14:cfRule>
          <x14:cfRule type="expression" priority="866" id="{C0C845A0-5828-4769-BC04-3DF9AD17C411}">
            <xm:f>IF('Project information'!$A$13="KRW",TRUE)</xm:f>
            <x14:dxf>
              <numFmt numFmtId="181" formatCode="_-[$₩-412]* #,##0_-;\-[$₩-412]* #,##0_-;_-[$₩-412]* &quot;-&quot;_-;_-@_-"/>
            </x14:dxf>
          </x14:cfRule>
          <x14:cfRule type="expression" priority="867" id="{7BBD221F-7081-4DCD-9F2C-EAFCFC4A95CD}">
            <xm:f>IF('Project information'!$A$13="CNY",TRUE)</xm:f>
            <x14:dxf>
              <numFmt numFmtId="178" formatCode="_(&quot;¥&quot;* #,##0_);_(&quot;¥&quot;* \(#,##0\);_(&quot;¥&quot;* &quot;-&quot;_);_(@_)"/>
            </x14:dxf>
          </x14:cfRule>
          <xm:sqref>V101:AA101</xm:sqref>
        </x14:conditionalFormatting>
        <x14:conditionalFormatting xmlns:xm="http://schemas.microsoft.com/office/excel/2006/main">
          <x14:cfRule type="cellIs" priority="859" operator="notEqual" id="{AAC50A16-8094-4413-806E-CB9D59B230CD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E100</xm:sqref>
        </x14:conditionalFormatting>
        <x14:conditionalFormatting xmlns:xm="http://schemas.microsoft.com/office/excel/2006/main">
          <x14:cfRule type="expression" priority="846" id="{70C36421-E530-4FE5-BE28-6861D15FC548}">
            <xm:f>IF('Project information'!$A$13="USD",TRUE)</xm:f>
            <x14:dxf>
              <numFmt numFmtId="199" formatCode="_-[$$-409]* #,##0_ ;_-[$$-409]* \-#,##0\ ;_-[$$-409]* &quot;-&quot;_ ;_-@_ "/>
            </x14:dxf>
          </x14:cfRule>
          <x14:cfRule type="expression" priority="847" id="{EA941284-C64F-423F-9CDE-B5E36A05B93D}">
            <xm:f>IF('Project information'!$A$13="EUR",TRUE)</xm:f>
            <x14:dxf>
              <numFmt numFmtId="198" formatCode="_ [$€-2]\ * #,##0_ ;_ [$€-2]\ * \-#,##0_ ;_ [$€-2]\ * &quot;-&quot;_ ;_ @_ "/>
            </x14:dxf>
          </x14:cfRule>
          <x14:cfRule type="expression" priority="848" id="{832E28A3-2673-4961-9E19-BD655FEF5D41}">
            <xm:f>IF('Project information'!$A$13="INR",TRUE)</xm:f>
            <x14:dxf>
              <numFmt numFmtId="191" formatCode="_ [$₹-4009]\ * #,##0_ ;_ [$₹-4009]\ * \-#,##0_ ;_ [$₹-4009]\ * &quot;-&quot;_ ;_ @_ "/>
            </x14:dxf>
          </x14:cfRule>
          <x14:cfRule type="expression" priority="849" id="{3CF2F039-1161-4302-B42F-ED8587DA0B56}">
            <xm:f>IF('Project information'!$A$13="JPN",TRUE)</xm:f>
            <x14:dxf>
              <numFmt numFmtId="190" formatCode="_-[$¥-411]* #,##0_-;\-[$¥-411]* #,##0_-;_-[$¥-411]* &quot;-&quot;_-;_-@_-"/>
            </x14:dxf>
          </x14:cfRule>
          <x14:cfRule type="expression" priority="850" id="{DAA8AC3F-FF6C-411D-AC9F-C60D266842D8}">
            <xm:f>IF('Project information'!$A$13="KRW",TRUE)</xm:f>
            <x14:dxf>
              <numFmt numFmtId="181" formatCode="_-[$₩-412]* #,##0_-;\-[$₩-412]* #,##0_-;_-[$₩-412]* &quot;-&quot;_-;_-@_-"/>
            </x14:dxf>
          </x14:cfRule>
          <x14:cfRule type="expression" priority="851" id="{C275CF22-5D7C-4274-B40F-0F7BF55B83B6}">
            <xm:f>IF('Project information'!$A$13="CNY",TRUE)</xm:f>
            <x14:dxf>
              <numFmt numFmtId="178" formatCode="_(&quot;¥&quot;* #,##0_);_(&quot;¥&quot;* \(#,##0\);_(&quot;¥&quot;* &quot;-&quot;_);_(@_)"/>
            </x14:dxf>
          </x14:cfRule>
          <xm:sqref>V100:AA100</xm:sqref>
        </x14:conditionalFormatting>
        <x14:conditionalFormatting xmlns:xm="http://schemas.microsoft.com/office/excel/2006/main">
          <x14:cfRule type="cellIs" priority="843" operator="notEqual" id="{FD7D5826-FCC4-4CDB-8541-E8652E26A660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E99</xm:sqref>
        </x14:conditionalFormatting>
        <x14:conditionalFormatting xmlns:xm="http://schemas.microsoft.com/office/excel/2006/main">
          <x14:cfRule type="expression" priority="830" id="{59E65E16-EF43-4E82-ABE7-6CE1B6A6F329}">
            <xm:f>IF('Project information'!$A$13="USD",TRUE)</xm:f>
            <x14:dxf>
              <numFmt numFmtId="199" formatCode="_-[$$-409]* #,##0_ ;_-[$$-409]* \-#,##0\ ;_-[$$-409]* &quot;-&quot;_ ;_-@_ "/>
            </x14:dxf>
          </x14:cfRule>
          <x14:cfRule type="expression" priority="831" id="{2055EAE3-6F82-42E5-AEE0-19A88ADFADB8}">
            <xm:f>IF('Project information'!$A$13="EUR",TRUE)</xm:f>
            <x14:dxf>
              <numFmt numFmtId="198" formatCode="_ [$€-2]\ * #,##0_ ;_ [$€-2]\ * \-#,##0_ ;_ [$€-2]\ * &quot;-&quot;_ ;_ @_ "/>
            </x14:dxf>
          </x14:cfRule>
          <x14:cfRule type="expression" priority="832" id="{490C22AD-7B8C-49F4-B7A9-6FD96E626B81}">
            <xm:f>IF('Project information'!$A$13="INR",TRUE)</xm:f>
            <x14:dxf>
              <numFmt numFmtId="191" formatCode="_ [$₹-4009]\ * #,##0_ ;_ [$₹-4009]\ * \-#,##0_ ;_ [$₹-4009]\ * &quot;-&quot;_ ;_ @_ "/>
            </x14:dxf>
          </x14:cfRule>
          <x14:cfRule type="expression" priority="833" id="{79157785-0274-4F25-9F6F-DFC71B696F9D}">
            <xm:f>IF('Project information'!$A$13="JPN",TRUE)</xm:f>
            <x14:dxf>
              <numFmt numFmtId="190" formatCode="_-[$¥-411]* #,##0_-;\-[$¥-411]* #,##0_-;_-[$¥-411]* &quot;-&quot;_-;_-@_-"/>
            </x14:dxf>
          </x14:cfRule>
          <x14:cfRule type="expression" priority="834" id="{21519A19-1138-4A12-B6BD-FEEE692BC900}">
            <xm:f>IF('Project information'!$A$13="KRW",TRUE)</xm:f>
            <x14:dxf>
              <numFmt numFmtId="181" formatCode="_-[$₩-412]* #,##0_-;\-[$₩-412]* #,##0_-;_-[$₩-412]* &quot;-&quot;_-;_-@_-"/>
            </x14:dxf>
          </x14:cfRule>
          <x14:cfRule type="expression" priority="835" id="{F46D1DC3-BBB0-49B9-97D9-906B1F6EEB7B}">
            <xm:f>IF('Project information'!$A$13="CNY",TRUE)</xm:f>
            <x14:dxf>
              <numFmt numFmtId="178" formatCode="_(&quot;¥&quot;* #,##0_);_(&quot;¥&quot;* \(#,##0\);_(&quot;¥&quot;* &quot;-&quot;_);_(@_)"/>
            </x14:dxf>
          </x14:cfRule>
          <xm:sqref>V99:AA99</xm:sqref>
        </x14:conditionalFormatting>
        <x14:conditionalFormatting xmlns:xm="http://schemas.microsoft.com/office/excel/2006/main">
          <x14:cfRule type="cellIs" priority="827" operator="notEqual" id="{95450D1D-C044-4BF0-9BF0-D0BEE02355CC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E98</xm:sqref>
        </x14:conditionalFormatting>
        <x14:conditionalFormatting xmlns:xm="http://schemas.microsoft.com/office/excel/2006/main">
          <x14:cfRule type="expression" priority="814" id="{96FFE4D9-7FCB-4DBE-A1D8-9FFDFD25CA30}">
            <xm:f>IF('Project information'!$A$13="USD",TRUE)</xm:f>
            <x14:dxf>
              <numFmt numFmtId="199" formatCode="_-[$$-409]* #,##0_ ;_-[$$-409]* \-#,##0\ ;_-[$$-409]* &quot;-&quot;_ ;_-@_ "/>
            </x14:dxf>
          </x14:cfRule>
          <x14:cfRule type="expression" priority="815" id="{9108CA6F-A692-4BE4-9B29-B06CDDCC9881}">
            <xm:f>IF('Project information'!$A$13="EUR",TRUE)</xm:f>
            <x14:dxf>
              <numFmt numFmtId="198" formatCode="_ [$€-2]\ * #,##0_ ;_ [$€-2]\ * \-#,##0_ ;_ [$€-2]\ * &quot;-&quot;_ ;_ @_ "/>
            </x14:dxf>
          </x14:cfRule>
          <x14:cfRule type="expression" priority="816" id="{5F782934-26D3-4DBC-9528-D63C8205A052}">
            <xm:f>IF('Project information'!$A$13="INR",TRUE)</xm:f>
            <x14:dxf>
              <numFmt numFmtId="191" formatCode="_ [$₹-4009]\ * #,##0_ ;_ [$₹-4009]\ * \-#,##0_ ;_ [$₹-4009]\ * &quot;-&quot;_ ;_ @_ "/>
            </x14:dxf>
          </x14:cfRule>
          <x14:cfRule type="expression" priority="817" id="{3248D1AF-5AA8-4F14-BDD9-D98AC1B0337A}">
            <xm:f>IF('Project information'!$A$13="JPN",TRUE)</xm:f>
            <x14:dxf>
              <numFmt numFmtId="190" formatCode="_-[$¥-411]* #,##0_-;\-[$¥-411]* #,##0_-;_-[$¥-411]* &quot;-&quot;_-;_-@_-"/>
            </x14:dxf>
          </x14:cfRule>
          <x14:cfRule type="expression" priority="818" id="{A0D49A91-ACC9-4ADA-8FE2-1FDF4AA0A555}">
            <xm:f>IF('Project information'!$A$13="KRW",TRUE)</xm:f>
            <x14:dxf>
              <numFmt numFmtId="181" formatCode="_-[$₩-412]* #,##0_-;\-[$₩-412]* #,##0_-;_-[$₩-412]* &quot;-&quot;_-;_-@_-"/>
            </x14:dxf>
          </x14:cfRule>
          <x14:cfRule type="expression" priority="819" id="{33AAD1D7-EBDF-4DFC-82C6-7432F2765560}">
            <xm:f>IF('Project information'!$A$13="CNY",TRUE)</xm:f>
            <x14:dxf>
              <numFmt numFmtId="178" formatCode="_(&quot;¥&quot;* #,##0_);_(&quot;¥&quot;* \(#,##0\);_(&quot;¥&quot;* &quot;-&quot;_);_(@_)"/>
            </x14:dxf>
          </x14:cfRule>
          <xm:sqref>V98:AA98</xm:sqref>
        </x14:conditionalFormatting>
        <x14:conditionalFormatting xmlns:xm="http://schemas.microsoft.com/office/excel/2006/main">
          <x14:cfRule type="cellIs" priority="811" operator="notEqual" id="{B2AAD6A7-FBD5-4F68-AFC2-0BB0DD0CC7D6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E97</xm:sqref>
        </x14:conditionalFormatting>
        <x14:conditionalFormatting xmlns:xm="http://schemas.microsoft.com/office/excel/2006/main">
          <x14:cfRule type="expression" priority="798" id="{54251CCC-0122-424D-9EED-139CEE59D46C}">
            <xm:f>IF('Project information'!$A$13="USD",TRUE)</xm:f>
            <x14:dxf>
              <numFmt numFmtId="199" formatCode="_-[$$-409]* #,##0_ ;_-[$$-409]* \-#,##0\ ;_-[$$-409]* &quot;-&quot;_ ;_-@_ "/>
            </x14:dxf>
          </x14:cfRule>
          <x14:cfRule type="expression" priority="799" id="{97E1B5F9-EFFC-4536-AA16-87AFBB5FBA4E}">
            <xm:f>IF('Project information'!$A$13="EUR",TRUE)</xm:f>
            <x14:dxf>
              <numFmt numFmtId="198" formatCode="_ [$€-2]\ * #,##0_ ;_ [$€-2]\ * \-#,##0_ ;_ [$€-2]\ * &quot;-&quot;_ ;_ @_ "/>
            </x14:dxf>
          </x14:cfRule>
          <x14:cfRule type="expression" priority="800" id="{61C64487-E7B5-49A1-8A07-79F4880BC2DA}">
            <xm:f>IF('Project information'!$A$13="INR",TRUE)</xm:f>
            <x14:dxf>
              <numFmt numFmtId="191" formatCode="_ [$₹-4009]\ * #,##0_ ;_ [$₹-4009]\ * \-#,##0_ ;_ [$₹-4009]\ * &quot;-&quot;_ ;_ @_ "/>
            </x14:dxf>
          </x14:cfRule>
          <x14:cfRule type="expression" priority="801" id="{9E27A864-4262-452D-91A4-4D22F00B7520}">
            <xm:f>IF('Project information'!$A$13="JPN",TRUE)</xm:f>
            <x14:dxf>
              <numFmt numFmtId="190" formatCode="_-[$¥-411]* #,##0_-;\-[$¥-411]* #,##0_-;_-[$¥-411]* &quot;-&quot;_-;_-@_-"/>
            </x14:dxf>
          </x14:cfRule>
          <x14:cfRule type="expression" priority="802" id="{4E745EAE-33A8-4C92-AA3E-A21EB8314455}">
            <xm:f>IF('Project information'!$A$13="KRW",TRUE)</xm:f>
            <x14:dxf>
              <numFmt numFmtId="181" formatCode="_-[$₩-412]* #,##0_-;\-[$₩-412]* #,##0_-;_-[$₩-412]* &quot;-&quot;_-;_-@_-"/>
            </x14:dxf>
          </x14:cfRule>
          <x14:cfRule type="expression" priority="803" id="{C210E3EF-582C-4C8C-9C5E-12A4C0A48E61}">
            <xm:f>IF('Project information'!$A$13="CNY",TRUE)</xm:f>
            <x14:dxf>
              <numFmt numFmtId="178" formatCode="_(&quot;¥&quot;* #,##0_);_(&quot;¥&quot;* \(#,##0\);_(&quot;¥&quot;* &quot;-&quot;_);_(@_)"/>
            </x14:dxf>
          </x14:cfRule>
          <xm:sqref>V97:AA97</xm:sqref>
        </x14:conditionalFormatting>
        <x14:conditionalFormatting xmlns:xm="http://schemas.microsoft.com/office/excel/2006/main">
          <x14:cfRule type="cellIs" priority="795" operator="notEqual" id="{75D0D60A-06D1-4180-97C1-817BE159A54C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E96</xm:sqref>
        </x14:conditionalFormatting>
        <x14:conditionalFormatting xmlns:xm="http://schemas.microsoft.com/office/excel/2006/main">
          <x14:cfRule type="expression" priority="782" id="{A60B66CF-481F-438D-B03B-67F1A052844E}">
            <xm:f>IF('Project information'!$A$13="USD",TRUE)</xm:f>
            <x14:dxf>
              <numFmt numFmtId="199" formatCode="_-[$$-409]* #,##0_ ;_-[$$-409]* \-#,##0\ ;_-[$$-409]* &quot;-&quot;_ ;_-@_ "/>
            </x14:dxf>
          </x14:cfRule>
          <x14:cfRule type="expression" priority="783" id="{E91AF71D-37F7-46F4-AFF8-AE4FA72451D6}">
            <xm:f>IF('Project information'!$A$13="EUR",TRUE)</xm:f>
            <x14:dxf>
              <numFmt numFmtId="198" formatCode="_ [$€-2]\ * #,##0_ ;_ [$€-2]\ * \-#,##0_ ;_ [$€-2]\ * &quot;-&quot;_ ;_ @_ "/>
            </x14:dxf>
          </x14:cfRule>
          <x14:cfRule type="expression" priority="784" id="{13FF9BAC-5675-4A5C-9182-34905E034C8D}">
            <xm:f>IF('Project information'!$A$13="INR",TRUE)</xm:f>
            <x14:dxf>
              <numFmt numFmtId="191" formatCode="_ [$₹-4009]\ * #,##0_ ;_ [$₹-4009]\ * \-#,##0_ ;_ [$₹-4009]\ * &quot;-&quot;_ ;_ @_ "/>
            </x14:dxf>
          </x14:cfRule>
          <x14:cfRule type="expression" priority="785" id="{3BE391DB-5591-4700-9467-EEA4C23B64F5}">
            <xm:f>IF('Project information'!$A$13="JPN",TRUE)</xm:f>
            <x14:dxf>
              <numFmt numFmtId="190" formatCode="_-[$¥-411]* #,##0_-;\-[$¥-411]* #,##0_-;_-[$¥-411]* &quot;-&quot;_-;_-@_-"/>
            </x14:dxf>
          </x14:cfRule>
          <x14:cfRule type="expression" priority="786" id="{B8921317-73E8-4652-A9AA-AE5D221846C2}">
            <xm:f>IF('Project information'!$A$13="KRW",TRUE)</xm:f>
            <x14:dxf>
              <numFmt numFmtId="181" formatCode="_-[$₩-412]* #,##0_-;\-[$₩-412]* #,##0_-;_-[$₩-412]* &quot;-&quot;_-;_-@_-"/>
            </x14:dxf>
          </x14:cfRule>
          <x14:cfRule type="expression" priority="787" id="{943915D6-9041-41C3-A4FB-6844C71D7341}">
            <xm:f>IF('Project information'!$A$13="CNY",TRUE)</xm:f>
            <x14:dxf>
              <numFmt numFmtId="178" formatCode="_(&quot;¥&quot;* #,##0_);_(&quot;¥&quot;* \(#,##0\);_(&quot;¥&quot;* &quot;-&quot;_);_(@_)"/>
            </x14:dxf>
          </x14:cfRule>
          <xm:sqref>V96:AA96</xm:sqref>
        </x14:conditionalFormatting>
        <x14:conditionalFormatting xmlns:xm="http://schemas.microsoft.com/office/excel/2006/main">
          <x14:cfRule type="cellIs" priority="779" operator="notEqual" id="{FEA525F0-09EA-46EE-BD70-727F03613198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E95</xm:sqref>
        </x14:conditionalFormatting>
        <x14:conditionalFormatting xmlns:xm="http://schemas.microsoft.com/office/excel/2006/main">
          <x14:cfRule type="expression" priority="766" id="{44D71A25-6489-4143-A8E8-D54B58573F2A}">
            <xm:f>IF('Project information'!$A$13="USD",TRUE)</xm:f>
            <x14:dxf>
              <numFmt numFmtId="199" formatCode="_-[$$-409]* #,##0_ ;_-[$$-409]* \-#,##0\ ;_-[$$-409]* &quot;-&quot;_ ;_-@_ "/>
            </x14:dxf>
          </x14:cfRule>
          <x14:cfRule type="expression" priority="767" id="{19956495-9205-4295-802F-3D05A425FAB4}">
            <xm:f>IF('Project information'!$A$13="EUR",TRUE)</xm:f>
            <x14:dxf>
              <numFmt numFmtId="198" formatCode="_ [$€-2]\ * #,##0_ ;_ [$€-2]\ * \-#,##0_ ;_ [$€-2]\ * &quot;-&quot;_ ;_ @_ "/>
            </x14:dxf>
          </x14:cfRule>
          <x14:cfRule type="expression" priority="768" id="{223FB437-C00D-4E34-A07F-6D252E83278D}">
            <xm:f>IF('Project information'!$A$13="INR",TRUE)</xm:f>
            <x14:dxf>
              <numFmt numFmtId="191" formatCode="_ [$₹-4009]\ * #,##0_ ;_ [$₹-4009]\ * \-#,##0_ ;_ [$₹-4009]\ * &quot;-&quot;_ ;_ @_ "/>
            </x14:dxf>
          </x14:cfRule>
          <x14:cfRule type="expression" priority="769" id="{B675A5F6-1647-4103-80D7-69805A985D39}">
            <xm:f>IF('Project information'!$A$13="JPN",TRUE)</xm:f>
            <x14:dxf>
              <numFmt numFmtId="190" formatCode="_-[$¥-411]* #,##0_-;\-[$¥-411]* #,##0_-;_-[$¥-411]* &quot;-&quot;_-;_-@_-"/>
            </x14:dxf>
          </x14:cfRule>
          <x14:cfRule type="expression" priority="770" id="{0DF01189-6E0B-487E-9E22-55C6F81CC270}">
            <xm:f>IF('Project information'!$A$13="KRW",TRUE)</xm:f>
            <x14:dxf>
              <numFmt numFmtId="181" formatCode="_-[$₩-412]* #,##0_-;\-[$₩-412]* #,##0_-;_-[$₩-412]* &quot;-&quot;_-;_-@_-"/>
            </x14:dxf>
          </x14:cfRule>
          <x14:cfRule type="expression" priority="771" id="{9EF4A64C-49C1-4224-95B6-83432D793474}">
            <xm:f>IF('Project information'!$A$13="CNY",TRUE)</xm:f>
            <x14:dxf>
              <numFmt numFmtId="178" formatCode="_(&quot;¥&quot;* #,##0_);_(&quot;¥&quot;* \(#,##0\);_(&quot;¥&quot;* &quot;-&quot;_);_(@_)"/>
            </x14:dxf>
          </x14:cfRule>
          <xm:sqref>V95:AA95</xm:sqref>
        </x14:conditionalFormatting>
        <x14:conditionalFormatting xmlns:xm="http://schemas.microsoft.com/office/excel/2006/main">
          <x14:cfRule type="cellIs" priority="763" operator="notEqual" id="{7B708921-B1D1-4107-95D5-302DC48CCA7F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E94</xm:sqref>
        </x14:conditionalFormatting>
        <x14:conditionalFormatting xmlns:xm="http://schemas.microsoft.com/office/excel/2006/main">
          <x14:cfRule type="expression" priority="750" id="{7A004483-E574-42EF-841C-F52B592E5D80}">
            <xm:f>IF('Project information'!$A$13="USD",TRUE)</xm:f>
            <x14:dxf>
              <numFmt numFmtId="199" formatCode="_-[$$-409]* #,##0_ ;_-[$$-409]* \-#,##0\ ;_-[$$-409]* &quot;-&quot;_ ;_-@_ "/>
            </x14:dxf>
          </x14:cfRule>
          <x14:cfRule type="expression" priority="751" id="{AA280836-BF29-4B42-8642-6BC82DD85279}">
            <xm:f>IF('Project information'!$A$13="EUR",TRUE)</xm:f>
            <x14:dxf>
              <numFmt numFmtId="198" formatCode="_ [$€-2]\ * #,##0_ ;_ [$€-2]\ * \-#,##0_ ;_ [$€-2]\ * &quot;-&quot;_ ;_ @_ "/>
            </x14:dxf>
          </x14:cfRule>
          <x14:cfRule type="expression" priority="752" id="{A8467926-C5AD-4070-AD87-D3FD002C1F0D}">
            <xm:f>IF('Project information'!$A$13="INR",TRUE)</xm:f>
            <x14:dxf>
              <numFmt numFmtId="191" formatCode="_ [$₹-4009]\ * #,##0_ ;_ [$₹-4009]\ * \-#,##0_ ;_ [$₹-4009]\ * &quot;-&quot;_ ;_ @_ "/>
            </x14:dxf>
          </x14:cfRule>
          <x14:cfRule type="expression" priority="753" id="{24FB8664-F37F-4F72-BAF1-D92C753B3149}">
            <xm:f>IF('Project information'!$A$13="JPN",TRUE)</xm:f>
            <x14:dxf>
              <numFmt numFmtId="190" formatCode="_-[$¥-411]* #,##0_-;\-[$¥-411]* #,##0_-;_-[$¥-411]* &quot;-&quot;_-;_-@_-"/>
            </x14:dxf>
          </x14:cfRule>
          <x14:cfRule type="expression" priority="754" id="{6126A1D5-D506-4A6E-BB5C-9543F56929D6}">
            <xm:f>IF('Project information'!$A$13="KRW",TRUE)</xm:f>
            <x14:dxf>
              <numFmt numFmtId="181" formatCode="_-[$₩-412]* #,##0_-;\-[$₩-412]* #,##0_-;_-[$₩-412]* &quot;-&quot;_-;_-@_-"/>
            </x14:dxf>
          </x14:cfRule>
          <x14:cfRule type="expression" priority="755" id="{69A93C01-674E-45CD-96B1-017631A9E6AA}">
            <xm:f>IF('Project information'!$A$13="CNY",TRUE)</xm:f>
            <x14:dxf>
              <numFmt numFmtId="178" formatCode="_(&quot;¥&quot;* #,##0_);_(&quot;¥&quot;* \(#,##0\);_(&quot;¥&quot;* &quot;-&quot;_);_(@_)"/>
            </x14:dxf>
          </x14:cfRule>
          <xm:sqref>V94:AA94</xm:sqref>
        </x14:conditionalFormatting>
        <x14:conditionalFormatting xmlns:xm="http://schemas.microsoft.com/office/excel/2006/main">
          <x14:cfRule type="cellIs" priority="747" operator="notEqual" id="{2627760F-7544-4CB5-BD0B-8344F9EE7618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E93</xm:sqref>
        </x14:conditionalFormatting>
        <x14:conditionalFormatting xmlns:xm="http://schemas.microsoft.com/office/excel/2006/main">
          <x14:cfRule type="expression" priority="734" id="{A7A360F5-1B7A-4518-BE3C-84301354879F}">
            <xm:f>IF('Project information'!$A$13="USD",TRUE)</xm:f>
            <x14:dxf>
              <numFmt numFmtId="199" formatCode="_-[$$-409]* #,##0_ ;_-[$$-409]* \-#,##0\ ;_-[$$-409]* &quot;-&quot;_ ;_-@_ "/>
            </x14:dxf>
          </x14:cfRule>
          <x14:cfRule type="expression" priority="735" id="{C2EAC9EA-4482-4C4B-A275-1428859F1056}">
            <xm:f>IF('Project information'!$A$13="EUR",TRUE)</xm:f>
            <x14:dxf>
              <numFmt numFmtId="198" formatCode="_ [$€-2]\ * #,##0_ ;_ [$€-2]\ * \-#,##0_ ;_ [$€-2]\ * &quot;-&quot;_ ;_ @_ "/>
            </x14:dxf>
          </x14:cfRule>
          <x14:cfRule type="expression" priority="736" id="{951EADC7-C3A1-4CD5-8C98-89E17B5F5DA8}">
            <xm:f>IF('Project information'!$A$13="INR",TRUE)</xm:f>
            <x14:dxf>
              <numFmt numFmtId="191" formatCode="_ [$₹-4009]\ * #,##0_ ;_ [$₹-4009]\ * \-#,##0_ ;_ [$₹-4009]\ * &quot;-&quot;_ ;_ @_ "/>
            </x14:dxf>
          </x14:cfRule>
          <x14:cfRule type="expression" priority="737" id="{6E88C6BB-75B6-4D73-930A-36A1420E3652}">
            <xm:f>IF('Project information'!$A$13="JPN",TRUE)</xm:f>
            <x14:dxf>
              <numFmt numFmtId="190" formatCode="_-[$¥-411]* #,##0_-;\-[$¥-411]* #,##0_-;_-[$¥-411]* &quot;-&quot;_-;_-@_-"/>
            </x14:dxf>
          </x14:cfRule>
          <x14:cfRule type="expression" priority="738" id="{20842E7A-0B66-4656-9103-306BC364E382}">
            <xm:f>IF('Project information'!$A$13="KRW",TRUE)</xm:f>
            <x14:dxf>
              <numFmt numFmtId="181" formatCode="_-[$₩-412]* #,##0_-;\-[$₩-412]* #,##0_-;_-[$₩-412]* &quot;-&quot;_-;_-@_-"/>
            </x14:dxf>
          </x14:cfRule>
          <x14:cfRule type="expression" priority="739" id="{3B9CAFD8-AD21-46EF-983C-5EF493F734CC}">
            <xm:f>IF('Project information'!$A$13="CNY",TRUE)</xm:f>
            <x14:dxf>
              <numFmt numFmtId="178" formatCode="_(&quot;¥&quot;* #,##0_);_(&quot;¥&quot;* \(#,##0\);_(&quot;¥&quot;* &quot;-&quot;_);_(@_)"/>
            </x14:dxf>
          </x14:cfRule>
          <xm:sqref>V93:AA93</xm:sqref>
        </x14:conditionalFormatting>
        <x14:conditionalFormatting xmlns:xm="http://schemas.microsoft.com/office/excel/2006/main">
          <x14:cfRule type="cellIs" priority="731" operator="notEqual" id="{3BCC3277-B642-4F2C-8EFF-F2D549DA8E4F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E92</xm:sqref>
        </x14:conditionalFormatting>
        <x14:conditionalFormatting xmlns:xm="http://schemas.microsoft.com/office/excel/2006/main">
          <x14:cfRule type="expression" priority="718" id="{2EEA4E8C-C708-495E-9D5F-3194B2E8490E}">
            <xm:f>IF('Project information'!$A$13="USD",TRUE)</xm:f>
            <x14:dxf>
              <numFmt numFmtId="199" formatCode="_-[$$-409]* #,##0_ ;_-[$$-409]* \-#,##0\ ;_-[$$-409]* &quot;-&quot;_ ;_-@_ "/>
            </x14:dxf>
          </x14:cfRule>
          <x14:cfRule type="expression" priority="719" id="{38DDF146-7048-4025-9DF3-5EB11192B07D}">
            <xm:f>IF('Project information'!$A$13="EUR",TRUE)</xm:f>
            <x14:dxf>
              <numFmt numFmtId="198" formatCode="_ [$€-2]\ * #,##0_ ;_ [$€-2]\ * \-#,##0_ ;_ [$€-2]\ * &quot;-&quot;_ ;_ @_ "/>
            </x14:dxf>
          </x14:cfRule>
          <x14:cfRule type="expression" priority="720" id="{87FD9F55-5D32-4730-AF4E-84D708815F07}">
            <xm:f>IF('Project information'!$A$13="INR",TRUE)</xm:f>
            <x14:dxf>
              <numFmt numFmtId="191" formatCode="_ [$₹-4009]\ * #,##0_ ;_ [$₹-4009]\ * \-#,##0_ ;_ [$₹-4009]\ * &quot;-&quot;_ ;_ @_ "/>
            </x14:dxf>
          </x14:cfRule>
          <x14:cfRule type="expression" priority="721" id="{4069C449-CEC0-4466-96D0-5532DAE3D4A3}">
            <xm:f>IF('Project information'!$A$13="JPN",TRUE)</xm:f>
            <x14:dxf>
              <numFmt numFmtId="190" formatCode="_-[$¥-411]* #,##0_-;\-[$¥-411]* #,##0_-;_-[$¥-411]* &quot;-&quot;_-;_-@_-"/>
            </x14:dxf>
          </x14:cfRule>
          <x14:cfRule type="expression" priority="722" id="{B5B573F3-DF8C-4227-B9E9-3F3EB2616ECE}">
            <xm:f>IF('Project information'!$A$13="KRW",TRUE)</xm:f>
            <x14:dxf>
              <numFmt numFmtId="181" formatCode="_-[$₩-412]* #,##0_-;\-[$₩-412]* #,##0_-;_-[$₩-412]* &quot;-&quot;_-;_-@_-"/>
            </x14:dxf>
          </x14:cfRule>
          <x14:cfRule type="expression" priority="723" id="{E18DB2F4-9CDE-40FC-937E-9D76D2ED1833}">
            <xm:f>IF('Project information'!$A$13="CNY",TRUE)</xm:f>
            <x14:dxf>
              <numFmt numFmtId="178" formatCode="_(&quot;¥&quot;* #,##0_);_(&quot;¥&quot;* \(#,##0\);_(&quot;¥&quot;* &quot;-&quot;_);_(@_)"/>
            </x14:dxf>
          </x14:cfRule>
          <xm:sqref>V92:AA92</xm:sqref>
        </x14:conditionalFormatting>
        <x14:conditionalFormatting xmlns:xm="http://schemas.microsoft.com/office/excel/2006/main">
          <x14:cfRule type="cellIs" priority="715" operator="notEqual" id="{7352A19A-D98D-4D98-B0FF-2ED0BEFB9D0E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E91</xm:sqref>
        </x14:conditionalFormatting>
        <x14:conditionalFormatting xmlns:xm="http://schemas.microsoft.com/office/excel/2006/main">
          <x14:cfRule type="expression" priority="702" id="{FA0DA8AE-5031-4F61-9F1B-7FC1F7E2F314}">
            <xm:f>IF('Project information'!$A$13="USD",TRUE)</xm:f>
            <x14:dxf>
              <numFmt numFmtId="199" formatCode="_-[$$-409]* #,##0_ ;_-[$$-409]* \-#,##0\ ;_-[$$-409]* &quot;-&quot;_ ;_-@_ "/>
            </x14:dxf>
          </x14:cfRule>
          <x14:cfRule type="expression" priority="703" id="{4E9C57CA-038A-4A84-A352-3A5E529337B3}">
            <xm:f>IF('Project information'!$A$13="EUR",TRUE)</xm:f>
            <x14:dxf>
              <numFmt numFmtId="198" formatCode="_ [$€-2]\ * #,##0_ ;_ [$€-2]\ * \-#,##0_ ;_ [$€-2]\ * &quot;-&quot;_ ;_ @_ "/>
            </x14:dxf>
          </x14:cfRule>
          <x14:cfRule type="expression" priority="704" id="{29C94CD3-E598-4EFE-AD46-9BCAC5EA6893}">
            <xm:f>IF('Project information'!$A$13="INR",TRUE)</xm:f>
            <x14:dxf>
              <numFmt numFmtId="191" formatCode="_ [$₹-4009]\ * #,##0_ ;_ [$₹-4009]\ * \-#,##0_ ;_ [$₹-4009]\ * &quot;-&quot;_ ;_ @_ "/>
            </x14:dxf>
          </x14:cfRule>
          <x14:cfRule type="expression" priority="705" id="{52172313-E900-409A-A3A1-242997DF663C}">
            <xm:f>IF('Project information'!$A$13="JPN",TRUE)</xm:f>
            <x14:dxf>
              <numFmt numFmtId="190" formatCode="_-[$¥-411]* #,##0_-;\-[$¥-411]* #,##0_-;_-[$¥-411]* &quot;-&quot;_-;_-@_-"/>
            </x14:dxf>
          </x14:cfRule>
          <x14:cfRule type="expression" priority="706" id="{3F6A957F-8B9A-46AD-85DA-C0AE6384E7C3}">
            <xm:f>IF('Project information'!$A$13="KRW",TRUE)</xm:f>
            <x14:dxf>
              <numFmt numFmtId="181" formatCode="_-[$₩-412]* #,##0_-;\-[$₩-412]* #,##0_-;_-[$₩-412]* &quot;-&quot;_-;_-@_-"/>
            </x14:dxf>
          </x14:cfRule>
          <x14:cfRule type="expression" priority="707" id="{5E7F1B19-D8A9-4DDF-8EA4-DE9D733F9B83}">
            <xm:f>IF('Project information'!$A$13="CNY",TRUE)</xm:f>
            <x14:dxf>
              <numFmt numFmtId="178" formatCode="_(&quot;¥&quot;* #,##0_);_(&quot;¥&quot;* \(#,##0\);_(&quot;¥&quot;* &quot;-&quot;_);_(@_)"/>
            </x14:dxf>
          </x14:cfRule>
          <xm:sqref>V91:AA91</xm:sqref>
        </x14:conditionalFormatting>
        <x14:conditionalFormatting xmlns:xm="http://schemas.microsoft.com/office/excel/2006/main">
          <x14:cfRule type="cellIs" priority="699" operator="notEqual" id="{174DD46A-C65B-4896-B13A-CEA0B8B47D04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E90</xm:sqref>
        </x14:conditionalFormatting>
        <x14:conditionalFormatting xmlns:xm="http://schemas.microsoft.com/office/excel/2006/main">
          <x14:cfRule type="expression" priority="686" id="{C2CE3914-423F-4274-B816-50EE6B7A8720}">
            <xm:f>IF('Project information'!$A$13="USD",TRUE)</xm:f>
            <x14:dxf>
              <numFmt numFmtId="199" formatCode="_-[$$-409]* #,##0_ ;_-[$$-409]* \-#,##0\ ;_-[$$-409]* &quot;-&quot;_ ;_-@_ "/>
            </x14:dxf>
          </x14:cfRule>
          <x14:cfRule type="expression" priority="687" id="{175B3B2A-C78C-40F5-94D3-E01FA2107E96}">
            <xm:f>IF('Project information'!$A$13="EUR",TRUE)</xm:f>
            <x14:dxf>
              <numFmt numFmtId="198" formatCode="_ [$€-2]\ * #,##0_ ;_ [$€-2]\ * \-#,##0_ ;_ [$€-2]\ * &quot;-&quot;_ ;_ @_ "/>
            </x14:dxf>
          </x14:cfRule>
          <x14:cfRule type="expression" priority="688" id="{AB10374E-903D-4571-9E12-7D3B6C4936DB}">
            <xm:f>IF('Project information'!$A$13="INR",TRUE)</xm:f>
            <x14:dxf>
              <numFmt numFmtId="191" formatCode="_ [$₹-4009]\ * #,##0_ ;_ [$₹-4009]\ * \-#,##0_ ;_ [$₹-4009]\ * &quot;-&quot;_ ;_ @_ "/>
            </x14:dxf>
          </x14:cfRule>
          <x14:cfRule type="expression" priority="689" id="{38FA329A-F9E7-4A8D-AACA-5A6931DEE003}">
            <xm:f>IF('Project information'!$A$13="JPN",TRUE)</xm:f>
            <x14:dxf>
              <numFmt numFmtId="190" formatCode="_-[$¥-411]* #,##0_-;\-[$¥-411]* #,##0_-;_-[$¥-411]* &quot;-&quot;_-;_-@_-"/>
            </x14:dxf>
          </x14:cfRule>
          <x14:cfRule type="expression" priority="690" id="{FE685980-598C-4295-A022-B07F25D537EC}">
            <xm:f>IF('Project information'!$A$13="KRW",TRUE)</xm:f>
            <x14:dxf>
              <numFmt numFmtId="181" formatCode="_-[$₩-412]* #,##0_-;\-[$₩-412]* #,##0_-;_-[$₩-412]* &quot;-&quot;_-;_-@_-"/>
            </x14:dxf>
          </x14:cfRule>
          <x14:cfRule type="expression" priority="691" id="{67C3E161-0B1D-40DC-9375-399D9FE06780}">
            <xm:f>IF('Project information'!$A$13="CNY",TRUE)</xm:f>
            <x14:dxf>
              <numFmt numFmtId="178" formatCode="_(&quot;¥&quot;* #,##0_);_(&quot;¥&quot;* \(#,##0\);_(&quot;¥&quot;* &quot;-&quot;_);_(@_)"/>
            </x14:dxf>
          </x14:cfRule>
          <xm:sqref>V90:AA90</xm:sqref>
        </x14:conditionalFormatting>
        <x14:conditionalFormatting xmlns:xm="http://schemas.microsoft.com/office/excel/2006/main">
          <x14:cfRule type="cellIs" priority="683" operator="notEqual" id="{337AC803-2349-4354-8CA5-C7225FE8D76C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E89</xm:sqref>
        </x14:conditionalFormatting>
        <x14:conditionalFormatting xmlns:xm="http://schemas.microsoft.com/office/excel/2006/main">
          <x14:cfRule type="expression" priority="670" id="{3FBDCAC3-DC37-459A-AD08-B1F7C924FF89}">
            <xm:f>IF('Project information'!$A$13="USD",TRUE)</xm:f>
            <x14:dxf>
              <numFmt numFmtId="199" formatCode="_-[$$-409]* #,##0_ ;_-[$$-409]* \-#,##0\ ;_-[$$-409]* &quot;-&quot;_ ;_-@_ "/>
            </x14:dxf>
          </x14:cfRule>
          <x14:cfRule type="expression" priority="671" id="{A622DF14-61F5-49BF-8A28-A1767C97F904}">
            <xm:f>IF('Project information'!$A$13="EUR",TRUE)</xm:f>
            <x14:dxf>
              <numFmt numFmtId="198" formatCode="_ [$€-2]\ * #,##0_ ;_ [$€-2]\ * \-#,##0_ ;_ [$€-2]\ * &quot;-&quot;_ ;_ @_ "/>
            </x14:dxf>
          </x14:cfRule>
          <x14:cfRule type="expression" priority="672" id="{EE77F72B-3920-4CAF-9F28-3B061BC70B7F}">
            <xm:f>IF('Project information'!$A$13="INR",TRUE)</xm:f>
            <x14:dxf>
              <numFmt numFmtId="191" formatCode="_ [$₹-4009]\ * #,##0_ ;_ [$₹-4009]\ * \-#,##0_ ;_ [$₹-4009]\ * &quot;-&quot;_ ;_ @_ "/>
            </x14:dxf>
          </x14:cfRule>
          <x14:cfRule type="expression" priority="673" id="{C4268F45-703A-4C16-8453-5A4D16D2CB0B}">
            <xm:f>IF('Project information'!$A$13="JPN",TRUE)</xm:f>
            <x14:dxf>
              <numFmt numFmtId="190" formatCode="_-[$¥-411]* #,##0_-;\-[$¥-411]* #,##0_-;_-[$¥-411]* &quot;-&quot;_-;_-@_-"/>
            </x14:dxf>
          </x14:cfRule>
          <x14:cfRule type="expression" priority="674" id="{9431E2BE-57F1-4900-B8B9-0F8EE402F547}">
            <xm:f>IF('Project information'!$A$13="KRW",TRUE)</xm:f>
            <x14:dxf>
              <numFmt numFmtId="181" formatCode="_-[$₩-412]* #,##0_-;\-[$₩-412]* #,##0_-;_-[$₩-412]* &quot;-&quot;_-;_-@_-"/>
            </x14:dxf>
          </x14:cfRule>
          <x14:cfRule type="expression" priority="675" id="{69F01C1E-4845-48D0-A52A-DCBCE63D1413}">
            <xm:f>IF('Project information'!$A$13="CNY",TRUE)</xm:f>
            <x14:dxf>
              <numFmt numFmtId="178" formatCode="_(&quot;¥&quot;* #,##0_);_(&quot;¥&quot;* \(#,##0\);_(&quot;¥&quot;* &quot;-&quot;_);_(@_)"/>
            </x14:dxf>
          </x14:cfRule>
          <xm:sqref>V89:AA89</xm:sqref>
        </x14:conditionalFormatting>
        <x14:conditionalFormatting xmlns:xm="http://schemas.microsoft.com/office/excel/2006/main">
          <x14:cfRule type="cellIs" priority="667" operator="notEqual" id="{FF04DCB8-C16C-403E-8245-61B8D342B36A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E88</xm:sqref>
        </x14:conditionalFormatting>
        <x14:conditionalFormatting xmlns:xm="http://schemas.microsoft.com/office/excel/2006/main">
          <x14:cfRule type="expression" priority="654" id="{EBDA0487-25E2-4980-90BC-DDB4035C4935}">
            <xm:f>IF('Project information'!$A$13="USD",TRUE)</xm:f>
            <x14:dxf>
              <numFmt numFmtId="199" formatCode="_-[$$-409]* #,##0_ ;_-[$$-409]* \-#,##0\ ;_-[$$-409]* &quot;-&quot;_ ;_-@_ "/>
            </x14:dxf>
          </x14:cfRule>
          <x14:cfRule type="expression" priority="655" id="{5B818750-3513-4690-9A93-EF94C32F437A}">
            <xm:f>IF('Project information'!$A$13="EUR",TRUE)</xm:f>
            <x14:dxf>
              <numFmt numFmtId="198" formatCode="_ [$€-2]\ * #,##0_ ;_ [$€-2]\ * \-#,##0_ ;_ [$€-2]\ * &quot;-&quot;_ ;_ @_ "/>
            </x14:dxf>
          </x14:cfRule>
          <x14:cfRule type="expression" priority="656" id="{700819B3-7CCC-473F-8D25-2FBD5ECAAA2F}">
            <xm:f>IF('Project information'!$A$13="INR",TRUE)</xm:f>
            <x14:dxf>
              <numFmt numFmtId="191" formatCode="_ [$₹-4009]\ * #,##0_ ;_ [$₹-4009]\ * \-#,##0_ ;_ [$₹-4009]\ * &quot;-&quot;_ ;_ @_ "/>
            </x14:dxf>
          </x14:cfRule>
          <x14:cfRule type="expression" priority="657" id="{B364CF97-0D64-4CFD-B1A7-2CDA4CE96C6D}">
            <xm:f>IF('Project information'!$A$13="JPN",TRUE)</xm:f>
            <x14:dxf>
              <numFmt numFmtId="190" formatCode="_-[$¥-411]* #,##0_-;\-[$¥-411]* #,##0_-;_-[$¥-411]* &quot;-&quot;_-;_-@_-"/>
            </x14:dxf>
          </x14:cfRule>
          <x14:cfRule type="expression" priority="658" id="{C9E78A4A-6436-415E-BFAB-205C99BF1002}">
            <xm:f>IF('Project information'!$A$13="KRW",TRUE)</xm:f>
            <x14:dxf>
              <numFmt numFmtId="181" formatCode="_-[$₩-412]* #,##0_-;\-[$₩-412]* #,##0_-;_-[$₩-412]* &quot;-&quot;_-;_-@_-"/>
            </x14:dxf>
          </x14:cfRule>
          <x14:cfRule type="expression" priority="659" id="{74E873C1-A2F8-4545-94F8-FC3371D33631}">
            <xm:f>IF('Project information'!$A$13="CNY",TRUE)</xm:f>
            <x14:dxf>
              <numFmt numFmtId="178" formatCode="_(&quot;¥&quot;* #,##0_);_(&quot;¥&quot;* \(#,##0\);_(&quot;¥&quot;* &quot;-&quot;_);_(@_)"/>
            </x14:dxf>
          </x14:cfRule>
          <xm:sqref>V88:AA88</xm:sqref>
        </x14:conditionalFormatting>
        <x14:conditionalFormatting xmlns:xm="http://schemas.microsoft.com/office/excel/2006/main">
          <x14:cfRule type="cellIs" priority="651" operator="notEqual" id="{C106E4A6-FBF1-42B3-AEFE-DD975C849751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E87</xm:sqref>
        </x14:conditionalFormatting>
        <x14:conditionalFormatting xmlns:xm="http://schemas.microsoft.com/office/excel/2006/main">
          <x14:cfRule type="expression" priority="638" id="{DF5E4A20-109D-44B2-9A6F-0CEDF9B5B70C}">
            <xm:f>IF('Project information'!$A$13="USD",TRUE)</xm:f>
            <x14:dxf>
              <numFmt numFmtId="199" formatCode="_-[$$-409]* #,##0_ ;_-[$$-409]* \-#,##0\ ;_-[$$-409]* &quot;-&quot;_ ;_-@_ "/>
            </x14:dxf>
          </x14:cfRule>
          <x14:cfRule type="expression" priority="639" id="{6BB4EE82-E76C-4C2E-A418-99AE2F340CC1}">
            <xm:f>IF('Project information'!$A$13="EUR",TRUE)</xm:f>
            <x14:dxf>
              <numFmt numFmtId="198" formatCode="_ [$€-2]\ * #,##0_ ;_ [$€-2]\ * \-#,##0_ ;_ [$€-2]\ * &quot;-&quot;_ ;_ @_ "/>
            </x14:dxf>
          </x14:cfRule>
          <x14:cfRule type="expression" priority="640" id="{3A92050B-CCB8-4593-9481-8A1C845DB488}">
            <xm:f>IF('Project information'!$A$13="INR",TRUE)</xm:f>
            <x14:dxf>
              <numFmt numFmtId="191" formatCode="_ [$₹-4009]\ * #,##0_ ;_ [$₹-4009]\ * \-#,##0_ ;_ [$₹-4009]\ * &quot;-&quot;_ ;_ @_ "/>
            </x14:dxf>
          </x14:cfRule>
          <x14:cfRule type="expression" priority="641" id="{2015AEE2-3B70-4982-8DBE-EF4964FBEF62}">
            <xm:f>IF('Project information'!$A$13="JPN",TRUE)</xm:f>
            <x14:dxf>
              <numFmt numFmtId="190" formatCode="_-[$¥-411]* #,##0_-;\-[$¥-411]* #,##0_-;_-[$¥-411]* &quot;-&quot;_-;_-@_-"/>
            </x14:dxf>
          </x14:cfRule>
          <x14:cfRule type="expression" priority="642" id="{F6186A42-A054-4B38-BAD6-B4871A843D48}">
            <xm:f>IF('Project information'!$A$13="KRW",TRUE)</xm:f>
            <x14:dxf>
              <numFmt numFmtId="181" formatCode="_-[$₩-412]* #,##0_-;\-[$₩-412]* #,##0_-;_-[$₩-412]* &quot;-&quot;_-;_-@_-"/>
            </x14:dxf>
          </x14:cfRule>
          <x14:cfRule type="expression" priority="643" id="{00B5FA59-6BAA-48F1-AB7D-71DE9C887C98}">
            <xm:f>IF('Project information'!$A$13="CNY",TRUE)</xm:f>
            <x14:dxf>
              <numFmt numFmtId="178" formatCode="_(&quot;¥&quot;* #,##0_);_(&quot;¥&quot;* \(#,##0\);_(&quot;¥&quot;* &quot;-&quot;_);_(@_)"/>
            </x14:dxf>
          </x14:cfRule>
          <xm:sqref>V87:AA87</xm:sqref>
        </x14:conditionalFormatting>
        <x14:conditionalFormatting xmlns:xm="http://schemas.microsoft.com/office/excel/2006/main">
          <x14:cfRule type="cellIs" priority="635" operator="notEqual" id="{A1C9FE3F-A8FE-43A9-989C-92CE455EEEEC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E86</xm:sqref>
        </x14:conditionalFormatting>
        <x14:conditionalFormatting xmlns:xm="http://schemas.microsoft.com/office/excel/2006/main">
          <x14:cfRule type="expression" priority="622" id="{693C510F-96CC-4550-A223-4E5610312B49}">
            <xm:f>IF('Project information'!$A$13="USD",TRUE)</xm:f>
            <x14:dxf>
              <numFmt numFmtId="199" formatCode="_-[$$-409]* #,##0_ ;_-[$$-409]* \-#,##0\ ;_-[$$-409]* &quot;-&quot;_ ;_-@_ "/>
            </x14:dxf>
          </x14:cfRule>
          <x14:cfRule type="expression" priority="623" id="{DFDEF046-9DA9-4921-B0D8-E6FE68B0D193}">
            <xm:f>IF('Project information'!$A$13="EUR",TRUE)</xm:f>
            <x14:dxf>
              <numFmt numFmtId="198" formatCode="_ [$€-2]\ * #,##0_ ;_ [$€-2]\ * \-#,##0_ ;_ [$€-2]\ * &quot;-&quot;_ ;_ @_ "/>
            </x14:dxf>
          </x14:cfRule>
          <x14:cfRule type="expression" priority="624" id="{9EAEC348-5D59-405E-B0A8-53580D057058}">
            <xm:f>IF('Project information'!$A$13="INR",TRUE)</xm:f>
            <x14:dxf>
              <numFmt numFmtId="191" formatCode="_ [$₹-4009]\ * #,##0_ ;_ [$₹-4009]\ * \-#,##0_ ;_ [$₹-4009]\ * &quot;-&quot;_ ;_ @_ "/>
            </x14:dxf>
          </x14:cfRule>
          <x14:cfRule type="expression" priority="625" id="{E48B01B5-9D87-4E26-A548-92BFFC4CA297}">
            <xm:f>IF('Project information'!$A$13="JPN",TRUE)</xm:f>
            <x14:dxf>
              <numFmt numFmtId="190" formatCode="_-[$¥-411]* #,##0_-;\-[$¥-411]* #,##0_-;_-[$¥-411]* &quot;-&quot;_-;_-@_-"/>
            </x14:dxf>
          </x14:cfRule>
          <x14:cfRule type="expression" priority="626" id="{E788F1AB-E30F-405E-8AAC-101C1C75D274}">
            <xm:f>IF('Project information'!$A$13="KRW",TRUE)</xm:f>
            <x14:dxf>
              <numFmt numFmtId="181" formatCode="_-[$₩-412]* #,##0_-;\-[$₩-412]* #,##0_-;_-[$₩-412]* &quot;-&quot;_-;_-@_-"/>
            </x14:dxf>
          </x14:cfRule>
          <x14:cfRule type="expression" priority="627" id="{55982AE8-0412-40F8-A6CD-AC59DD1AF5D1}">
            <xm:f>IF('Project information'!$A$13="CNY",TRUE)</xm:f>
            <x14:dxf>
              <numFmt numFmtId="178" formatCode="_(&quot;¥&quot;* #,##0_);_(&quot;¥&quot;* \(#,##0\);_(&quot;¥&quot;* &quot;-&quot;_);_(@_)"/>
            </x14:dxf>
          </x14:cfRule>
          <xm:sqref>V86:AA86</xm:sqref>
        </x14:conditionalFormatting>
        <x14:conditionalFormatting xmlns:xm="http://schemas.microsoft.com/office/excel/2006/main">
          <x14:cfRule type="cellIs" priority="619" operator="notEqual" id="{48940EB1-AABB-4985-AB8C-1716D652843B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E85</xm:sqref>
        </x14:conditionalFormatting>
        <x14:conditionalFormatting xmlns:xm="http://schemas.microsoft.com/office/excel/2006/main">
          <x14:cfRule type="expression" priority="606" id="{4CA0730F-F53A-4EF3-8617-B80915B4D078}">
            <xm:f>IF('Project information'!$A$13="USD",TRUE)</xm:f>
            <x14:dxf>
              <numFmt numFmtId="199" formatCode="_-[$$-409]* #,##0_ ;_-[$$-409]* \-#,##0\ ;_-[$$-409]* &quot;-&quot;_ ;_-@_ "/>
            </x14:dxf>
          </x14:cfRule>
          <x14:cfRule type="expression" priority="607" id="{F8E64229-1211-4D49-8A27-401F7419E7F3}">
            <xm:f>IF('Project information'!$A$13="EUR",TRUE)</xm:f>
            <x14:dxf>
              <numFmt numFmtId="198" formatCode="_ [$€-2]\ * #,##0_ ;_ [$€-2]\ * \-#,##0_ ;_ [$€-2]\ * &quot;-&quot;_ ;_ @_ "/>
            </x14:dxf>
          </x14:cfRule>
          <x14:cfRule type="expression" priority="608" id="{76EBF51D-B295-472D-A169-525872349A81}">
            <xm:f>IF('Project information'!$A$13="INR",TRUE)</xm:f>
            <x14:dxf>
              <numFmt numFmtId="191" formatCode="_ [$₹-4009]\ * #,##0_ ;_ [$₹-4009]\ * \-#,##0_ ;_ [$₹-4009]\ * &quot;-&quot;_ ;_ @_ "/>
            </x14:dxf>
          </x14:cfRule>
          <x14:cfRule type="expression" priority="609" id="{E40DCC91-AF0B-46FE-8887-E5B8073A2D07}">
            <xm:f>IF('Project information'!$A$13="JPN",TRUE)</xm:f>
            <x14:dxf>
              <numFmt numFmtId="190" formatCode="_-[$¥-411]* #,##0_-;\-[$¥-411]* #,##0_-;_-[$¥-411]* &quot;-&quot;_-;_-@_-"/>
            </x14:dxf>
          </x14:cfRule>
          <x14:cfRule type="expression" priority="610" id="{2FD9F6F2-75B1-4BFE-A23C-6317D26EC965}">
            <xm:f>IF('Project information'!$A$13="KRW",TRUE)</xm:f>
            <x14:dxf>
              <numFmt numFmtId="181" formatCode="_-[$₩-412]* #,##0_-;\-[$₩-412]* #,##0_-;_-[$₩-412]* &quot;-&quot;_-;_-@_-"/>
            </x14:dxf>
          </x14:cfRule>
          <x14:cfRule type="expression" priority="611" id="{AEF01108-AE23-425A-9432-EFC43D26D60A}">
            <xm:f>IF('Project information'!$A$13="CNY",TRUE)</xm:f>
            <x14:dxf>
              <numFmt numFmtId="178" formatCode="_(&quot;¥&quot;* #,##0_);_(&quot;¥&quot;* \(#,##0\);_(&quot;¥&quot;* &quot;-&quot;_);_(@_)"/>
            </x14:dxf>
          </x14:cfRule>
          <xm:sqref>V85:AA85</xm:sqref>
        </x14:conditionalFormatting>
        <x14:conditionalFormatting xmlns:xm="http://schemas.microsoft.com/office/excel/2006/main">
          <x14:cfRule type="cellIs" priority="603" operator="notEqual" id="{969B60E4-BF3D-4713-8049-DEFC48485339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E84</xm:sqref>
        </x14:conditionalFormatting>
        <x14:conditionalFormatting xmlns:xm="http://schemas.microsoft.com/office/excel/2006/main">
          <x14:cfRule type="expression" priority="590" id="{76C25ECB-2210-4880-8DC1-7C8624A0F89A}">
            <xm:f>IF('Project information'!$A$13="USD",TRUE)</xm:f>
            <x14:dxf>
              <numFmt numFmtId="199" formatCode="_-[$$-409]* #,##0_ ;_-[$$-409]* \-#,##0\ ;_-[$$-409]* &quot;-&quot;_ ;_-@_ "/>
            </x14:dxf>
          </x14:cfRule>
          <x14:cfRule type="expression" priority="591" id="{9C8B4E07-DB4B-45EE-A7AB-9C996755CAB1}">
            <xm:f>IF('Project information'!$A$13="EUR",TRUE)</xm:f>
            <x14:dxf>
              <numFmt numFmtId="198" formatCode="_ [$€-2]\ * #,##0_ ;_ [$€-2]\ * \-#,##0_ ;_ [$€-2]\ * &quot;-&quot;_ ;_ @_ "/>
            </x14:dxf>
          </x14:cfRule>
          <x14:cfRule type="expression" priority="592" id="{BD2D48F6-1CBD-43DB-A8D9-14A4ED71A50F}">
            <xm:f>IF('Project information'!$A$13="INR",TRUE)</xm:f>
            <x14:dxf>
              <numFmt numFmtId="191" formatCode="_ [$₹-4009]\ * #,##0_ ;_ [$₹-4009]\ * \-#,##0_ ;_ [$₹-4009]\ * &quot;-&quot;_ ;_ @_ "/>
            </x14:dxf>
          </x14:cfRule>
          <x14:cfRule type="expression" priority="593" id="{94B652DF-3D85-48DC-9D0E-087B0988508A}">
            <xm:f>IF('Project information'!$A$13="JPN",TRUE)</xm:f>
            <x14:dxf>
              <numFmt numFmtId="190" formatCode="_-[$¥-411]* #,##0_-;\-[$¥-411]* #,##0_-;_-[$¥-411]* &quot;-&quot;_-;_-@_-"/>
            </x14:dxf>
          </x14:cfRule>
          <x14:cfRule type="expression" priority="594" id="{078794A5-C220-4CB3-BDDF-DE8521201F54}">
            <xm:f>IF('Project information'!$A$13="KRW",TRUE)</xm:f>
            <x14:dxf>
              <numFmt numFmtId="181" formatCode="_-[$₩-412]* #,##0_-;\-[$₩-412]* #,##0_-;_-[$₩-412]* &quot;-&quot;_-;_-@_-"/>
            </x14:dxf>
          </x14:cfRule>
          <x14:cfRule type="expression" priority="595" id="{2C179037-80C3-4EC9-B149-DA156C00C7BD}">
            <xm:f>IF('Project information'!$A$13="CNY",TRUE)</xm:f>
            <x14:dxf>
              <numFmt numFmtId="178" formatCode="_(&quot;¥&quot;* #,##0_);_(&quot;¥&quot;* \(#,##0\);_(&quot;¥&quot;* &quot;-&quot;_);_(@_)"/>
            </x14:dxf>
          </x14:cfRule>
          <xm:sqref>V84:AA84</xm:sqref>
        </x14:conditionalFormatting>
        <x14:conditionalFormatting xmlns:xm="http://schemas.microsoft.com/office/excel/2006/main">
          <x14:cfRule type="cellIs" priority="587" operator="notEqual" id="{7F3B6AEA-F0B1-41AB-B869-4DC0343ADAAD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E83</xm:sqref>
        </x14:conditionalFormatting>
        <x14:conditionalFormatting xmlns:xm="http://schemas.microsoft.com/office/excel/2006/main">
          <x14:cfRule type="expression" priority="574" id="{47F69615-C567-4CF9-82E2-F3D4965B1A9C}">
            <xm:f>IF('Project information'!$A$13="USD",TRUE)</xm:f>
            <x14:dxf>
              <numFmt numFmtId="199" formatCode="_-[$$-409]* #,##0_ ;_-[$$-409]* \-#,##0\ ;_-[$$-409]* &quot;-&quot;_ ;_-@_ "/>
            </x14:dxf>
          </x14:cfRule>
          <x14:cfRule type="expression" priority="575" id="{6C76BAF9-6AEF-4CA7-B157-6E26F5C0DC27}">
            <xm:f>IF('Project information'!$A$13="EUR",TRUE)</xm:f>
            <x14:dxf>
              <numFmt numFmtId="198" formatCode="_ [$€-2]\ * #,##0_ ;_ [$€-2]\ * \-#,##0_ ;_ [$€-2]\ * &quot;-&quot;_ ;_ @_ "/>
            </x14:dxf>
          </x14:cfRule>
          <x14:cfRule type="expression" priority="576" id="{D86D52B0-27BF-42A4-8682-9EE8408C32D1}">
            <xm:f>IF('Project information'!$A$13="INR",TRUE)</xm:f>
            <x14:dxf>
              <numFmt numFmtId="191" formatCode="_ [$₹-4009]\ * #,##0_ ;_ [$₹-4009]\ * \-#,##0_ ;_ [$₹-4009]\ * &quot;-&quot;_ ;_ @_ "/>
            </x14:dxf>
          </x14:cfRule>
          <x14:cfRule type="expression" priority="577" id="{D907ACD0-074C-4CF0-818A-8956E9D55D2F}">
            <xm:f>IF('Project information'!$A$13="JPN",TRUE)</xm:f>
            <x14:dxf>
              <numFmt numFmtId="190" formatCode="_-[$¥-411]* #,##0_-;\-[$¥-411]* #,##0_-;_-[$¥-411]* &quot;-&quot;_-;_-@_-"/>
            </x14:dxf>
          </x14:cfRule>
          <x14:cfRule type="expression" priority="578" id="{94C5208D-7B2C-4697-A711-5B75B212253B}">
            <xm:f>IF('Project information'!$A$13="KRW",TRUE)</xm:f>
            <x14:dxf>
              <numFmt numFmtId="181" formatCode="_-[$₩-412]* #,##0_-;\-[$₩-412]* #,##0_-;_-[$₩-412]* &quot;-&quot;_-;_-@_-"/>
            </x14:dxf>
          </x14:cfRule>
          <x14:cfRule type="expression" priority="579" id="{089A223E-FABD-4867-9E12-32C011211269}">
            <xm:f>IF('Project information'!$A$13="CNY",TRUE)</xm:f>
            <x14:dxf>
              <numFmt numFmtId="178" formatCode="_(&quot;¥&quot;* #,##0_);_(&quot;¥&quot;* \(#,##0\);_(&quot;¥&quot;* &quot;-&quot;_);_(@_)"/>
            </x14:dxf>
          </x14:cfRule>
          <xm:sqref>V83:AA83</xm:sqref>
        </x14:conditionalFormatting>
        <x14:conditionalFormatting xmlns:xm="http://schemas.microsoft.com/office/excel/2006/main">
          <x14:cfRule type="cellIs" priority="571" operator="notEqual" id="{D8884068-A463-45C8-9C3C-6AF4596341C0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E82</xm:sqref>
        </x14:conditionalFormatting>
        <x14:conditionalFormatting xmlns:xm="http://schemas.microsoft.com/office/excel/2006/main">
          <x14:cfRule type="expression" priority="558" id="{80DD04C8-5B40-49F4-BE11-68C250D02FDD}">
            <xm:f>IF('Project information'!$A$13="USD",TRUE)</xm:f>
            <x14:dxf>
              <numFmt numFmtId="199" formatCode="_-[$$-409]* #,##0_ ;_-[$$-409]* \-#,##0\ ;_-[$$-409]* &quot;-&quot;_ ;_-@_ "/>
            </x14:dxf>
          </x14:cfRule>
          <x14:cfRule type="expression" priority="559" id="{0D628631-95DB-489F-ADF6-8213C2423A56}">
            <xm:f>IF('Project information'!$A$13="EUR",TRUE)</xm:f>
            <x14:dxf>
              <numFmt numFmtId="198" formatCode="_ [$€-2]\ * #,##0_ ;_ [$€-2]\ * \-#,##0_ ;_ [$€-2]\ * &quot;-&quot;_ ;_ @_ "/>
            </x14:dxf>
          </x14:cfRule>
          <x14:cfRule type="expression" priority="560" id="{C7FB4E41-EEEB-4983-9571-C9C8366E9A69}">
            <xm:f>IF('Project information'!$A$13="INR",TRUE)</xm:f>
            <x14:dxf>
              <numFmt numFmtId="191" formatCode="_ [$₹-4009]\ * #,##0_ ;_ [$₹-4009]\ * \-#,##0_ ;_ [$₹-4009]\ * &quot;-&quot;_ ;_ @_ "/>
            </x14:dxf>
          </x14:cfRule>
          <x14:cfRule type="expression" priority="561" id="{864AE9ED-7B55-46C8-88C9-5C4CC0E2B096}">
            <xm:f>IF('Project information'!$A$13="JPN",TRUE)</xm:f>
            <x14:dxf>
              <numFmt numFmtId="190" formatCode="_-[$¥-411]* #,##0_-;\-[$¥-411]* #,##0_-;_-[$¥-411]* &quot;-&quot;_-;_-@_-"/>
            </x14:dxf>
          </x14:cfRule>
          <x14:cfRule type="expression" priority="562" id="{D47A0C67-20C4-4AB1-B369-9E622712B137}">
            <xm:f>IF('Project information'!$A$13="KRW",TRUE)</xm:f>
            <x14:dxf>
              <numFmt numFmtId="181" formatCode="_-[$₩-412]* #,##0_-;\-[$₩-412]* #,##0_-;_-[$₩-412]* &quot;-&quot;_-;_-@_-"/>
            </x14:dxf>
          </x14:cfRule>
          <x14:cfRule type="expression" priority="563" id="{C53DE860-457D-4119-AC21-DE01586BEFCD}">
            <xm:f>IF('Project information'!$A$13="CNY",TRUE)</xm:f>
            <x14:dxf>
              <numFmt numFmtId="178" formatCode="_(&quot;¥&quot;* #,##0_);_(&quot;¥&quot;* \(#,##0\);_(&quot;¥&quot;* &quot;-&quot;_);_(@_)"/>
            </x14:dxf>
          </x14:cfRule>
          <xm:sqref>V82:AA82</xm:sqref>
        </x14:conditionalFormatting>
        <x14:conditionalFormatting xmlns:xm="http://schemas.microsoft.com/office/excel/2006/main">
          <x14:cfRule type="cellIs" priority="555" operator="notEqual" id="{0CCF78CB-7993-4663-9F3F-DA22D09384D5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E81</xm:sqref>
        </x14:conditionalFormatting>
        <x14:conditionalFormatting xmlns:xm="http://schemas.microsoft.com/office/excel/2006/main">
          <x14:cfRule type="expression" priority="542" id="{AD6C3B97-2FB8-4AA7-AD96-39DEF94F659E}">
            <xm:f>IF('Project information'!$A$13="USD",TRUE)</xm:f>
            <x14:dxf>
              <numFmt numFmtId="199" formatCode="_-[$$-409]* #,##0_ ;_-[$$-409]* \-#,##0\ ;_-[$$-409]* &quot;-&quot;_ ;_-@_ "/>
            </x14:dxf>
          </x14:cfRule>
          <x14:cfRule type="expression" priority="543" id="{80C71BAF-E426-4E84-AC85-472A1512D0CF}">
            <xm:f>IF('Project information'!$A$13="EUR",TRUE)</xm:f>
            <x14:dxf>
              <numFmt numFmtId="198" formatCode="_ [$€-2]\ * #,##0_ ;_ [$€-2]\ * \-#,##0_ ;_ [$€-2]\ * &quot;-&quot;_ ;_ @_ "/>
            </x14:dxf>
          </x14:cfRule>
          <x14:cfRule type="expression" priority="544" id="{B7416C61-D337-467C-AE61-3AD53FB96BE1}">
            <xm:f>IF('Project information'!$A$13="INR",TRUE)</xm:f>
            <x14:dxf>
              <numFmt numFmtId="191" formatCode="_ [$₹-4009]\ * #,##0_ ;_ [$₹-4009]\ * \-#,##0_ ;_ [$₹-4009]\ * &quot;-&quot;_ ;_ @_ "/>
            </x14:dxf>
          </x14:cfRule>
          <x14:cfRule type="expression" priority="545" id="{C152BB58-6EA4-4EFC-A4D2-E1E02E2C7455}">
            <xm:f>IF('Project information'!$A$13="JPN",TRUE)</xm:f>
            <x14:dxf>
              <numFmt numFmtId="190" formatCode="_-[$¥-411]* #,##0_-;\-[$¥-411]* #,##0_-;_-[$¥-411]* &quot;-&quot;_-;_-@_-"/>
            </x14:dxf>
          </x14:cfRule>
          <x14:cfRule type="expression" priority="546" id="{4173C9B4-2889-4D3D-9458-6889EFAD3323}">
            <xm:f>IF('Project information'!$A$13="KRW",TRUE)</xm:f>
            <x14:dxf>
              <numFmt numFmtId="181" formatCode="_-[$₩-412]* #,##0_-;\-[$₩-412]* #,##0_-;_-[$₩-412]* &quot;-&quot;_-;_-@_-"/>
            </x14:dxf>
          </x14:cfRule>
          <x14:cfRule type="expression" priority="547" id="{6036A3FF-201F-48D0-B1FA-8AE7EB8449C2}">
            <xm:f>IF('Project information'!$A$13="CNY",TRUE)</xm:f>
            <x14:dxf>
              <numFmt numFmtId="178" formatCode="_(&quot;¥&quot;* #,##0_);_(&quot;¥&quot;* \(#,##0\);_(&quot;¥&quot;* &quot;-&quot;_);_(@_)"/>
            </x14:dxf>
          </x14:cfRule>
          <xm:sqref>V81:AA81</xm:sqref>
        </x14:conditionalFormatting>
        <x14:conditionalFormatting xmlns:xm="http://schemas.microsoft.com/office/excel/2006/main">
          <x14:cfRule type="cellIs" priority="539" operator="notEqual" id="{DACA3A3D-6215-4F79-851B-9241DAE24663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E80</xm:sqref>
        </x14:conditionalFormatting>
        <x14:conditionalFormatting xmlns:xm="http://schemas.microsoft.com/office/excel/2006/main">
          <x14:cfRule type="expression" priority="526" id="{2D02B7E1-6323-4A66-AC24-734A24D79BE6}">
            <xm:f>IF('Project information'!$A$13="USD",TRUE)</xm:f>
            <x14:dxf>
              <numFmt numFmtId="199" formatCode="_-[$$-409]* #,##0_ ;_-[$$-409]* \-#,##0\ ;_-[$$-409]* &quot;-&quot;_ ;_-@_ "/>
            </x14:dxf>
          </x14:cfRule>
          <x14:cfRule type="expression" priority="527" id="{D8AEA5D1-B61A-41B0-99F0-C6097333B17A}">
            <xm:f>IF('Project information'!$A$13="EUR",TRUE)</xm:f>
            <x14:dxf>
              <numFmt numFmtId="198" formatCode="_ [$€-2]\ * #,##0_ ;_ [$€-2]\ * \-#,##0_ ;_ [$€-2]\ * &quot;-&quot;_ ;_ @_ "/>
            </x14:dxf>
          </x14:cfRule>
          <x14:cfRule type="expression" priority="528" id="{96FED4AE-F583-4BA4-A153-0327EB803FFA}">
            <xm:f>IF('Project information'!$A$13="INR",TRUE)</xm:f>
            <x14:dxf>
              <numFmt numFmtId="191" formatCode="_ [$₹-4009]\ * #,##0_ ;_ [$₹-4009]\ * \-#,##0_ ;_ [$₹-4009]\ * &quot;-&quot;_ ;_ @_ "/>
            </x14:dxf>
          </x14:cfRule>
          <x14:cfRule type="expression" priority="529" id="{1DBBA13C-6DBC-4E32-8AAA-1AE01474BB03}">
            <xm:f>IF('Project information'!$A$13="JPN",TRUE)</xm:f>
            <x14:dxf>
              <numFmt numFmtId="190" formatCode="_-[$¥-411]* #,##0_-;\-[$¥-411]* #,##0_-;_-[$¥-411]* &quot;-&quot;_-;_-@_-"/>
            </x14:dxf>
          </x14:cfRule>
          <x14:cfRule type="expression" priority="530" id="{7CCC36A7-C9AF-4019-B08C-6E55CD80426D}">
            <xm:f>IF('Project information'!$A$13="KRW",TRUE)</xm:f>
            <x14:dxf>
              <numFmt numFmtId="181" formatCode="_-[$₩-412]* #,##0_-;\-[$₩-412]* #,##0_-;_-[$₩-412]* &quot;-&quot;_-;_-@_-"/>
            </x14:dxf>
          </x14:cfRule>
          <x14:cfRule type="expression" priority="531" id="{DC6166E0-A558-4F2C-9F8F-088A5E6FBD04}">
            <xm:f>IF('Project information'!$A$13="CNY",TRUE)</xm:f>
            <x14:dxf>
              <numFmt numFmtId="178" formatCode="_(&quot;¥&quot;* #,##0_);_(&quot;¥&quot;* \(#,##0\);_(&quot;¥&quot;* &quot;-&quot;_);_(@_)"/>
            </x14:dxf>
          </x14:cfRule>
          <xm:sqref>V80:AA80</xm:sqref>
        </x14:conditionalFormatting>
        <x14:conditionalFormatting xmlns:xm="http://schemas.microsoft.com/office/excel/2006/main">
          <x14:cfRule type="cellIs" priority="523" operator="notEqual" id="{39FDCEE5-DA82-46BD-9D39-7711F77EA7E9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E79</xm:sqref>
        </x14:conditionalFormatting>
        <x14:conditionalFormatting xmlns:xm="http://schemas.microsoft.com/office/excel/2006/main">
          <x14:cfRule type="expression" priority="510" id="{F827ADAB-6F68-48BD-AE4F-4E80DE76B3A8}">
            <xm:f>IF('Project information'!$A$13="USD",TRUE)</xm:f>
            <x14:dxf>
              <numFmt numFmtId="199" formatCode="_-[$$-409]* #,##0_ ;_-[$$-409]* \-#,##0\ ;_-[$$-409]* &quot;-&quot;_ ;_-@_ "/>
            </x14:dxf>
          </x14:cfRule>
          <x14:cfRule type="expression" priority="511" id="{333F7E12-03C5-448A-9CCC-01E51E89197A}">
            <xm:f>IF('Project information'!$A$13="EUR",TRUE)</xm:f>
            <x14:dxf>
              <numFmt numFmtId="198" formatCode="_ [$€-2]\ * #,##0_ ;_ [$€-2]\ * \-#,##0_ ;_ [$€-2]\ * &quot;-&quot;_ ;_ @_ "/>
            </x14:dxf>
          </x14:cfRule>
          <x14:cfRule type="expression" priority="512" id="{4AEE916C-FA67-4CA3-83D1-45FC2BF5D177}">
            <xm:f>IF('Project information'!$A$13="INR",TRUE)</xm:f>
            <x14:dxf>
              <numFmt numFmtId="191" formatCode="_ [$₹-4009]\ * #,##0_ ;_ [$₹-4009]\ * \-#,##0_ ;_ [$₹-4009]\ * &quot;-&quot;_ ;_ @_ "/>
            </x14:dxf>
          </x14:cfRule>
          <x14:cfRule type="expression" priority="513" id="{E719BCDA-501C-4B39-AC72-5CBEC91228D2}">
            <xm:f>IF('Project information'!$A$13="JPN",TRUE)</xm:f>
            <x14:dxf>
              <numFmt numFmtId="190" formatCode="_-[$¥-411]* #,##0_-;\-[$¥-411]* #,##0_-;_-[$¥-411]* &quot;-&quot;_-;_-@_-"/>
            </x14:dxf>
          </x14:cfRule>
          <x14:cfRule type="expression" priority="514" id="{F2D20221-60BE-4D8A-8E80-2B90243A197E}">
            <xm:f>IF('Project information'!$A$13="KRW",TRUE)</xm:f>
            <x14:dxf>
              <numFmt numFmtId="181" formatCode="_-[$₩-412]* #,##0_-;\-[$₩-412]* #,##0_-;_-[$₩-412]* &quot;-&quot;_-;_-@_-"/>
            </x14:dxf>
          </x14:cfRule>
          <x14:cfRule type="expression" priority="515" id="{C2451C38-FD69-4C25-A3DC-DFD80B961080}">
            <xm:f>IF('Project information'!$A$13="CNY",TRUE)</xm:f>
            <x14:dxf>
              <numFmt numFmtId="178" formatCode="_(&quot;¥&quot;* #,##0_);_(&quot;¥&quot;* \(#,##0\);_(&quot;¥&quot;* &quot;-&quot;_);_(@_)"/>
            </x14:dxf>
          </x14:cfRule>
          <xm:sqref>V79:AA79</xm:sqref>
        </x14:conditionalFormatting>
        <x14:conditionalFormatting xmlns:xm="http://schemas.microsoft.com/office/excel/2006/main">
          <x14:cfRule type="cellIs" priority="507" operator="notEqual" id="{256BC063-5CD0-42EA-A4BB-0B9C9211BD14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E78</xm:sqref>
        </x14:conditionalFormatting>
        <x14:conditionalFormatting xmlns:xm="http://schemas.microsoft.com/office/excel/2006/main">
          <x14:cfRule type="expression" priority="494" id="{FF036285-B871-440C-8159-35BBB21F47DB}">
            <xm:f>IF('Project information'!$A$13="USD",TRUE)</xm:f>
            <x14:dxf>
              <numFmt numFmtId="199" formatCode="_-[$$-409]* #,##0_ ;_-[$$-409]* \-#,##0\ ;_-[$$-409]* &quot;-&quot;_ ;_-@_ "/>
            </x14:dxf>
          </x14:cfRule>
          <x14:cfRule type="expression" priority="495" id="{DA8B57D3-FB9A-4C21-907A-4F76AA2CFEBF}">
            <xm:f>IF('Project information'!$A$13="EUR",TRUE)</xm:f>
            <x14:dxf>
              <numFmt numFmtId="198" formatCode="_ [$€-2]\ * #,##0_ ;_ [$€-2]\ * \-#,##0_ ;_ [$€-2]\ * &quot;-&quot;_ ;_ @_ "/>
            </x14:dxf>
          </x14:cfRule>
          <x14:cfRule type="expression" priority="496" id="{0B18D2DB-68A1-47C9-B456-D1EB1B6E306D}">
            <xm:f>IF('Project information'!$A$13="INR",TRUE)</xm:f>
            <x14:dxf>
              <numFmt numFmtId="191" formatCode="_ [$₹-4009]\ * #,##0_ ;_ [$₹-4009]\ * \-#,##0_ ;_ [$₹-4009]\ * &quot;-&quot;_ ;_ @_ "/>
            </x14:dxf>
          </x14:cfRule>
          <x14:cfRule type="expression" priority="497" id="{FB188723-C26C-4ADF-A9CF-30908F9B9ECE}">
            <xm:f>IF('Project information'!$A$13="JPN",TRUE)</xm:f>
            <x14:dxf>
              <numFmt numFmtId="190" formatCode="_-[$¥-411]* #,##0_-;\-[$¥-411]* #,##0_-;_-[$¥-411]* &quot;-&quot;_-;_-@_-"/>
            </x14:dxf>
          </x14:cfRule>
          <x14:cfRule type="expression" priority="498" id="{B1C20C1C-E0E1-4666-940E-595FDBA37F81}">
            <xm:f>IF('Project information'!$A$13="KRW",TRUE)</xm:f>
            <x14:dxf>
              <numFmt numFmtId="181" formatCode="_-[$₩-412]* #,##0_-;\-[$₩-412]* #,##0_-;_-[$₩-412]* &quot;-&quot;_-;_-@_-"/>
            </x14:dxf>
          </x14:cfRule>
          <x14:cfRule type="expression" priority="499" id="{74F941E7-73C0-438B-881F-E641987002F2}">
            <xm:f>IF('Project information'!$A$13="CNY",TRUE)</xm:f>
            <x14:dxf>
              <numFmt numFmtId="178" formatCode="_(&quot;¥&quot;* #,##0_);_(&quot;¥&quot;* \(#,##0\);_(&quot;¥&quot;* &quot;-&quot;_);_(@_)"/>
            </x14:dxf>
          </x14:cfRule>
          <xm:sqref>V78:AA78</xm:sqref>
        </x14:conditionalFormatting>
        <x14:conditionalFormatting xmlns:xm="http://schemas.microsoft.com/office/excel/2006/main">
          <x14:cfRule type="cellIs" priority="491" operator="notEqual" id="{FFAEDF42-F069-4DA6-9495-F6A4E3130371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E77</xm:sqref>
        </x14:conditionalFormatting>
        <x14:conditionalFormatting xmlns:xm="http://schemas.microsoft.com/office/excel/2006/main">
          <x14:cfRule type="expression" priority="478" id="{8E39BC5A-12AE-447F-9B28-AA23957BB0E6}">
            <xm:f>IF('Project information'!$A$13="USD",TRUE)</xm:f>
            <x14:dxf>
              <numFmt numFmtId="199" formatCode="_-[$$-409]* #,##0_ ;_-[$$-409]* \-#,##0\ ;_-[$$-409]* &quot;-&quot;_ ;_-@_ "/>
            </x14:dxf>
          </x14:cfRule>
          <x14:cfRule type="expression" priority="479" id="{5B19EA82-A165-4FAA-9950-08C5169452E8}">
            <xm:f>IF('Project information'!$A$13="EUR",TRUE)</xm:f>
            <x14:dxf>
              <numFmt numFmtId="198" formatCode="_ [$€-2]\ * #,##0_ ;_ [$€-2]\ * \-#,##0_ ;_ [$€-2]\ * &quot;-&quot;_ ;_ @_ "/>
            </x14:dxf>
          </x14:cfRule>
          <x14:cfRule type="expression" priority="480" id="{2DC6E920-26B1-4352-BF38-A973ABC69EC9}">
            <xm:f>IF('Project information'!$A$13="INR",TRUE)</xm:f>
            <x14:dxf>
              <numFmt numFmtId="191" formatCode="_ [$₹-4009]\ * #,##0_ ;_ [$₹-4009]\ * \-#,##0_ ;_ [$₹-4009]\ * &quot;-&quot;_ ;_ @_ "/>
            </x14:dxf>
          </x14:cfRule>
          <x14:cfRule type="expression" priority="481" id="{CC64C73C-AE21-4BCE-BD7C-1471CE8B1E72}">
            <xm:f>IF('Project information'!$A$13="JPN",TRUE)</xm:f>
            <x14:dxf>
              <numFmt numFmtId="190" formatCode="_-[$¥-411]* #,##0_-;\-[$¥-411]* #,##0_-;_-[$¥-411]* &quot;-&quot;_-;_-@_-"/>
            </x14:dxf>
          </x14:cfRule>
          <x14:cfRule type="expression" priority="482" id="{1A9AED31-1B21-4F7F-8D3E-D6F0530C3D0A}">
            <xm:f>IF('Project information'!$A$13="KRW",TRUE)</xm:f>
            <x14:dxf>
              <numFmt numFmtId="181" formatCode="_-[$₩-412]* #,##0_-;\-[$₩-412]* #,##0_-;_-[$₩-412]* &quot;-&quot;_-;_-@_-"/>
            </x14:dxf>
          </x14:cfRule>
          <x14:cfRule type="expression" priority="483" id="{42685C57-D5A2-4DC5-8A3F-C656C75EDFAC}">
            <xm:f>IF('Project information'!$A$13="CNY",TRUE)</xm:f>
            <x14:dxf>
              <numFmt numFmtId="178" formatCode="_(&quot;¥&quot;* #,##0_);_(&quot;¥&quot;* \(#,##0\);_(&quot;¥&quot;* &quot;-&quot;_);_(@_)"/>
            </x14:dxf>
          </x14:cfRule>
          <xm:sqref>V77:AA77</xm:sqref>
        </x14:conditionalFormatting>
        <x14:conditionalFormatting xmlns:xm="http://schemas.microsoft.com/office/excel/2006/main">
          <x14:cfRule type="cellIs" priority="475" operator="notEqual" id="{8F42CED9-E1A6-413C-AAC0-19EE2FD5C95C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E76</xm:sqref>
        </x14:conditionalFormatting>
        <x14:conditionalFormatting xmlns:xm="http://schemas.microsoft.com/office/excel/2006/main">
          <x14:cfRule type="expression" priority="462" id="{25386967-D2F4-4D09-B375-A113F05E93FA}">
            <xm:f>IF('Project information'!$A$13="USD",TRUE)</xm:f>
            <x14:dxf>
              <numFmt numFmtId="199" formatCode="_-[$$-409]* #,##0_ ;_-[$$-409]* \-#,##0\ ;_-[$$-409]* &quot;-&quot;_ ;_-@_ "/>
            </x14:dxf>
          </x14:cfRule>
          <x14:cfRule type="expression" priority="463" id="{4DD002BA-C1A2-4FF1-84A8-20B4A7A52691}">
            <xm:f>IF('Project information'!$A$13="EUR",TRUE)</xm:f>
            <x14:dxf>
              <numFmt numFmtId="198" formatCode="_ [$€-2]\ * #,##0_ ;_ [$€-2]\ * \-#,##0_ ;_ [$€-2]\ * &quot;-&quot;_ ;_ @_ "/>
            </x14:dxf>
          </x14:cfRule>
          <x14:cfRule type="expression" priority="464" id="{BF25E393-6618-40D5-A9AE-8618F296169A}">
            <xm:f>IF('Project information'!$A$13="INR",TRUE)</xm:f>
            <x14:dxf>
              <numFmt numFmtId="191" formatCode="_ [$₹-4009]\ * #,##0_ ;_ [$₹-4009]\ * \-#,##0_ ;_ [$₹-4009]\ * &quot;-&quot;_ ;_ @_ "/>
            </x14:dxf>
          </x14:cfRule>
          <x14:cfRule type="expression" priority="465" id="{CE223F92-0F95-432A-BF50-519A4CCED1E4}">
            <xm:f>IF('Project information'!$A$13="JPN",TRUE)</xm:f>
            <x14:dxf>
              <numFmt numFmtId="190" formatCode="_-[$¥-411]* #,##0_-;\-[$¥-411]* #,##0_-;_-[$¥-411]* &quot;-&quot;_-;_-@_-"/>
            </x14:dxf>
          </x14:cfRule>
          <x14:cfRule type="expression" priority="466" id="{56D3C0E4-2D13-4A71-9C80-F34E62650BD7}">
            <xm:f>IF('Project information'!$A$13="KRW",TRUE)</xm:f>
            <x14:dxf>
              <numFmt numFmtId="181" formatCode="_-[$₩-412]* #,##0_-;\-[$₩-412]* #,##0_-;_-[$₩-412]* &quot;-&quot;_-;_-@_-"/>
            </x14:dxf>
          </x14:cfRule>
          <x14:cfRule type="expression" priority="467" id="{FA3211B8-BF79-412B-A7B1-61ECC92CA6DA}">
            <xm:f>IF('Project information'!$A$13="CNY",TRUE)</xm:f>
            <x14:dxf>
              <numFmt numFmtId="178" formatCode="_(&quot;¥&quot;* #,##0_);_(&quot;¥&quot;* \(#,##0\);_(&quot;¥&quot;* &quot;-&quot;_);_(@_)"/>
            </x14:dxf>
          </x14:cfRule>
          <xm:sqref>V76:AA76</xm:sqref>
        </x14:conditionalFormatting>
        <x14:conditionalFormatting xmlns:xm="http://schemas.microsoft.com/office/excel/2006/main">
          <x14:cfRule type="cellIs" priority="459" operator="notEqual" id="{BFE50B05-86FC-4186-8304-2CD1296756E9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E71</xm:sqref>
        </x14:conditionalFormatting>
        <x14:conditionalFormatting xmlns:xm="http://schemas.microsoft.com/office/excel/2006/main">
          <x14:cfRule type="expression" priority="446" id="{15C8BAC7-A625-443A-BA0B-98F5D0BA8015}">
            <xm:f>IF('Project information'!$A$13="USD",TRUE)</xm:f>
            <x14:dxf>
              <numFmt numFmtId="199" formatCode="_-[$$-409]* #,##0_ ;_-[$$-409]* \-#,##0\ ;_-[$$-409]* &quot;-&quot;_ ;_-@_ "/>
            </x14:dxf>
          </x14:cfRule>
          <x14:cfRule type="expression" priority="447" id="{DE0B07BF-3608-46EF-BD12-0375F61CD5BB}">
            <xm:f>IF('Project information'!$A$13="EUR",TRUE)</xm:f>
            <x14:dxf>
              <numFmt numFmtId="198" formatCode="_ [$€-2]\ * #,##0_ ;_ [$€-2]\ * \-#,##0_ ;_ [$€-2]\ * &quot;-&quot;_ ;_ @_ "/>
            </x14:dxf>
          </x14:cfRule>
          <x14:cfRule type="expression" priority="448" id="{071277AC-A599-4196-B533-73142229A5F9}">
            <xm:f>IF('Project information'!$A$13="INR",TRUE)</xm:f>
            <x14:dxf>
              <numFmt numFmtId="191" formatCode="_ [$₹-4009]\ * #,##0_ ;_ [$₹-4009]\ * \-#,##0_ ;_ [$₹-4009]\ * &quot;-&quot;_ ;_ @_ "/>
            </x14:dxf>
          </x14:cfRule>
          <x14:cfRule type="expression" priority="449" id="{49D7074C-A54C-40F3-B520-EFC4DAEDBECF}">
            <xm:f>IF('Project information'!$A$13="JPN",TRUE)</xm:f>
            <x14:dxf>
              <numFmt numFmtId="190" formatCode="_-[$¥-411]* #,##0_-;\-[$¥-411]* #,##0_-;_-[$¥-411]* &quot;-&quot;_-;_-@_-"/>
            </x14:dxf>
          </x14:cfRule>
          <x14:cfRule type="expression" priority="450" id="{A2338720-E237-4940-9AEE-EBFC97D307B5}">
            <xm:f>IF('Project information'!$A$13="KRW",TRUE)</xm:f>
            <x14:dxf>
              <numFmt numFmtId="181" formatCode="_-[$₩-412]* #,##0_-;\-[$₩-412]* #,##0_-;_-[$₩-412]* &quot;-&quot;_-;_-@_-"/>
            </x14:dxf>
          </x14:cfRule>
          <x14:cfRule type="expression" priority="451" id="{E9A7C6ED-F6C0-46D5-897F-FAE4E733E944}">
            <xm:f>IF('Project information'!$A$13="CNY",TRUE)</xm:f>
            <x14:dxf>
              <numFmt numFmtId="178" formatCode="_(&quot;¥&quot;* #,##0_);_(&quot;¥&quot;* \(#,##0\);_(&quot;¥&quot;* &quot;-&quot;_);_(@_)"/>
            </x14:dxf>
          </x14:cfRule>
          <xm:sqref>V71:AA71</xm:sqref>
        </x14:conditionalFormatting>
        <x14:conditionalFormatting xmlns:xm="http://schemas.microsoft.com/office/excel/2006/main">
          <x14:cfRule type="cellIs" priority="443" operator="notEqual" id="{9000BACC-2853-444D-BFFA-47EC01CE541A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E72:E75</xm:sqref>
        </x14:conditionalFormatting>
        <x14:conditionalFormatting xmlns:xm="http://schemas.microsoft.com/office/excel/2006/main">
          <x14:cfRule type="expression" priority="430" id="{9C9CA42C-E6D9-40EA-9CEF-02D2038F93BF}">
            <xm:f>IF('Project information'!$A$13="USD",TRUE)</xm:f>
            <x14:dxf>
              <numFmt numFmtId="199" formatCode="_-[$$-409]* #,##0_ ;_-[$$-409]* \-#,##0\ ;_-[$$-409]* &quot;-&quot;_ ;_-@_ "/>
            </x14:dxf>
          </x14:cfRule>
          <x14:cfRule type="expression" priority="431" id="{D9FEF44D-861C-4C8A-82AA-41780028ECED}">
            <xm:f>IF('Project information'!$A$13="EUR",TRUE)</xm:f>
            <x14:dxf>
              <numFmt numFmtId="198" formatCode="_ [$€-2]\ * #,##0_ ;_ [$€-2]\ * \-#,##0_ ;_ [$€-2]\ * &quot;-&quot;_ ;_ @_ "/>
            </x14:dxf>
          </x14:cfRule>
          <x14:cfRule type="expression" priority="432" id="{2401F498-B861-4D6C-93DA-67030430032A}">
            <xm:f>IF('Project information'!$A$13="INR",TRUE)</xm:f>
            <x14:dxf>
              <numFmt numFmtId="191" formatCode="_ [$₹-4009]\ * #,##0_ ;_ [$₹-4009]\ * \-#,##0_ ;_ [$₹-4009]\ * &quot;-&quot;_ ;_ @_ "/>
            </x14:dxf>
          </x14:cfRule>
          <x14:cfRule type="expression" priority="433" id="{A803E55D-0220-4B06-BF90-B89D441E5536}">
            <xm:f>IF('Project information'!$A$13="JPN",TRUE)</xm:f>
            <x14:dxf>
              <numFmt numFmtId="190" formatCode="_-[$¥-411]* #,##0_-;\-[$¥-411]* #,##0_-;_-[$¥-411]* &quot;-&quot;_-;_-@_-"/>
            </x14:dxf>
          </x14:cfRule>
          <x14:cfRule type="expression" priority="434" id="{1D7EAE73-59B7-4AAB-9FB2-9DA4BFF59CC5}">
            <xm:f>IF('Project information'!$A$13="KRW",TRUE)</xm:f>
            <x14:dxf>
              <numFmt numFmtId="181" formatCode="_-[$₩-412]* #,##0_-;\-[$₩-412]* #,##0_-;_-[$₩-412]* &quot;-&quot;_-;_-@_-"/>
            </x14:dxf>
          </x14:cfRule>
          <x14:cfRule type="expression" priority="435" id="{AAD6DC54-C0B1-4E02-99FB-9C4D68A30AF0}">
            <xm:f>IF('Project information'!$A$13="CNY",TRUE)</xm:f>
            <x14:dxf>
              <numFmt numFmtId="178" formatCode="_(&quot;¥&quot;* #,##0_);_(&quot;¥&quot;* \(#,##0\);_(&quot;¥&quot;* &quot;-&quot;_);_(@_)"/>
            </x14:dxf>
          </x14:cfRule>
          <xm:sqref>V72:AA75</xm:sqref>
        </x14:conditionalFormatting>
        <x14:conditionalFormatting xmlns:xm="http://schemas.microsoft.com/office/excel/2006/main">
          <x14:cfRule type="cellIs" priority="262" operator="notEqual" id="{3429D365-4232-4505-8EB1-8342588B0599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E260</xm:sqref>
        </x14:conditionalFormatting>
        <x14:conditionalFormatting xmlns:xm="http://schemas.microsoft.com/office/excel/2006/main">
          <x14:cfRule type="expression" priority="249" id="{49FCF529-7C41-4099-B7A1-6F0C9395543A}">
            <xm:f>IF('Project information'!$A$13="USD",TRUE)</xm:f>
            <x14:dxf>
              <numFmt numFmtId="199" formatCode="_-[$$-409]* #,##0_ ;_-[$$-409]* \-#,##0\ ;_-[$$-409]* &quot;-&quot;_ ;_-@_ "/>
            </x14:dxf>
          </x14:cfRule>
          <x14:cfRule type="expression" priority="250" id="{F8B5DA9E-5992-400E-8E8F-615C2EAB6AA8}">
            <xm:f>IF('Project information'!$A$13="EUR",TRUE)</xm:f>
            <x14:dxf>
              <numFmt numFmtId="198" formatCode="_ [$€-2]\ * #,##0_ ;_ [$€-2]\ * \-#,##0_ ;_ [$€-2]\ * &quot;-&quot;_ ;_ @_ "/>
            </x14:dxf>
          </x14:cfRule>
          <x14:cfRule type="expression" priority="251" id="{B37993A1-8F56-4B8A-9A9A-82E9D757B139}">
            <xm:f>IF('Project information'!$A$13="INR",TRUE)</xm:f>
            <x14:dxf>
              <numFmt numFmtId="191" formatCode="_ [$₹-4009]\ * #,##0_ ;_ [$₹-4009]\ * \-#,##0_ ;_ [$₹-4009]\ * &quot;-&quot;_ ;_ @_ "/>
            </x14:dxf>
          </x14:cfRule>
          <x14:cfRule type="expression" priority="252" id="{D8546638-E286-43FC-A6FF-62D3CCDF658A}">
            <xm:f>IF('Project information'!$A$13="JPN",TRUE)</xm:f>
            <x14:dxf>
              <numFmt numFmtId="190" formatCode="_-[$¥-411]* #,##0_-;\-[$¥-411]* #,##0_-;_-[$¥-411]* &quot;-&quot;_-;_-@_-"/>
            </x14:dxf>
          </x14:cfRule>
          <x14:cfRule type="expression" priority="253" id="{196B28EC-3ECA-4F64-8EF2-CA4215AFAEC1}">
            <xm:f>IF('Project information'!$A$13="KRW",TRUE)</xm:f>
            <x14:dxf>
              <numFmt numFmtId="181" formatCode="_-[$₩-412]* #,##0_-;\-[$₩-412]* #,##0_-;_-[$₩-412]* &quot;-&quot;_-;_-@_-"/>
            </x14:dxf>
          </x14:cfRule>
          <x14:cfRule type="expression" priority="254" id="{A937D6E0-66E5-43BE-B8B6-C9182965CF10}">
            <xm:f>IF('Project information'!$A$13="CNY",TRUE)</xm:f>
            <x14:dxf>
              <numFmt numFmtId="178" formatCode="_(&quot;¥&quot;* #,##0_);_(&quot;¥&quot;* \(#,##0\);_(&quot;¥&quot;* &quot;-&quot;_);_(@_)"/>
            </x14:dxf>
          </x14:cfRule>
          <xm:sqref>V260:AA260</xm:sqref>
        </x14:conditionalFormatting>
        <x14:conditionalFormatting xmlns:xm="http://schemas.microsoft.com/office/excel/2006/main">
          <x14:cfRule type="cellIs" priority="246" operator="notEqual" id="{9F70D9CB-6F0F-4921-B17A-356AD2C4A91D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E253 E246:E251</xm:sqref>
        </x14:conditionalFormatting>
        <x14:conditionalFormatting xmlns:xm="http://schemas.microsoft.com/office/excel/2006/main">
          <x14:cfRule type="expression" priority="233" id="{5F8F2A2C-0A77-48D4-9235-AA461FD8526D}">
            <xm:f>IF('Project information'!$A$13="USD",TRUE)</xm:f>
            <x14:dxf>
              <numFmt numFmtId="199" formatCode="_-[$$-409]* #,##0_ ;_-[$$-409]* \-#,##0\ ;_-[$$-409]* &quot;-&quot;_ ;_-@_ "/>
            </x14:dxf>
          </x14:cfRule>
          <x14:cfRule type="expression" priority="234" id="{898B1425-77FD-4BEE-8609-0C829ED650CB}">
            <xm:f>IF('Project information'!$A$13="EUR",TRUE)</xm:f>
            <x14:dxf>
              <numFmt numFmtId="198" formatCode="_ [$€-2]\ * #,##0_ ;_ [$€-2]\ * \-#,##0_ ;_ [$€-2]\ * &quot;-&quot;_ ;_ @_ "/>
            </x14:dxf>
          </x14:cfRule>
          <x14:cfRule type="expression" priority="235" id="{281BF9E5-40E1-4EDD-A880-904C4D166C5F}">
            <xm:f>IF('Project information'!$A$13="INR",TRUE)</xm:f>
            <x14:dxf>
              <numFmt numFmtId="191" formatCode="_ [$₹-4009]\ * #,##0_ ;_ [$₹-4009]\ * \-#,##0_ ;_ [$₹-4009]\ * &quot;-&quot;_ ;_ @_ "/>
            </x14:dxf>
          </x14:cfRule>
          <x14:cfRule type="expression" priority="236" id="{7376FF67-5F8E-4FF9-9082-294498B77B1C}">
            <xm:f>IF('Project information'!$A$13="JPN",TRUE)</xm:f>
            <x14:dxf>
              <numFmt numFmtId="190" formatCode="_-[$¥-411]* #,##0_-;\-[$¥-411]* #,##0_-;_-[$¥-411]* &quot;-&quot;_-;_-@_-"/>
            </x14:dxf>
          </x14:cfRule>
          <x14:cfRule type="expression" priority="237" id="{99197F6B-2028-4587-AA95-C7145E354B32}">
            <xm:f>IF('Project information'!$A$13="KRW",TRUE)</xm:f>
            <x14:dxf>
              <numFmt numFmtId="181" formatCode="_-[$₩-412]* #,##0_-;\-[$₩-412]* #,##0_-;_-[$₩-412]* &quot;-&quot;_-;_-@_-"/>
            </x14:dxf>
          </x14:cfRule>
          <x14:cfRule type="expression" priority="238" id="{3327B318-55BC-4785-92D5-904E7140DA75}">
            <xm:f>IF('Project information'!$A$13="CNY",TRUE)</xm:f>
            <x14:dxf>
              <numFmt numFmtId="178" formatCode="_(&quot;¥&quot;* #,##0_);_(&quot;¥&quot;* \(#,##0\);_(&quot;¥&quot;* &quot;-&quot;_);_(@_)"/>
            </x14:dxf>
          </x14:cfRule>
          <xm:sqref>V253:AA253 V246:AA251</xm:sqref>
        </x14:conditionalFormatting>
        <x14:conditionalFormatting xmlns:xm="http://schemas.microsoft.com/office/excel/2006/main">
          <x14:cfRule type="cellIs" priority="230" operator="notEqual" id="{6926FE62-58EF-4AF0-87F4-7D84F79CC48B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E252</xm:sqref>
        </x14:conditionalFormatting>
        <x14:conditionalFormatting xmlns:xm="http://schemas.microsoft.com/office/excel/2006/main">
          <x14:cfRule type="expression" priority="217" id="{77CC157A-363B-465C-9DAD-2DF0BB29933E}">
            <xm:f>IF('Project information'!$A$13="USD",TRUE)</xm:f>
            <x14:dxf>
              <numFmt numFmtId="199" formatCode="_-[$$-409]* #,##0_ ;_-[$$-409]* \-#,##0\ ;_-[$$-409]* &quot;-&quot;_ ;_-@_ "/>
            </x14:dxf>
          </x14:cfRule>
          <x14:cfRule type="expression" priority="218" id="{0214BD8E-DEDF-49F9-97BE-50E7944BBA04}">
            <xm:f>IF('Project information'!$A$13="EUR",TRUE)</xm:f>
            <x14:dxf>
              <numFmt numFmtId="198" formatCode="_ [$€-2]\ * #,##0_ ;_ [$€-2]\ * \-#,##0_ ;_ [$€-2]\ * &quot;-&quot;_ ;_ @_ "/>
            </x14:dxf>
          </x14:cfRule>
          <x14:cfRule type="expression" priority="219" id="{78129A79-1600-4222-B9E6-F711B95A815D}">
            <xm:f>IF('Project information'!$A$13="INR",TRUE)</xm:f>
            <x14:dxf>
              <numFmt numFmtId="191" formatCode="_ [$₹-4009]\ * #,##0_ ;_ [$₹-4009]\ * \-#,##0_ ;_ [$₹-4009]\ * &quot;-&quot;_ ;_ @_ "/>
            </x14:dxf>
          </x14:cfRule>
          <x14:cfRule type="expression" priority="220" id="{E9EE460C-FCB4-46A0-8DA7-2DB9C29404B2}">
            <xm:f>IF('Project information'!$A$13="JPN",TRUE)</xm:f>
            <x14:dxf>
              <numFmt numFmtId="190" formatCode="_-[$¥-411]* #,##0_-;\-[$¥-411]* #,##0_-;_-[$¥-411]* &quot;-&quot;_-;_-@_-"/>
            </x14:dxf>
          </x14:cfRule>
          <x14:cfRule type="expression" priority="221" id="{831CCBE0-2430-46B4-96A5-F3C5699E24C0}">
            <xm:f>IF('Project information'!$A$13="KRW",TRUE)</xm:f>
            <x14:dxf>
              <numFmt numFmtId="181" formatCode="_-[$₩-412]* #,##0_-;\-[$₩-412]* #,##0_-;_-[$₩-412]* &quot;-&quot;_-;_-@_-"/>
            </x14:dxf>
          </x14:cfRule>
          <x14:cfRule type="expression" priority="222" id="{D71CBA33-92D3-499A-9CA4-30AA6FDC116F}">
            <xm:f>IF('Project information'!$A$13="CNY",TRUE)</xm:f>
            <x14:dxf>
              <numFmt numFmtId="178" formatCode="_(&quot;¥&quot;* #,##0_);_(&quot;¥&quot;* \(#,##0\);_(&quot;¥&quot;* &quot;-&quot;_);_(@_)"/>
            </x14:dxf>
          </x14:cfRule>
          <xm:sqref>V252:AA252</xm:sqref>
        </x14:conditionalFormatting>
        <x14:conditionalFormatting xmlns:xm="http://schemas.microsoft.com/office/excel/2006/main">
          <x14:cfRule type="cellIs" priority="214" operator="notEqual" id="{CB634201-21FC-42EA-9BDD-53C9214E89B8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E300</xm:sqref>
        </x14:conditionalFormatting>
        <x14:conditionalFormatting xmlns:xm="http://schemas.microsoft.com/office/excel/2006/main">
          <x14:cfRule type="expression" priority="201" id="{EA20CA94-3FDD-4F3C-9BC1-49C0DE8D42DC}">
            <xm:f>IF('Project information'!$A$13="USD",TRUE)</xm:f>
            <x14:dxf>
              <numFmt numFmtId="199" formatCode="_-[$$-409]* #,##0_ ;_-[$$-409]* \-#,##0\ ;_-[$$-409]* &quot;-&quot;_ ;_-@_ "/>
            </x14:dxf>
          </x14:cfRule>
          <x14:cfRule type="expression" priority="202" id="{F9315B90-614D-4FF5-9E00-2BC36CF5084B}">
            <xm:f>IF('Project information'!$A$13="EUR",TRUE)</xm:f>
            <x14:dxf>
              <numFmt numFmtId="198" formatCode="_ [$€-2]\ * #,##0_ ;_ [$€-2]\ * \-#,##0_ ;_ [$€-2]\ * &quot;-&quot;_ ;_ @_ "/>
            </x14:dxf>
          </x14:cfRule>
          <x14:cfRule type="expression" priority="203" id="{BC3A10B1-9F1D-4F30-9292-8047D40EE381}">
            <xm:f>IF('Project information'!$A$13="INR",TRUE)</xm:f>
            <x14:dxf>
              <numFmt numFmtId="191" formatCode="_ [$₹-4009]\ * #,##0_ ;_ [$₹-4009]\ * \-#,##0_ ;_ [$₹-4009]\ * &quot;-&quot;_ ;_ @_ "/>
            </x14:dxf>
          </x14:cfRule>
          <x14:cfRule type="expression" priority="204" id="{0C253FE9-6F28-4DC5-BA53-8E15F1643749}">
            <xm:f>IF('Project information'!$A$13="JPN",TRUE)</xm:f>
            <x14:dxf>
              <numFmt numFmtId="190" formatCode="_-[$¥-411]* #,##0_-;\-[$¥-411]* #,##0_-;_-[$¥-411]* &quot;-&quot;_-;_-@_-"/>
            </x14:dxf>
          </x14:cfRule>
          <x14:cfRule type="expression" priority="205" id="{93ACC19C-B092-40C3-8DA5-CD216BED93CE}">
            <xm:f>IF('Project information'!$A$13="KRW",TRUE)</xm:f>
            <x14:dxf>
              <numFmt numFmtId="181" formatCode="_-[$₩-412]* #,##0_-;\-[$₩-412]* #,##0_-;_-[$₩-412]* &quot;-&quot;_-;_-@_-"/>
            </x14:dxf>
          </x14:cfRule>
          <x14:cfRule type="expression" priority="206" id="{DF93C893-556D-4C66-9B98-F2327A453DD8}">
            <xm:f>IF('Project information'!$A$13="CNY",TRUE)</xm:f>
            <x14:dxf>
              <numFmt numFmtId="178" formatCode="_(&quot;¥&quot;* #,##0_);_(&quot;¥&quot;* \(#,##0\);_(&quot;¥&quot;* &quot;-&quot;_);_(@_)"/>
            </x14:dxf>
          </x14:cfRule>
          <xm:sqref>V300:AA300</xm:sqref>
        </x14:conditionalFormatting>
        <x14:conditionalFormatting xmlns:xm="http://schemas.microsoft.com/office/excel/2006/main">
          <x14:cfRule type="expression" priority="45" id="{C2245672-6B1A-44AC-A932-C834C8666FBC}">
            <xm:f>IF('Project information'!$A$13="USD",TRUE)</xm:f>
            <x14:dxf>
              <numFmt numFmtId="199" formatCode="_-[$$-409]* #,##0_ ;_-[$$-409]* \-#,##0\ ;_-[$$-409]* &quot;-&quot;_ ;_-@_ "/>
            </x14:dxf>
          </x14:cfRule>
          <x14:cfRule type="expression" priority="46" id="{21FD9561-ECB6-426E-B917-767CD7134D66}">
            <xm:f>IF('Project information'!$A$13="EUR",TRUE)</xm:f>
            <x14:dxf>
              <numFmt numFmtId="198" formatCode="_ [$€-2]\ * #,##0_ ;_ [$€-2]\ * \-#,##0_ ;_ [$€-2]\ * &quot;-&quot;_ ;_ @_ "/>
            </x14:dxf>
          </x14:cfRule>
          <x14:cfRule type="expression" priority="47" id="{4EF0C61B-40F9-48EA-9067-C07690CEDA3F}">
            <xm:f>IF('Project information'!$A$13="INR",TRUE)</xm:f>
            <x14:dxf>
              <numFmt numFmtId="191" formatCode="_ [$₹-4009]\ * #,##0_ ;_ [$₹-4009]\ * \-#,##0_ ;_ [$₹-4009]\ * &quot;-&quot;_ ;_ @_ "/>
            </x14:dxf>
          </x14:cfRule>
          <x14:cfRule type="expression" priority="48" id="{53FF0C05-382C-451E-AF96-D4C60A4658ED}">
            <xm:f>IF('Project information'!$A$13="JPN",TRUE)</xm:f>
            <x14:dxf>
              <numFmt numFmtId="190" formatCode="_-[$¥-411]* #,##0_-;\-[$¥-411]* #,##0_-;_-[$¥-411]* &quot;-&quot;_-;_-@_-"/>
            </x14:dxf>
          </x14:cfRule>
          <x14:cfRule type="expression" priority="49" id="{D3BC70C7-8C6B-410C-BC15-14E250B54ADE}">
            <xm:f>IF('Project information'!$A$13="KRW",TRUE)</xm:f>
            <x14:dxf>
              <numFmt numFmtId="181" formatCode="_-[$₩-412]* #,##0_-;\-[$₩-412]* #,##0_-;_-[$₩-412]* &quot;-&quot;_-;_-@_-"/>
            </x14:dxf>
          </x14:cfRule>
          <x14:cfRule type="expression" priority="50" id="{505E2817-AC67-41F0-901F-C1B9C4FDABC9}">
            <xm:f>IF('Project information'!$A$13="CNY",TRUE)</xm:f>
            <x14:dxf>
              <numFmt numFmtId="178" formatCode="_(&quot;¥&quot;* #,##0_);_(&quot;¥&quot;* \(#,##0\);_(&quot;¥&quot;* &quot;-&quot;_);_(@_)"/>
            </x14:dxf>
          </x14:cfRule>
          <xm:sqref>U123:U156 U158:U391</xm:sqref>
        </x14:conditionalFormatting>
        <x14:conditionalFormatting xmlns:xm="http://schemas.microsoft.com/office/excel/2006/main">
          <x14:cfRule type="cellIs" priority="43" operator="notEqual" id="{CB54FBBC-6858-4C50-B535-F0AB348E9C34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E157</xm:sqref>
        </x14:conditionalFormatting>
        <x14:conditionalFormatting xmlns:xm="http://schemas.microsoft.com/office/excel/2006/main">
          <x14:cfRule type="expression" priority="30" id="{E64BCB5B-6F26-4166-B566-83BA9E8D6720}">
            <xm:f>IF('Project information'!$A$13="USD",TRUE)</xm:f>
            <x14:dxf>
              <numFmt numFmtId="199" formatCode="_-[$$-409]* #,##0_ ;_-[$$-409]* \-#,##0\ ;_-[$$-409]* &quot;-&quot;_ ;_-@_ "/>
            </x14:dxf>
          </x14:cfRule>
          <x14:cfRule type="expression" priority="31" id="{74AB22AE-51CE-475E-9613-3D2B47C586AB}">
            <xm:f>IF('Project information'!$A$13="EUR",TRUE)</xm:f>
            <x14:dxf>
              <numFmt numFmtId="198" formatCode="_ [$€-2]\ * #,##0_ ;_ [$€-2]\ * \-#,##0_ ;_ [$€-2]\ * &quot;-&quot;_ ;_ @_ "/>
            </x14:dxf>
          </x14:cfRule>
          <x14:cfRule type="expression" priority="32" id="{7969D03A-7EBD-4C72-A7BA-B46930586C72}">
            <xm:f>IF('Project information'!$A$13="INR",TRUE)</xm:f>
            <x14:dxf>
              <numFmt numFmtId="191" formatCode="_ [$₹-4009]\ * #,##0_ ;_ [$₹-4009]\ * \-#,##0_ ;_ [$₹-4009]\ * &quot;-&quot;_ ;_ @_ "/>
            </x14:dxf>
          </x14:cfRule>
          <x14:cfRule type="expression" priority="33" id="{87E577BA-2906-42D7-94D7-7CD19566213A}">
            <xm:f>IF('Project information'!$A$13="JPN",TRUE)</xm:f>
            <x14:dxf>
              <numFmt numFmtId="190" formatCode="_-[$¥-411]* #,##0_-;\-[$¥-411]* #,##0_-;_-[$¥-411]* &quot;-&quot;_-;_-@_-"/>
            </x14:dxf>
          </x14:cfRule>
          <x14:cfRule type="expression" priority="34" id="{8379A5B3-969D-40DB-9FE9-2949AF207A92}">
            <xm:f>IF('Project information'!$A$13="KRW",TRUE)</xm:f>
            <x14:dxf>
              <numFmt numFmtId="181" formatCode="_-[$₩-412]* #,##0_-;\-[$₩-412]* #,##0_-;_-[$₩-412]* &quot;-&quot;_-;_-@_-"/>
            </x14:dxf>
          </x14:cfRule>
          <x14:cfRule type="expression" priority="35" id="{FF542BDD-4B26-48FF-B665-52EE0426565D}">
            <xm:f>IF('Project information'!$A$13="CNY",TRUE)</xm:f>
            <x14:dxf>
              <numFmt numFmtId="178" formatCode="_(&quot;¥&quot;* #,##0_);_(&quot;¥&quot;* \(#,##0\);_(&quot;¥&quot;* &quot;-&quot;_);_(@_)"/>
            </x14:dxf>
          </x14:cfRule>
          <xm:sqref>V157:AA157</xm:sqref>
        </x14:conditionalFormatting>
        <x14:conditionalFormatting xmlns:xm="http://schemas.microsoft.com/office/excel/2006/main">
          <x14:cfRule type="expression" priority="23" id="{72D2B81F-6377-4EA5-BA65-97714154ABC4}">
            <xm:f>IF('Project information'!$A$13="USD",TRUE)</xm:f>
            <x14:dxf>
              <numFmt numFmtId="199" formatCode="_-[$$-409]* #,##0_ ;_-[$$-409]* \-#,##0\ ;_-[$$-409]* &quot;-&quot;_ ;_-@_ "/>
            </x14:dxf>
          </x14:cfRule>
          <x14:cfRule type="expression" priority="24" id="{487B28B6-EE96-4D93-BB37-15FC4F1C6A77}">
            <xm:f>IF('Project information'!$A$13="EUR",TRUE)</xm:f>
            <x14:dxf>
              <numFmt numFmtId="198" formatCode="_ [$€-2]\ * #,##0_ ;_ [$€-2]\ * \-#,##0_ ;_ [$€-2]\ * &quot;-&quot;_ ;_ @_ "/>
            </x14:dxf>
          </x14:cfRule>
          <x14:cfRule type="expression" priority="25" id="{62E03EAD-AE38-4338-8885-65AECB17BF30}">
            <xm:f>IF('Project information'!$A$13="INR",TRUE)</xm:f>
            <x14:dxf>
              <numFmt numFmtId="191" formatCode="_ [$₹-4009]\ * #,##0_ ;_ [$₹-4009]\ * \-#,##0_ ;_ [$₹-4009]\ * &quot;-&quot;_ ;_ @_ "/>
            </x14:dxf>
          </x14:cfRule>
          <x14:cfRule type="expression" priority="26" id="{59365C49-C38B-4AAD-A3C5-0B45081699B3}">
            <xm:f>IF('Project information'!$A$13="JPN",TRUE)</xm:f>
            <x14:dxf>
              <numFmt numFmtId="190" formatCode="_-[$¥-411]* #,##0_-;\-[$¥-411]* #,##0_-;_-[$¥-411]* &quot;-&quot;_-;_-@_-"/>
            </x14:dxf>
          </x14:cfRule>
          <x14:cfRule type="expression" priority="27" id="{CB09D5D8-FD30-4927-B33B-E81BC054E365}">
            <xm:f>IF('Project information'!$A$13="KRW",TRUE)</xm:f>
            <x14:dxf>
              <numFmt numFmtId="181" formatCode="_-[$₩-412]* #,##0_-;\-[$₩-412]* #,##0_-;_-[$₩-412]* &quot;-&quot;_-;_-@_-"/>
            </x14:dxf>
          </x14:cfRule>
          <x14:cfRule type="expression" priority="28" id="{C12C8985-0132-4351-9BB2-135C95B29D5F}">
            <xm:f>IF('Project information'!$A$13="CNY",TRUE)</xm:f>
            <x14:dxf>
              <numFmt numFmtId="178" formatCode="_(&quot;¥&quot;* #,##0_);_(&quot;¥&quot;* \(#,##0\);_(&quot;¥&quot;* &quot;-&quot;_);_(@_)"/>
            </x14:dxf>
          </x14:cfRule>
          <xm:sqref>U157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Title="Standard cost not available" error="Standard cost is not available for the chosen task location. You need to fill it manually." xr:uid="{00000000-0002-0000-0300-000003000000}">
          <x14:formula1>
            <xm:f>'Dropdown list'!$A$2:$A$7</xm:f>
          </x14:formula1>
          <xm:sqref>E26:E103 E123:E391 E106:E120 E10 E12:E23</xm:sqref>
        </x14:dataValidation>
        <x14:dataValidation type="list" allowBlank="1" showInputMessage="1" showErrorMessage="1" xr:uid="{4383BDBB-58D4-47DC-8D53-0EF2EFB73CA5}">
          <x14:formula1>
            <xm:f>'Standard hourly rate'!$C$1:$T$1</xm:f>
          </x14:formula1>
          <xm:sqref>E13:E14 E5:E9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7CC98-87F0-49E5-957E-869156909527}">
  <sheetPr>
    <pageSetUpPr fitToPage="1"/>
  </sheetPr>
  <dimension ref="B1:M10"/>
  <sheetViews>
    <sheetView showGridLines="0" workbookViewId="0">
      <selection activeCell="B10" sqref="B10:M10"/>
    </sheetView>
  </sheetViews>
  <sheetFormatPr defaultRowHeight="12.5"/>
  <cols>
    <col min="1" max="1" width="1.6328125" style="155" customWidth="1"/>
    <col min="2" max="7" width="15.6328125" style="155" customWidth="1"/>
    <col min="8" max="8" width="1.6328125" style="155" customWidth="1"/>
    <col min="9" max="9" width="10.6328125" style="155" customWidth="1"/>
    <col min="10" max="10" width="1.6328125" style="155" customWidth="1"/>
    <col min="11" max="13" width="15.6328125" style="155" customWidth="1"/>
    <col min="14" max="14" width="1.6328125" style="155" customWidth="1"/>
    <col min="15" max="16384" width="8.7265625" style="155"/>
  </cols>
  <sheetData>
    <row r="1" spans="2:13" ht="40" customHeight="1">
      <c r="B1" s="279" t="s">
        <v>1406</v>
      </c>
      <c r="C1" s="280"/>
      <c r="D1" s="280"/>
      <c r="E1" s="280"/>
      <c r="F1" s="280"/>
      <c r="G1" s="280"/>
      <c r="H1" s="280"/>
      <c r="I1" s="280"/>
      <c r="J1" s="280"/>
      <c r="K1" s="280"/>
      <c r="L1" s="280"/>
      <c r="M1" s="280"/>
    </row>
    <row r="3" spans="2:13">
      <c r="B3" s="281" t="s">
        <v>1400</v>
      </c>
      <c r="C3" s="33" t="s">
        <v>92</v>
      </c>
      <c r="D3" s="33" t="s">
        <v>1401</v>
      </c>
      <c r="E3" s="33" t="s">
        <v>1402</v>
      </c>
    </row>
    <row r="4" spans="2:13">
      <c r="B4" s="282"/>
      <c r="C4" s="33"/>
      <c r="D4" s="33"/>
      <c r="E4" s="33"/>
    </row>
    <row r="6" spans="2:13">
      <c r="B6" s="238" t="s">
        <v>102</v>
      </c>
      <c r="C6" s="17" t="s">
        <v>103</v>
      </c>
      <c r="D6" s="17" t="s">
        <v>104</v>
      </c>
      <c r="E6" s="17" t="s">
        <v>105</v>
      </c>
      <c r="F6" s="17" t="s">
        <v>106</v>
      </c>
      <c r="G6" s="17" t="s">
        <v>107</v>
      </c>
      <c r="I6" s="17" t="s">
        <v>90</v>
      </c>
    </row>
    <row r="7" spans="2:13">
      <c r="B7" s="238"/>
      <c r="C7" s="100"/>
      <c r="D7" s="43"/>
      <c r="E7" s="43"/>
      <c r="F7" s="43"/>
      <c r="G7" s="43"/>
      <c r="I7" s="39">
        <v>0.04</v>
      </c>
    </row>
    <row r="9" spans="2:13">
      <c r="B9" s="231" t="s">
        <v>1403</v>
      </c>
    </row>
    <row r="10" spans="2:13">
      <c r="B10" s="283"/>
      <c r="C10" s="283"/>
      <c r="D10" s="283"/>
      <c r="E10" s="283"/>
      <c r="F10" s="283"/>
      <c r="G10" s="283"/>
      <c r="H10" s="283"/>
      <c r="I10" s="283"/>
      <c r="J10" s="283"/>
      <c r="K10" s="283"/>
      <c r="L10" s="283"/>
      <c r="M10" s="283"/>
    </row>
  </sheetData>
  <mergeCells count="4">
    <mergeCell ref="B1:M1"/>
    <mergeCell ref="B3:B4"/>
    <mergeCell ref="B6:B7"/>
    <mergeCell ref="B10:M10"/>
  </mergeCells>
  <phoneticPr fontId="22" type="noConversion"/>
  <dataValidations count="1">
    <dataValidation type="date" allowBlank="1" showInputMessage="1" showErrorMessage="1" sqref="C7:G7" xr:uid="{60FECA1E-96DC-44AE-95E1-0403E4D3D154}">
      <formula1>43466</formula1>
      <formula2>55153</formula2>
    </dataValidation>
  </dataValidations>
  <printOptions horizontalCentered="1"/>
  <pageMargins left="0.47244094488189003" right="0.47244094488189003" top="0.47244094488189003" bottom="0.47244094488189003" header="0.3" footer="0.3"/>
  <pageSetup paperSize="9" fitToHeight="10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006B5A-FA17-44A8-A9F7-0008FE29B6E5}">
  <sheetPr codeName="Sheet15">
    <pageSetUpPr fitToPage="1"/>
  </sheetPr>
  <dimension ref="B1:M10"/>
  <sheetViews>
    <sheetView showGridLines="0" workbookViewId="0">
      <selection activeCell="B10" sqref="B10:M10"/>
    </sheetView>
  </sheetViews>
  <sheetFormatPr defaultColWidth="9.1796875" defaultRowHeight="12.5"/>
  <cols>
    <col min="1" max="1" width="1.7265625" style="155" customWidth="1"/>
    <col min="2" max="7" width="15.7265625" style="155" customWidth="1"/>
    <col min="8" max="8" width="1.7265625" style="155" customWidth="1"/>
    <col min="9" max="9" width="10.7265625" style="155" customWidth="1"/>
    <col min="10" max="10" width="1.7265625" style="155" customWidth="1"/>
    <col min="11" max="13" width="15.7265625" style="155" customWidth="1"/>
    <col min="14" max="14" width="1.7265625" style="155" customWidth="1"/>
    <col min="15" max="16384" width="9.1796875" style="155"/>
  </cols>
  <sheetData>
    <row r="1" spans="2:13" ht="40" customHeight="1">
      <c r="B1" s="279" t="s">
        <v>1399</v>
      </c>
      <c r="C1" s="280"/>
      <c r="D1" s="280"/>
      <c r="E1" s="280"/>
      <c r="F1" s="280"/>
      <c r="G1" s="280"/>
      <c r="H1" s="280"/>
      <c r="I1" s="280"/>
      <c r="J1" s="280"/>
      <c r="K1" s="280"/>
      <c r="L1" s="280"/>
      <c r="M1" s="280"/>
    </row>
    <row r="3" spans="2:13">
      <c r="B3" s="281" t="s">
        <v>1400</v>
      </c>
      <c r="C3" s="33" t="s">
        <v>92</v>
      </c>
      <c r="D3" s="33" t="s">
        <v>1401</v>
      </c>
      <c r="E3" s="33" t="s">
        <v>1402</v>
      </c>
    </row>
    <row r="4" spans="2:13">
      <c r="B4" s="282"/>
      <c r="C4" s="33"/>
      <c r="D4" s="33"/>
      <c r="E4" s="33"/>
    </row>
    <row r="6" spans="2:13">
      <c r="B6" s="238" t="s">
        <v>102</v>
      </c>
      <c r="C6" s="17" t="s">
        <v>103</v>
      </c>
      <c r="D6" s="17" t="s">
        <v>104</v>
      </c>
      <c r="E6" s="17" t="s">
        <v>105</v>
      </c>
      <c r="F6" s="17" t="s">
        <v>106</v>
      </c>
      <c r="G6" s="17" t="s">
        <v>107</v>
      </c>
      <c r="I6" s="17" t="s">
        <v>90</v>
      </c>
    </row>
    <row r="7" spans="2:13">
      <c r="B7" s="238"/>
      <c r="C7" s="100"/>
      <c r="D7" s="43"/>
      <c r="E7" s="43"/>
      <c r="F7" s="43"/>
      <c r="G7" s="43"/>
      <c r="I7" s="39">
        <v>0.04</v>
      </c>
    </row>
    <row r="9" spans="2:13">
      <c r="B9" s="231" t="s">
        <v>1403</v>
      </c>
    </row>
    <row r="10" spans="2:13">
      <c r="B10" s="283"/>
      <c r="C10" s="283"/>
      <c r="D10" s="283"/>
      <c r="E10" s="283"/>
      <c r="F10" s="283"/>
      <c r="G10" s="283"/>
      <c r="H10" s="283"/>
      <c r="I10" s="283"/>
      <c r="J10" s="283"/>
      <c r="K10" s="283"/>
      <c r="L10" s="283"/>
      <c r="M10" s="283"/>
    </row>
  </sheetData>
  <mergeCells count="4">
    <mergeCell ref="B1:M1"/>
    <mergeCell ref="B3:B4"/>
    <mergeCell ref="B6:B7"/>
    <mergeCell ref="B10:M10"/>
  </mergeCells>
  <phoneticPr fontId="22" type="noConversion"/>
  <dataValidations count="1">
    <dataValidation type="date" allowBlank="1" showInputMessage="1" showErrorMessage="1" sqref="C7:G7" xr:uid="{32A529AE-A1B4-4F04-A05F-F28F6CC4956F}">
      <formula1>43466</formula1>
      <formula2>55153</formula2>
    </dataValidation>
  </dataValidations>
  <printOptions horizontalCentered="1"/>
  <pageMargins left="0.47244094488189003" right="0.47244094488189003" top="0.47244094488189003" bottom="0.47244094488189003" header="0.3" footer="0.3"/>
  <pageSetup paperSize="9" fitToHeight="10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7FD05-2A62-47AB-B883-2C9ED21DDCA9}">
  <sheetPr codeName="Sheet21"/>
  <dimension ref="A1:AL18"/>
  <sheetViews>
    <sheetView workbookViewId="0">
      <selection activeCell="O42" sqref="O42"/>
    </sheetView>
  </sheetViews>
  <sheetFormatPr defaultColWidth="9.1796875" defaultRowHeight="14" outlineLevelRow="1"/>
  <cols>
    <col min="1" max="1" width="5.54296875" customWidth="1"/>
    <col min="2" max="2" width="15" bestFit="1" customWidth="1"/>
    <col min="3" max="3" width="35.54296875" customWidth="1"/>
    <col min="4" max="4" width="13.453125" customWidth="1"/>
    <col min="5" max="6" width="10.54296875" customWidth="1"/>
    <col min="7" max="12" width="15.54296875" customWidth="1"/>
    <col min="13" max="14" width="20.453125" customWidth="1"/>
    <col min="37" max="37" width="5.54296875" customWidth="1"/>
    <col min="38" max="38" width="22" customWidth="1"/>
  </cols>
  <sheetData>
    <row r="1" spans="1:38" ht="51.75" customHeight="1">
      <c r="A1" t="s">
        <v>119</v>
      </c>
    </row>
    <row r="2" spans="1:38">
      <c r="A2" t="s">
        <v>456</v>
      </c>
      <c r="F2" t="s">
        <v>125</v>
      </c>
      <c r="G2" t="s">
        <v>457</v>
      </c>
      <c r="M2" t="s">
        <v>127</v>
      </c>
      <c r="N2">
        <v>44638</v>
      </c>
    </row>
    <row r="3" spans="1:38">
      <c r="A3" t="s">
        <v>128</v>
      </c>
      <c r="B3" t="s">
        <v>130</v>
      </c>
      <c r="C3" t="s">
        <v>131</v>
      </c>
      <c r="D3" t="s">
        <v>132</v>
      </c>
      <c r="E3" t="s">
        <v>133</v>
      </c>
      <c r="F3" t="s">
        <v>135</v>
      </c>
      <c r="G3" t="s">
        <v>120</v>
      </c>
      <c r="H3" t="s">
        <v>121</v>
      </c>
      <c r="I3" t="s">
        <v>122</v>
      </c>
      <c r="J3" t="s">
        <v>123</v>
      </c>
      <c r="K3" t="s">
        <v>124</v>
      </c>
      <c r="L3" t="s">
        <v>125</v>
      </c>
      <c r="M3" t="s">
        <v>137</v>
      </c>
      <c r="AK3" t="s">
        <v>128</v>
      </c>
      <c r="AL3" t="s">
        <v>134</v>
      </c>
    </row>
    <row r="4" spans="1:38" collapsed="1">
      <c r="A4">
        <v>1</v>
      </c>
      <c r="C4" t="s">
        <v>138</v>
      </c>
      <c r="L4">
        <v>0</v>
      </c>
      <c r="AK4">
        <v>1</v>
      </c>
    </row>
    <row r="5" spans="1:38">
      <c r="A5">
        <v>2</v>
      </c>
      <c r="C5" t="s">
        <v>152</v>
      </c>
      <c r="L5">
        <v>513176</v>
      </c>
      <c r="AK5">
        <v>2</v>
      </c>
    </row>
    <row r="6" spans="1:38" outlineLevel="1">
      <c r="A6" t="s">
        <v>458</v>
      </c>
      <c r="B6" t="s">
        <v>145</v>
      </c>
      <c r="C6" t="s">
        <v>459</v>
      </c>
      <c r="D6" t="s">
        <v>460</v>
      </c>
      <c r="E6">
        <v>1</v>
      </c>
      <c r="F6">
        <v>651</v>
      </c>
      <c r="G6">
        <v>31284</v>
      </c>
      <c r="H6">
        <v>102960</v>
      </c>
      <c r="I6">
        <v>60192</v>
      </c>
      <c r="J6">
        <v>51480</v>
      </c>
      <c r="K6">
        <v>11880</v>
      </c>
      <c r="L6">
        <v>257796</v>
      </c>
      <c r="AK6" t="s">
        <v>458</v>
      </c>
    </row>
    <row r="7" spans="1:38" outlineLevel="1">
      <c r="A7" t="s">
        <v>461</v>
      </c>
      <c r="B7" t="s">
        <v>147</v>
      </c>
      <c r="C7" t="s">
        <v>155</v>
      </c>
      <c r="D7" t="s">
        <v>460</v>
      </c>
      <c r="E7">
        <v>1</v>
      </c>
      <c r="F7">
        <v>91</v>
      </c>
      <c r="G7">
        <v>6201</v>
      </c>
      <c r="H7">
        <v>15264</v>
      </c>
      <c r="I7">
        <v>10971</v>
      </c>
      <c r="J7">
        <v>8586</v>
      </c>
      <c r="K7">
        <v>2385</v>
      </c>
      <c r="L7">
        <v>43407</v>
      </c>
      <c r="AK7" t="s">
        <v>461</v>
      </c>
    </row>
    <row r="8" spans="1:38" outlineLevel="1">
      <c r="A8" t="s">
        <v>462</v>
      </c>
      <c r="B8" t="s">
        <v>147</v>
      </c>
      <c r="C8" t="s">
        <v>156</v>
      </c>
      <c r="D8" t="s">
        <v>460</v>
      </c>
      <c r="E8">
        <v>1</v>
      </c>
      <c r="F8">
        <v>69</v>
      </c>
      <c r="G8">
        <v>2862</v>
      </c>
      <c r="H8">
        <v>8586</v>
      </c>
      <c r="I8">
        <v>17172</v>
      </c>
      <c r="J8">
        <v>3339</v>
      </c>
      <c r="K8">
        <v>954</v>
      </c>
      <c r="L8">
        <v>32913</v>
      </c>
      <c r="AK8" t="s">
        <v>462</v>
      </c>
    </row>
    <row r="9" spans="1:38" outlineLevel="1">
      <c r="A9" t="s">
        <v>463</v>
      </c>
      <c r="B9" t="s">
        <v>147</v>
      </c>
      <c r="C9" t="s">
        <v>157</v>
      </c>
      <c r="D9" t="s">
        <v>460</v>
      </c>
      <c r="E9">
        <v>1</v>
      </c>
      <c r="F9">
        <v>138</v>
      </c>
      <c r="G9">
        <v>3700</v>
      </c>
      <c r="H9">
        <v>14800</v>
      </c>
      <c r="I9">
        <v>17390</v>
      </c>
      <c r="J9">
        <v>12580</v>
      </c>
      <c r="K9">
        <v>2590</v>
      </c>
      <c r="L9">
        <v>51060</v>
      </c>
      <c r="AK9" t="s">
        <v>463</v>
      </c>
      <c r="AL9" t="s">
        <v>158</v>
      </c>
    </row>
    <row r="10" spans="1:38" outlineLevel="1">
      <c r="A10" t="s">
        <v>464</v>
      </c>
      <c r="B10" t="s">
        <v>147</v>
      </c>
      <c r="C10" t="s">
        <v>162</v>
      </c>
      <c r="D10" t="s">
        <v>460</v>
      </c>
      <c r="E10">
        <v>1</v>
      </c>
      <c r="F10">
        <v>400</v>
      </c>
      <c r="G10">
        <v>21440</v>
      </c>
      <c r="H10">
        <v>51200</v>
      </c>
      <c r="I10">
        <v>33920</v>
      </c>
      <c r="J10">
        <v>17600</v>
      </c>
      <c r="K10">
        <v>3840</v>
      </c>
      <c r="L10">
        <v>128000</v>
      </c>
      <c r="AK10" t="s">
        <v>464</v>
      </c>
    </row>
    <row r="11" spans="1:38">
      <c r="A11" t="s">
        <v>450</v>
      </c>
      <c r="G11" t="s">
        <v>120</v>
      </c>
      <c r="H11" t="s">
        <v>121</v>
      </c>
      <c r="I11" t="s">
        <v>122</v>
      </c>
      <c r="J11" t="s">
        <v>123</v>
      </c>
      <c r="K11" t="s">
        <v>124</v>
      </c>
      <c r="L11" t="s">
        <v>125</v>
      </c>
    </row>
    <row r="12" spans="1:38">
      <c r="G12">
        <v>65487</v>
      </c>
      <c r="H12">
        <v>192810</v>
      </c>
      <c r="I12">
        <v>139645</v>
      </c>
      <c r="J12">
        <v>93585</v>
      </c>
      <c r="K12">
        <v>21649</v>
      </c>
      <c r="L12">
        <v>513176</v>
      </c>
    </row>
    <row r="13" spans="1:38">
      <c r="A13" t="s">
        <v>451</v>
      </c>
      <c r="G13" t="s">
        <v>120</v>
      </c>
      <c r="H13" t="s">
        <v>121</v>
      </c>
      <c r="I13" t="s">
        <v>122</v>
      </c>
      <c r="J13" t="s">
        <v>123</v>
      </c>
      <c r="K13" t="s">
        <v>124</v>
      </c>
      <c r="L13" t="s">
        <v>125</v>
      </c>
    </row>
    <row r="14" spans="1:38">
      <c r="G14">
        <v>65487</v>
      </c>
      <c r="H14">
        <v>192810</v>
      </c>
      <c r="I14">
        <v>139645</v>
      </c>
      <c r="J14">
        <v>93585</v>
      </c>
      <c r="K14">
        <v>21649</v>
      </c>
      <c r="L14">
        <v>513176</v>
      </c>
    </row>
    <row r="16" spans="1:38">
      <c r="A16" t="s">
        <v>452</v>
      </c>
      <c r="B16" t="s">
        <v>453</v>
      </c>
      <c r="AK16" t="s">
        <v>452</v>
      </c>
    </row>
    <row r="17" spans="2:3">
      <c r="B17" t="s">
        <v>454</v>
      </c>
      <c r="C17" t="s">
        <v>455</v>
      </c>
    </row>
    <row r="18" spans="2:3">
      <c r="B18">
        <v>44638</v>
      </c>
    </row>
  </sheetData>
  <phoneticPr fontId="22" type="noConversion"/>
  <dataValidations count="2">
    <dataValidation type="list" allowBlank="1" showInputMessage="1" showErrorMessage="1" sqref="AL9" xr:uid="{A79C8238-BDCE-4C8D-BD37-9D481594AD9C}">
      <formula1>"Y,N"</formula1>
    </dataValidation>
    <dataValidation type="date" allowBlank="1" showInputMessage="1" showErrorMessage="1" error="Please input the date in right format. Otherwise macro cannot run properly." promptTitle="Date format" prompt="yyyy-mm-dd_x000a_or_x000a_yyyy/mm/dd" sqref="B18:B27" xr:uid="{94D857B5-BD4F-452E-837C-0DC10DBBE0B5}">
      <formula1>40544</formula1>
      <formula2>73050</formula2>
    </dataValidation>
  </dataValidations>
  <hyperlinks>
    <hyperlink ref="A16" location="'D&amp;D cost quotation'!A1" display="TOP" xr:uid="{AF3B0255-0C51-4EEC-A1CE-29F11ECFFDCE}"/>
    <hyperlink ref="AK16" location="'D&amp;D cost quotation'!A1" display="TOP" xr:uid="{34017F1D-4156-4587-8ECD-EDD8CCC01DF1}"/>
  </hyperlinks>
  <pageMargins left="0.7" right="0.7" top="0.75" bottom="0.75" header="0.3" footer="0.3"/>
  <pageSetup paperSize="9" orientation="portrait" r:id="rId1"/>
  <headerFooter>
    <oddHeader>&amp;R&amp;"Calibri"&amp;8&amp;K808080 INTERNAL &amp; PARTNERS&amp;1#_x000D_</oddHeader>
    <oddFooter>&amp;R_x000D_&amp;1#&amp;"Calibri"&amp;2&amp;KFFFFFF 5acXjzUk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Standard cost not available" error="Standard cost is not available for the chosen task location. You need to fill it manually." xr:uid="{235FDBBC-A027-41F3-B3B3-93810FCFE01D}">
          <x14:formula1>
            <xm:f>'Dropdown list'!$A$2:$A$7</xm:f>
          </x14:formula1>
          <xm:sqref>D6:D10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G29"/>
  <sheetViews>
    <sheetView workbookViewId="0">
      <selection activeCell="G23" sqref="G23"/>
    </sheetView>
  </sheetViews>
  <sheetFormatPr defaultColWidth="9.1796875" defaultRowHeight="12.5" outlineLevelCol="1"/>
  <cols>
    <col min="1" max="1" width="40.54296875" style="85" customWidth="1"/>
    <col min="2" max="6" width="15.54296875" style="85" customWidth="1" outlineLevel="1"/>
    <col min="7" max="7" width="15.54296875" style="85" customWidth="1"/>
    <col min="8" max="16384" width="9.1796875" style="85"/>
  </cols>
  <sheetData>
    <row r="1" spans="1:7">
      <c r="A1" s="84"/>
      <c r="B1" s="84"/>
      <c r="C1" s="84"/>
      <c r="D1" s="84"/>
      <c r="E1" s="84"/>
      <c r="F1" s="84"/>
      <c r="G1" s="84"/>
    </row>
    <row r="2" spans="1:7">
      <c r="A2" s="69" t="str">
        <f>IF('Project information'!A7="","Tempo code",'Project information'!A7)</f>
        <v>Tempo code</v>
      </c>
      <c r="B2" s="70" t="str">
        <f>IF('Project information'!B10="","G1",'Project information'!B10)</f>
        <v>G1</v>
      </c>
      <c r="C2" s="70" t="str">
        <f>IF('Project information'!C10="","G2A",'Project information'!C10)</f>
        <v>G2A</v>
      </c>
      <c r="D2" s="70" t="str">
        <f>IF('Project information'!D10="","G2B",'Project information'!D10)</f>
        <v>G2B</v>
      </c>
      <c r="E2" s="70" t="str">
        <f>IF('Project information'!E10="","G3",'Project information'!E10)</f>
        <v>G3</v>
      </c>
      <c r="F2" s="70" t="str">
        <f>IF('Project information'!F10="","G4",'Project information'!F10)</f>
        <v>G4</v>
      </c>
      <c r="G2" s="71"/>
    </row>
    <row r="3" spans="1:7" ht="13" thickBot="1">
      <c r="A3" s="69"/>
      <c r="B3" s="69"/>
      <c r="C3" s="71"/>
      <c r="D3" s="71"/>
      <c r="E3" s="71"/>
      <c r="F3" s="71"/>
      <c r="G3" s="71"/>
    </row>
    <row r="4" spans="1:7" ht="13" thickBot="1">
      <c r="A4" s="72" t="s">
        <v>465</v>
      </c>
      <c r="B4" s="73">
        <v>1</v>
      </c>
      <c r="C4" s="74" t="s">
        <v>121</v>
      </c>
      <c r="D4" s="74" t="s">
        <v>122</v>
      </c>
      <c r="E4" s="74">
        <v>3</v>
      </c>
      <c r="F4" s="74">
        <v>4</v>
      </c>
      <c r="G4" s="75" t="s">
        <v>466</v>
      </c>
    </row>
    <row r="5" spans="1:7">
      <c r="A5" s="76"/>
      <c r="B5" s="77"/>
      <c r="C5" s="77"/>
      <c r="D5" s="77"/>
      <c r="E5" s="77"/>
      <c r="F5" s="77"/>
      <c r="G5" s="78"/>
    </row>
    <row r="6" spans="1:7">
      <c r="A6" s="76" t="s">
        <v>467</v>
      </c>
      <c r="B6" s="77">
        <f>IF('D&amp;D cost quotation'!$G5="N",'D&amp;D cost quotation'!V5,0)</f>
        <v>0</v>
      </c>
      <c r="C6" s="77">
        <f>IF('D&amp;D cost quotation'!$G5="N",'D&amp;D cost quotation'!W5,0)</f>
        <v>0</v>
      </c>
      <c r="D6" s="77">
        <f>IF('D&amp;D cost quotation'!$G5="N",'D&amp;D cost quotation'!X5,0)</f>
        <v>0</v>
      </c>
      <c r="E6" s="77">
        <f>IF('D&amp;D cost quotation'!$G5="N",'D&amp;D cost quotation'!Y5,0)</f>
        <v>0</v>
      </c>
      <c r="F6" s="77">
        <f>IF('D&amp;D cost quotation'!$G5="N",'D&amp;D cost quotation'!Z5,0)</f>
        <v>0</v>
      </c>
      <c r="G6" s="78">
        <f t="shared" ref="G6:G9" si="0">SUM(B6:F6)</f>
        <v>0</v>
      </c>
    </row>
    <row r="7" spans="1:7">
      <c r="A7" s="76" t="s">
        <v>468</v>
      </c>
      <c r="B7" s="77">
        <f>IF('D&amp;D cost quotation'!$G6="N",'D&amp;D cost quotation'!V6,0)</f>
        <v>0</v>
      </c>
      <c r="C7" s="77">
        <f>IF('D&amp;D cost quotation'!$G6="N",'D&amp;D cost quotation'!W6,0)</f>
        <v>0</v>
      </c>
      <c r="D7" s="77">
        <f>IF('D&amp;D cost quotation'!$G6="N",'D&amp;D cost quotation'!X6,0)</f>
        <v>0</v>
      </c>
      <c r="E7" s="77">
        <f>IF('D&amp;D cost quotation'!$G6="N",'D&amp;D cost quotation'!Y6,0)</f>
        <v>0</v>
      </c>
      <c r="F7" s="77">
        <f>IF('D&amp;D cost quotation'!$G6="N",'D&amp;D cost quotation'!Z6,0)</f>
        <v>0</v>
      </c>
      <c r="G7" s="78">
        <f t="shared" si="0"/>
        <v>0</v>
      </c>
    </row>
    <row r="8" spans="1:7">
      <c r="A8" s="76" t="s">
        <v>469</v>
      </c>
      <c r="B8" s="77">
        <f>IF('D&amp;D cost quotation'!$G7="N",'D&amp;D cost quotation'!V7,0)</f>
        <v>0</v>
      </c>
      <c r="C8" s="77">
        <f>IF('D&amp;D cost quotation'!$G7="N",'D&amp;D cost quotation'!W7,0)</f>
        <v>0</v>
      </c>
      <c r="D8" s="77">
        <f>IF('D&amp;D cost quotation'!$G7="N",'D&amp;D cost quotation'!X7,0)</f>
        <v>0</v>
      </c>
      <c r="E8" s="77">
        <f>IF('D&amp;D cost quotation'!$G7="N",'D&amp;D cost quotation'!Y7,0)</f>
        <v>0</v>
      </c>
      <c r="F8" s="77">
        <f>IF('D&amp;D cost quotation'!$G7="N",'D&amp;D cost quotation'!Z7,0)</f>
        <v>0</v>
      </c>
      <c r="G8" s="78">
        <f t="shared" si="0"/>
        <v>0</v>
      </c>
    </row>
    <row r="9" spans="1:7">
      <c r="A9" s="76" t="s">
        <v>470</v>
      </c>
      <c r="B9" s="77">
        <f>IF('D&amp;D cost quotation'!$G8="N",'D&amp;D cost quotation'!V8,0)</f>
        <v>0</v>
      </c>
      <c r="C9" s="77">
        <f>IF('D&amp;D cost quotation'!$G8="N",'D&amp;D cost quotation'!W8,0)</f>
        <v>0</v>
      </c>
      <c r="D9" s="77">
        <f>IF('D&amp;D cost quotation'!$G8="N",'D&amp;D cost quotation'!X8,0)</f>
        <v>0</v>
      </c>
      <c r="E9" s="77">
        <f>IF('D&amp;D cost quotation'!$G8="N",'D&amp;D cost quotation'!Y8,0)</f>
        <v>0</v>
      </c>
      <c r="F9" s="77">
        <f>IF('D&amp;D cost quotation'!$G8="N",'D&amp;D cost quotation'!Z8,0)</f>
        <v>0</v>
      </c>
      <c r="G9" s="78">
        <f t="shared" si="0"/>
        <v>0</v>
      </c>
    </row>
    <row r="10" spans="1:7">
      <c r="A10" s="76"/>
      <c r="B10" s="77"/>
      <c r="C10" s="77"/>
      <c r="D10" s="77"/>
      <c r="E10" s="77"/>
      <c r="F10" s="77"/>
      <c r="G10" s="78"/>
    </row>
    <row r="11" spans="1:7">
      <c r="A11" s="76" t="s">
        <v>471</v>
      </c>
      <c r="B11" s="77">
        <f>'D&amp;D cost quotation'!V12</f>
        <v>42350</v>
      </c>
      <c r="C11" s="77">
        <f>'D&amp;D cost quotation'!W12</f>
        <v>139650</v>
      </c>
      <c r="D11" s="77">
        <f>'D&amp;D cost quotation'!X12</f>
        <v>81550</v>
      </c>
      <c r="E11" s="77">
        <f>'D&amp;D cost quotation'!Y12</f>
        <v>69650</v>
      </c>
      <c r="F11" s="77">
        <f>'D&amp;D cost quotation'!Z12</f>
        <v>15750</v>
      </c>
      <c r="G11" s="78">
        <f t="shared" ref="G11:G19" si="1">SUM(B11:F11)</f>
        <v>348950</v>
      </c>
    </row>
    <row r="12" spans="1:7">
      <c r="A12" s="76" t="s">
        <v>472</v>
      </c>
      <c r="B12" s="77">
        <f>'D&amp;D cost quotation'!V15+'D&amp;D cost quotation'!V16+'D&amp;D cost quotation'!V18</f>
        <v>16566</v>
      </c>
      <c r="C12" s="77">
        <f>'D&amp;D cost quotation'!W15+'D&amp;D cost quotation'!W16+'D&amp;D cost quotation'!W18</f>
        <v>44176</v>
      </c>
      <c r="D12" s="77">
        <f>'D&amp;D cost quotation'!X15+'D&amp;D cost quotation'!X16+'D&amp;D cost quotation'!X18</f>
        <v>45682</v>
      </c>
      <c r="E12" s="77">
        <f>'D&amp;D cost quotation'!Y15+'D&amp;D cost quotation'!Y16+'D&amp;D cost quotation'!Y18</f>
        <v>22590</v>
      </c>
      <c r="F12" s="77">
        <f>'D&amp;D cost quotation'!Z15+'D&amp;D cost quotation'!Z16+'D&amp;D cost quotation'!Z18</f>
        <v>6024</v>
      </c>
      <c r="G12" s="78">
        <f t="shared" si="1"/>
        <v>135038</v>
      </c>
    </row>
    <row r="13" spans="1:7">
      <c r="A13" s="76" t="s">
        <v>473</v>
      </c>
      <c r="B13" s="77">
        <f>'D&amp;D cost quotation'!V21</f>
        <v>30555</v>
      </c>
      <c r="C13" s="77">
        <f>'D&amp;D cost quotation'!W21</f>
        <v>73710</v>
      </c>
      <c r="D13" s="77">
        <f>'D&amp;D cost quotation'!X21</f>
        <v>48510</v>
      </c>
      <c r="E13" s="77">
        <f>'D&amp;D cost quotation'!Y21</f>
        <v>25200</v>
      </c>
      <c r="F13" s="77">
        <f>'D&amp;D cost quotation'!Z21</f>
        <v>5670</v>
      </c>
      <c r="G13" s="78">
        <f t="shared" si="1"/>
        <v>183645</v>
      </c>
    </row>
    <row r="14" spans="1:7">
      <c r="A14" s="76" t="s">
        <v>474</v>
      </c>
      <c r="B14" s="77">
        <f>SUM('D&amp;D cost quotation'!V26:V103)</f>
        <v>0</v>
      </c>
      <c r="C14" s="77">
        <f>SUM('D&amp;D cost quotation'!W26:W103)</f>
        <v>0</v>
      </c>
      <c r="D14" s="77">
        <f>SUM('D&amp;D cost quotation'!X26:X103)</f>
        <v>0</v>
      </c>
      <c r="E14" s="77">
        <f>SUM('D&amp;D cost quotation'!Y26:Y103)</f>
        <v>0</v>
      </c>
      <c r="F14" s="77">
        <f>SUM('D&amp;D cost quotation'!Z26:Z103)</f>
        <v>0</v>
      </c>
      <c r="G14" s="78">
        <f t="shared" si="1"/>
        <v>0</v>
      </c>
    </row>
    <row r="15" spans="1:7">
      <c r="A15" s="76" t="s">
        <v>475</v>
      </c>
      <c r="B15" s="77">
        <f>IF('D&amp;D cost quotation'!$G14="N",'D&amp;D cost quotation'!V14,0)</f>
        <v>0</v>
      </c>
      <c r="C15" s="77">
        <f>IF('D&amp;D cost quotation'!$G14="N",'D&amp;D cost quotation'!W14,0)</f>
        <v>0</v>
      </c>
      <c r="D15" s="77">
        <f>IF('D&amp;D cost quotation'!$G14="N",'D&amp;D cost quotation'!X14,0)</f>
        <v>0</v>
      </c>
      <c r="E15" s="77">
        <f>IF('D&amp;D cost quotation'!$G14="N",'D&amp;D cost quotation'!Y14,0)</f>
        <v>0</v>
      </c>
      <c r="F15" s="77">
        <f>IF('D&amp;D cost quotation'!$G14="N",'D&amp;D cost quotation'!Z14,0)</f>
        <v>0</v>
      </c>
      <c r="G15" s="78">
        <f t="shared" si="1"/>
        <v>0</v>
      </c>
    </row>
    <row r="16" spans="1:7">
      <c r="A16" s="76" t="s">
        <v>476</v>
      </c>
      <c r="B16" s="77">
        <f>IF('D&amp;D cost quotation'!$G17="N",'D&amp;D cost quotation'!V17,0)</f>
        <v>0</v>
      </c>
      <c r="C16" s="77">
        <f>IF('D&amp;D cost quotation'!$G17="N",'D&amp;D cost quotation'!W17,0)</f>
        <v>0</v>
      </c>
      <c r="D16" s="77">
        <f>IF('D&amp;D cost quotation'!$G17="N",'D&amp;D cost quotation'!X17,0)</f>
        <v>0</v>
      </c>
      <c r="E16" s="77">
        <f>IF('D&amp;D cost quotation'!$G17="N",'D&amp;D cost quotation'!Y17,0)</f>
        <v>0</v>
      </c>
      <c r="F16" s="77">
        <f>IF('D&amp;D cost quotation'!$G17="N",'D&amp;D cost quotation'!Z17,0)</f>
        <v>0</v>
      </c>
      <c r="G16" s="78">
        <f t="shared" si="1"/>
        <v>0</v>
      </c>
    </row>
    <row r="17" spans="1:7">
      <c r="A17" s="76" t="s">
        <v>477</v>
      </c>
      <c r="B17" s="77">
        <f>SUM('D&amp;D cost quotation'!V106:V120)</f>
        <v>0</v>
      </c>
      <c r="C17" s="77">
        <f>SUM('D&amp;D cost quotation'!W106:W120)</f>
        <v>0</v>
      </c>
      <c r="D17" s="77">
        <f>SUM('D&amp;D cost quotation'!X106:X120)</f>
        <v>0</v>
      </c>
      <c r="E17" s="77">
        <f>SUM('D&amp;D cost quotation'!Y106:Y120)</f>
        <v>0</v>
      </c>
      <c r="F17" s="77">
        <f>SUM('D&amp;D cost quotation'!Z106:Z120)</f>
        <v>0</v>
      </c>
      <c r="G17" s="78">
        <f t="shared" si="1"/>
        <v>0</v>
      </c>
    </row>
    <row r="18" spans="1:7">
      <c r="A18" s="76" t="s">
        <v>478</v>
      </c>
      <c r="B18" s="77">
        <f>'D&amp;D cost quotation'!V397-SUM('For Finance Control'!B6:B17,'For Finance Control'!B19)</f>
        <v>6700</v>
      </c>
      <c r="C18" s="77">
        <f>'D&amp;D cost quotation'!W397-SUM('For Finance Control'!C6:C17,'For Finance Control'!C19)</f>
        <v>22095</v>
      </c>
      <c r="D18" s="77">
        <f>'D&amp;D cost quotation'!X397-SUM('For Finance Control'!D6:D17,'For Finance Control'!D19)</f>
        <v>12903</v>
      </c>
      <c r="E18" s="77">
        <f>'D&amp;D cost quotation'!Y397-SUM('For Finance Control'!E6:E17,'For Finance Control'!E19)</f>
        <v>11020</v>
      </c>
      <c r="F18" s="77">
        <f>'D&amp;D cost quotation'!Z397-SUM('For Finance Control'!F6:F17,'For Finance Control'!F19)</f>
        <v>2492</v>
      </c>
      <c r="G18" s="78">
        <f t="shared" si="1"/>
        <v>55210</v>
      </c>
    </row>
    <row r="19" spans="1:7">
      <c r="A19" s="76" t="s">
        <v>479</v>
      </c>
      <c r="B19" s="77">
        <f>SUM('D&amp;D cost quotation'!V123:V391)</f>
        <v>0</v>
      </c>
      <c r="C19" s="77">
        <f>SUM('D&amp;D cost quotation'!W123:W391)</f>
        <v>0</v>
      </c>
      <c r="D19" s="77">
        <f>SUM('D&amp;D cost quotation'!X123:X391)</f>
        <v>0</v>
      </c>
      <c r="E19" s="77">
        <f>SUM('D&amp;D cost quotation'!Y123:Y391)</f>
        <v>0</v>
      </c>
      <c r="F19" s="77">
        <f>SUM('D&amp;D cost quotation'!Z123:Z391)</f>
        <v>0</v>
      </c>
      <c r="G19" s="78">
        <f t="shared" si="1"/>
        <v>0</v>
      </c>
    </row>
    <row r="20" spans="1:7">
      <c r="A20" s="76"/>
      <c r="B20" s="77"/>
      <c r="C20" s="77"/>
      <c r="D20" s="77"/>
      <c r="E20" s="77"/>
      <c r="F20" s="77"/>
      <c r="G20" s="78"/>
    </row>
    <row r="21" spans="1:7" ht="13" thickBot="1">
      <c r="A21" s="79" t="s">
        <v>100</v>
      </c>
      <c r="B21" s="77">
        <f>SUMIF('D&amp;D cost quotation'!$G5:$G10,"Y",'D&amp;D cost quotation'!V5:V10)+SUMIF('D&amp;D cost quotation'!$G12:$G23,"Y",'D&amp;D cost quotation'!V12:V23)</f>
        <v>0</v>
      </c>
      <c r="C21" s="77">
        <f>SUMIF('D&amp;D cost quotation'!$G5:$G10,"Y",'D&amp;D cost quotation'!W5:W10)+SUMIF('D&amp;D cost quotation'!$G12:$G23,"Y",'D&amp;D cost quotation'!W12:W23)</f>
        <v>0</v>
      </c>
      <c r="D21" s="77">
        <f>SUMIF('D&amp;D cost quotation'!$G5:$G10,"Y",'D&amp;D cost quotation'!X5:X10)+SUMIF('D&amp;D cost quotation'!$G12:$G23,"Y",'D&amp;D cost quotation'!X12:X23)</f>
        <v>0</v>
      </c>
      <c r="E21" s="77">
        <f>SUMIF('D&amp;D cost quotation'!$G5:$G10,"Y",'D&amp;D cost quotation'!Y5:Y10)+SUMIF('D&amp;D cost quotation'!$G12:$G23,"Y",'D&amp;D cost quotation'!Y12:Y23)</f>
        <v>0</v>
      </c>
      <c r="F21" s="77">
        <f>SUMIF('D&amp;D cost quotation'!$G5:$G10,"Y",'D&amp;D cost quotation'!Z5:Z10)+SUMIF('D&amp;D cost quotation'!$G12:$G23,"Y",'D&amp;D cost quotation'!Z12:Z23)</f>
        <v>0</v>
      </c>
      <c r="G21" s="78">
        <f>SUM(B21:F21)</f>
        <v>0</v>
      </c>
    </row>
    <row r="22" spans="1:7" ht="13" thickBot="1">
      <c r="A22" s="80" t="s">
        <v>480</v>
      </c>
      <c r="B22" s="81">
        <f t="shared" ref="B22:G22" si="2">SUM(B5:B21)</f>
        <v>96171</v>
      </c>
      <c r="C22" s="82">
        <f t="shared" si="2"/>
        <v>279631</v>
      </c>
      <c r="D22" s="82">
        <f t="shared" si="2"/>
        <v>188645</v>
      </c>
      <c r="E22" s="82">
        <f t="shared" si="2"/>
        <v>128460</v>
      </c>
      <c r="F22" s="82">
        <f t="shared" si="2"/>
        <v>29936</v>
      </c>
      <c r="G22" s="83">
        <f t="shared" si="2"/>
        <v>722843</v>
      </c>
    </row>
    <row r="23" spans="1:7" ht="13" hidden="1" thickBot="1"/>
    <row r="24" spans="1:7" hidden="1">
      <c r="A24" s="147" t="s">
        <v>481</v>
      </c>
      <c r="B24" s="86" t="s">
        <v>460</v>
      </c>
      <c r="C24" s="86" t="s">
        <v>93</v>
      </c>
      <c r="D24" s="86" t="s">
        <v>482</v>
      </c>
      <c r="E24" s="87" t="s">
        <v>483</v>
      </c>
    </row>
    <row r="25" spans="1:7" s="91" customFormat="1" ht="13" hidden="1" thickBot="1">
      <c r="A25" s="88"/>
      <c r="B25" s="89">
        <v>0</v>
      </c>
      <c r="C25" s="89">
        <v>0</v>
      </c>
      <c r="D25" s="89">
        <v>0</v>
      </c>
      <c r="E25" s="90">
        <v>0</v>
      </c>
    </row>
    <row r="26" spans="1:7" ht="13" hidden="1" thickBot="1"/>
    <row r="27" spans="1:7" hidden="1">
      <c r="A27" s="147" t="s">
        <v>484</v>
      </c>
      <c r="B27" s="86" t="s">
        <v>460</v>
      </c>
      <c r="C27" s="86" t="s">
        <v>93</v>
      </c>
      <c r="D27" s="86" t="s">
        <v>482</v>
      </c>
      <c r="E27" s="87" t="s">
        <v>483</v>
      </c>
    </row>
    <row r="28" spans="1:7" s="91" customFormat="1" hidden="1">
      <c r="A28" s="92" t="s">
        <v>485</v>
      </c>
      <c r="B28" s="93">
        <v>0</v>
      </c>
      <c r="C28" s="143">
        <v>0</v>
      </c>
      <c r="D28" s="143">
        <v>0</v>
      </c>
      <c r="E28" s="144">
        <v>0</v>
      </c>
    </row>
    <row r="29" spans="1:7" s="91" customFormat="1" ht="13" hidden="1" thickBot="1">
      <c r="A29" s="94" t="s">
        <v>486</v>
      </c>
      <c r="B29" s="95">
        <v>0</v>
      </c>
      <c r="C29" s="145">
        <v>0</v>
      </c>
      <c r="D29" s="145">
        <v>0</v>
      </c>
      <c r="E29" s="146">
        <v>0</v>
      </c>
    </row>
  </sheetData>
  <sheetProtection sheet="1" selectLockedCells="1"/>
  <phoneticPr fontId="22" type="noConversion"/>
  <pageMargins left="0.7" right="0.7" top="0.75" bottom="0.75" header="0.3" footer="0.3"/>
  <pageSetup paperSize="9" orientation="portrait" r:id="rId1"/>
  <headerFooter>
    <oddHeader>&amp;R&amp;"Calibri"&amp;8&amp;K808080 INTERNAL &amp; PARTNERS&amp;1#_x000D_</oddHeader>
    <oddFooter>&amp;R_x000D_&amp;1#&amp;"Calibri"&amp;2&amp;KFFFFFF 5acXjzUk</oddFooter>
  </headerFooter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88951B6C-BACE-4593-BE38-5DE974A2F1C5}">
            <xm:f>IF('Project information'!$A$13="USD",TRUE)</xm:f>
            <x14:dxf>
              <numFmt numFmtId="197" formatCode="_-[$$-409]* #,##0.00_ ;_-[$$-409]* \-#,##0.00\ ;_-[$$-409]* &quot;-&quot;??_ ;_-@_ "/>
            </x14:dxf>
          </x14:cfRule>
          <x14:cfRule type="expression" priority="2" id="{D64D2A9F-A4E8-450F-8590-ADB4B229265D}">
            <xm:f>IF('Project information'!$A$13="EUR",TRUE)</xm:f>
            <x14:dxf>
              <numFmt numFmtId="196" formatCode="_-[$€-2]\ * #,##0_ ;_-[$€-2]\ * \-#,##0\ ;_-[$€-2]\ * &quot;-&quot;_ ;_-@_ "/>
            </x14:dxf>
          </x14:cfRule>
          <x14:cfRule type="expression" priority="3" id="{3FD553B5-AB4B-4E66-9202-914EC48FD0D9}">
            <xm:f>IF('Project information'!$A$13="INR",TRUE)</xm:f>
            <x14:dxf>
              <numFmt numFmtId="191" formatCode="_ [$₹-4009]\ * #,##0_ ;_ [$₹-4009]\ * \-#,##0_ ;_ [$₹-4009]\ * &quot;-&quot;_ ;_ @_ "/>
            </x14:dxf>
          </x14:cfRule>
          <x14:cfRule type="expression" priority="4" id="{7C4C62FE-B02F-45D7-8958-2D3EA579B4EA}">
            <xm:f>IF('Project information'!$A$13="JPY",TRUE)</xm:f>
            <x14:dxf>
              <numFmt numFmtId="190" formatCode="_-[$¥-411]* #,##0_-;\-[$¥-411]* #,##0_-;_-[$¥-411]* &quot;-&quot;_-;_-@_-"/>
            </x14:dxf>
          </x14:cfRule>
          <x14:cfRule type="expression" priority="5" id="{AE4A92EA-2052-4C3B-A977-3F679437BA02}">
            <xm:f>IF('Project information'!$A$13="KWR",TRUE)</xm:f>
            <x14:dxf>
              <numFmt numFmtId="181" formatCode="_-[$₩-412]* #,##0_-;\-[$₩-412]* #,##0_-;_-[$₩-412]* &quot;-&quot;_-;_-@_-"/>
            </x14:dxf>
          </x14:cfRule>
          <x14:cfRule type="expression" priority="6" id="{DF6F45E9-1AD8-432F-B791-9AE09C08A60F}">
            <xm:f>IF('Project information'!$A$13="CNY",TRUE)</xm:f>
            <x14:dxf>
              <numFmt numFmtId="178" formatCode="_(&quot;¥&quot;* #,##0_);_(&quot;¥&quot;* \(#,##0\);_(&quot;¥&quot;* &quot;-&quot;_);_(@_)"/>
            </x14:dxf>
          </x14:cfRule>
          <xm:sqref>B5:G22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R98"/>
  <sheetViews>
    <sheetView zoomScale="115" zoomScaleNormal="115" workbookViewId="0">
      <pane ySplit="1" topLeftCell="A2" activePane="bottomLeft" state="frozen"/>
      <selection pane="bottomLeft" activeCell="J18" sqref="J18"/>
    </sheetView>
  </sheetViews>
  <sheetFormatPr defaultRowHeight="14"/>
  <cols>
    <col min="1" max="1" width="10" style="16" bestFit="1" customWidth="1"/>
    <col min="2" max="2" width="1.54296875" style="16" customWidth="1"/>
    <col min="3" max="3" width="8.54296875" style="16" bestFit="1" customWidth="1"/>
    <col min="4" max="4" width="1.54296875" style="16" customWidth="1"/>
    <col min="5" max="5" width="18.54296875" style="16" bestFit="1" customWidth="1"/>
    <col min="6" max="6" width="8.7265625" style="16" customWidth="1"/>
    <col min="7" max="7" width="8.453125" style="16" bestFit="1" customWidth="1"/>
    <col min="8" max="8" width="8.54296875" style="16" bestFit="1" customWidth="1"/>
    <col min="9" max="9" width="15.54296875" style="16" bestFit="1" customWidth="1"/>
    <col min="10" max="10" width="4.453125" style="16" bestFit="1" customWidth="1"/>
    <col min="11" max="11" width="1.54296875" style="16" customWidth="1"/>
    <col min="12" max="12" width="8.54296875" style="16" bestFit="1" customWidth="1"/>
    <col min="13" max="13" width="75.54296875" style="15" bestFit="1" customWidth="1"/>
    <col min="14" max="14" width="1.54296875" style="16" customWidth="1"/>
    <col min="15" max="15" width="10" style="16" bestFit="1" customWidth="1"/>
    <col min="16" max="16" width="8.54296875" style="16" bestFit="1" customWidth="1"/>
    <col min="17" max="17" width="10" style="16" bestFit="1" customWidth="1"/>
    <col min="18" max="18" width="13.54296875" style="16" bestFit="1" customWidth="1"/>
    <col min="19" max="19" width="1.54296875" customWidth="1"/>
  </cols>
  <sheetData>
    <row r="1" spans="1:18">
      <c r="A1" s="18" t="s">
        <v>87</v>
      </c>
      <c r="B1" s="18"/>
      <c r="C1" s="18" t="s">
        <v>88</v>
      </c>
      <c r="D1" s="18"/>
      <c r="E1" s="102" t="s">
        <v>1301</v>
      </c>
      <c r="F1" s="18"/>
      <c r="G1" s="18" t="s">
        <v>487</v>
      </c>
      <c r="H1" s="18" t="s">
        <v>88</v>
      </c>
      <c r="I1" s="18" t="s">
        <v>96</v>
      </c>
      <c r="J1" s="18" t="s">
        <v>1302</v>
      </c>
      <c r="K1" s="18"/>
      <c r="L1" s="18" t="s">
        <v>88</v>
      </c>
      <c r="M1" s="18" t="s">
        <v>99</v>
      </c>
      <c r="N1" s="18"/>
      <c r="O1" s="18" t="s">
        <v>87</v>
      </c>
      <c r="P1" s="18" t="s">
        <v>88</v>
      </c>
      <c r="Q1" s="18" t="s">
        <v>487</v>
      </c>
      <c r="R1" s="18" t="s">
        <v>100</v>
      </c>
    </row>
    <row r="2" spans="1:18">
      <c r="A2" s="16" t="s">
        <v>460</v>
      </c>
      <c r="B2" s="16" t="str" cm="1">
        <f t="array" ref="B2">INDEX('Dropdown list'!G1:J94,MATCH('Project information'!A4&amp;'Project information'!B7,'Dropdown list'!G1:G94&amp;'Dropdown list'!I1:I94,0),4)</f>
        <v>Y</v>
      </c>
      <c r="C2" s="16" t="s">
        <v>94</v>
      </c>
      <c r="E2" s="16" t="s">
        <v>488</v>
      </c>
      <c r="F2" s="16" t="str">
        <f>IF(AND('Project information'!A4="China",'Project information'!B4="CVI"),"CVI","Base")</f>
        <v>Base</v>
      </c>
      <c r="G2" s="16" t="s">
        <v>460</v>
      </c>
      <c r="H2" s="16" t="s">
        <v>94</v>
      </c>
      <c r="I2" s="16" t="s">
        <v>489</v>
      </c>
      <c r="J2" s="16" t="s">
        <v>158</v>
      </c>
      <c r="L2" s="16" t="s">
        <v>94</v>
      </c>
      <c r="M2" s="15" t="s">
        <v>490</v>
      </c>
      <c r="O2" s="16" t="s">
        <v>460</v>
      </c>
      <c r="P2" s="16" t="s">
        <v>94</v>
      </c>
      <c r="Q2" s="16" t="s">
        <v>491</v>
      </c>
      <c r="R2" s="16" t="s">
        <v>492</v>
      </c>
    </row>
    <row r="3" spans="1:18">
      <c r="A3" s="16" t="s">
        <v>93</v>
      </c>
      <c r="C3" s="16" t="s">
        <v>549</v>
      </c>
      <c r="E3" s="16" t="s">
        <v>1303</v>
      </c>
      <c r="G3" s="16" t="s">
        <v>460</v>
      </c>
      <c r="H3" s="16" t="s">
        <v>94</v>
      </c>
      <c r="I3" s="16" t="s">
        <v>493</v>
      </c>
      <c r="J3" s="16" t="s">
        <v>143</v>
      </c>
      <c r="L3" s="16" t="s">
        <v>94</v>
      </c>
      <c r="M3" s="15" t="s">
        <v>494</v>
      </c>
      <c r="O3" s="16" t="s">
        <v>460</v>
      </c>
      <c r="P3" s="16" t="s">
        <v>94</v>
      </c>
      <c r="Q3" s="16" t="s">
        <v>460</v>
      </c>
      <c r="R3" s="16" t="s">
        <v>495</v>
      </c>
    </row>
    <row r="4" spans="1:18">
      <c r="A4" s="16" t="s">
        <v>482</v>
      </c>
      <c r="C4" s="16" t="s">
        <v>1304</v>
      </c>
      <c r="E4" s="16" t="s">
        <v>496</v>
      </c>
      <c r="G4" s="16" t="s">
        <v>460</v>
      </c>
      <c r="H4" s="16" t="s">
        <v>94</v>
      </c>
      <c r="I4" s="16" t="s">
        <v>497</v>
      </c>
      <c r="J4" s="16" t="s">
        <v>158</v>
      </c>
      <c r="L4" s="16" t="s">
        <v>94</v>
      </c>
      <c r="M4" s="15" t="s">
        <v>498</v>
      </c>
      <c r="O4" s="16" t="s">
        <v>460</v>
      </c>
      <c r="P4" s="16" t="s">
        <v>94</v>
      </c>
      <c r="Q4" s="16" t="s">
        <v>460</v>
      </c>
      <c r="R4" s="16" t="s">
        <v>1305</v>
      </c>
    </row>
    <row r="5" spans="1:18">
      <c r="A5" s="16" t="s">
        <v>483</v>
      </c>
      <c r="E5" s="16" t="s">
        <v>1306</v>
      </c>
      <c r="G5" s="16" t="s">
        <v>460</v>
      </c>
      <c r="H5" s="16" t="s">
        <v>94</v>
      </c>
      <c r="I5" s="16" t="s">
        <v>499</v>
      </c>
      <c r="J5" s="16" t="s">
        <v>143</v>
      </c>
      <c r="L5" s="16" t="s">
        <v>94</v>
      </c>
      <c r="M5" s="15" t="s">
        <v>500</v>
      </c>
      <c r="O5" s="16" t="s">
        <v>460</v>
      </c>
      <c r="P5" s="16" t="s">
        <v>94</v>
      </c>
      <c r="Q5" s="16" t="s">
        <v>460</v>
      </c>
      <c r="R5" s="16" t="s">
        <v>501</v>
      </c>
    </row>
    <row r="6" spans="1:18">
      <c r="A6" s="16" t="s">
        <v>502</v>
      </c>
      <c r="E6" s="16" t="s">
        <v>503</v>
      </c>
      <c r="G6" s="16" t="s">
        <v>460</v>
      </c>
      <c r="H6" s="16" t="s">
        <v>94</v>
      </c>
      <c r="I6" s="16" t="s">
        <v>504</v>
      </c>
      <c r="J6" s="16" t="s">
        <v>143</v>
      </c>
      <c r="L6" s="16" t="s">
        <v>94</v>
      </c>
      <c r="M6" s="15" t="s">
        <v>505</v>
      </c>
      <c r="O6" s="16" t="s">
        <v>460</v>
      </c>
      <c r="P6" s="16" t="s">
        <v>94</v>
      </c>
      <c r="Q6" s="16" t="s">
        <v>460</v>
      </c>
      <c r="R6" s="16" t="s">
        <v>506</v>
      </c>
    </row>
    <row r="7" spans="1:18">
      <c r="A7" s="16" t="s">
        <v>507</v>
      </c>
      <c r="G7" s="16" t="s">
        <v>460</v>
      </c>
      <c r="H7" s="16" t="s">
        <v>94</v>
      </c>
      <c r="I7" s="16" t="s">
        <v>508</v>
      </c>
      <c r="J7" s="16" t="s">
        <v>143</v>
      </c>
      <c r="L7" s="16" t="s">
        <v>94</v>
      </c>
      <c r="M7" s="15" t="s">
        <v>509</v>
      </c>
      <c r="O7" s="16" t="s">
        <v>460</v>
      </c>
      <c r="P7" s="16" t="s">
        <v>94</v>
      </c>
      <c r="Q7" s="16" t="s">
        <v>460</v>
      </c>
      <c r="R7" s="16" t="s">
        <v>510</v>
      </c>
    </row>
    <row r="8" spans="1:18">
      <c r="G8" s="16" t="s">
        <v>460</v>
      </c>
      <c r="H8" s="16" t="s">
        <v>94</v>
      </c>
      <c r="I8" s="16" t="s">
        <v>511</v>
      </c>
      <c r="J8" s="16" t="s">
        <v>143</v>
      </c>
      <c r="L8" s="16" t="s">
        <v>94</v>
      </c>
      <c r="M8" s="15" t="s">
        <v>512</v>
      </c>
      <c r="O8" s="16" t="s">
        <v>460</v>
      </c>
      <c r="P8" s="16" t="s">
        <v>94</v>
      </c>
      <c r="Q8" s="16" t="s">
        <v>460</v>
      </c>
      <c r="R8" s="16" t="s">
        <v>1307</v>
      </c>
    </row>
    <row r="9" spans="1:18">
      <c r="E9" s="18" t="s">
        <v>89</v>
      </c>
      <c r="G9" s="16" t="s">
        <v>460</v>
      </c>
      <c r="H9" s="16" t="s">
        <v>94</v>
      </c>
      <c r="I9" s="16" t="s">
        <v>513</v>
      </c>
      <c r="J9" s="16" t="s">
        <v>158</v>
      </c>
      <c r="L9" s="16" t="s">
        <v>94</v>
      </c>
      <c r="M9" s="15" t="s">
        <v>514</v>
      </c>
      <c r="O9" s="16" t="s">
        <v>460</v>
      </c>
      <c r="P9" s="16" t="s">
        <v>94</v>
      </c>
      <c r="Q9" s="16" t="s">
        <v>460</v>
      </c>
      <c r="R9" s="16" t="s">
        <v>1308</v>
      </c>
    </row>
    <row r="10" spans="1:18">
      <c r="E10" s="16" t="s">
        <v>488</v>
      </c>
      <c r="G10" s="16" t="s">
        <v>460</v>
      </c>
      <c r="H10" s="16" t="s">
        <v>94</v>
      </c>
      <c r="I10" s="16" t="s">
        <v>515</v>
      </c>
      <c r="J10" s="16" t="s">
        <v>143</v>
      </c>
      <c r="L10" s="16" t="s">
        <v>94</v>
      </c>
      <c r="M10" s="15" t="s">
        <v>516</v>
      </c>
      <c r="O10" s="16" t="s">
        <v>460</v>
      </c>
      <c r="P10" s="16" t="s">
        <v>94</v>
      </c>
      <c r="Q10" s="16" t="s">
        <v>460</v>
      </c>
      <c r="R10" s="16" t="s">
        <v>517</v>
      </c>
    </row>
    <row r="11" spans="1:18">
      <c r="E11" s="16" t="s">
        <v>496</v>
      </c>
      <c r="G11" s="16" t="s">
        <v>460</v>
      </c>
      <c r="H11" s="16" t="s">
        <v>94</v>
      </c>
      <c r="I11" s="16" t="s">
        <v>1309</v>
      </c>
      <c r="J11" s="16" t="s">
        <v>143</v>
      </c>
      <c r="L11" s="16" t="s">
        <v>94</v>
      </c>
      <c r="M11" s="15" t="s">
        <v>518</v>
      </c>
      <c r="O11" s="16" t="s">
        <v>460</v>
      </c>
      <c r="P11" s="16" t="s">
        <v>94</v>
      </c>
      <c r="Q11" s="16" t="s">
        <v>460</v>
      </c>
      <c r="R11" s="16" t="s">
        <v>519</v>
      </c>
    </row>
    <row r="12" spans="1:18">
      <c r="E12" s="16" t="s">
        <v>503</v>
      </c>
      <c r="G12" s="16" t="s">
        <v>460</v>
      </c>
      <c r="H12" s="16" t="s">
        <v>94</v>
      </c>
      <c r="I12" s="16" t="s">
        <v>1310</v>
      </c>
      <c r="J12" s="16" t="s">
        <v>143</v>
      </c>
      <c r="L12" s="16" t="s">
        <v>549</v>
      </c>
      <c r="M12" s="15" t="s">
        <v>520</v>
      </c>
      <c r="O12" s="16" t="s">
        <v>460</v>
      </c>
      <c r="P12" s="16" t="s">
        <v>94</v>
      </c>
      <c r="Q12" s="16" t="s">
        <v>460</v>
      </c>
      <c r="R12" s="16" t="s">
        <v>521</v>
      </c>
    </row>
    <row r="13" spans="1:18">
      <c r="G13" s="16" t="s">
        <v>460</v>
      </c>
      <c r="H13" s="16" t="s">
        <v>94</v>
      </c>
      <c r="I13" s="16" t="s">
        <v>522</v>
      </c>
      <c r="J13" s="16" t="s">
        <v>158</v>
      </c>
      <c r="L13" s="16" t="s">
        <v>549</v>
      </c>
      <c r="M13" s="15" t="s">
        <v>523</v>
      </c>
      <c r="O13" s="16" t="s">
        <v>460</v>
      </c>
      <c r="P13" s="16" t="s">
        <v>94</v>
      </c>
      <c r="Q13" s="16" t="s">
        <v>460</v>
      </c>
      <c r="R13" s="16" t="s">
        <v>1311</v>
      </c>
    </row>
    <row r="14" spans="1:18">
      <c r="G14" s="16" t="s">
        <v>460</v>
      </c>
      <c r="H14" s="16" t="s">
        <v>94</v>
      </c>
      <c r="I14" s="16" t="s">
        <v>1312</v>
      </c>
      <c r="J14" s="16" t="s">
        <v>158</v>
      </c>
      <c r="L14" s="16" t="s">
        <v>549</v>
      </c>
      <c r="M14" s="15" t="s">
        <v>524</v>
      </c>
      <c r="O14" s="16" t="s">
        <v>460</v>
      </c>
      <c r="P14" s="16" t="s">
        <v>94</v>
      </c>
      <c r="Q14" s="16" t="s">
        <v>460</v>
      </c>
      <c r="R14" s="16" t="s">
        <v>1313</v>
      </c>
    </row>
    <row r="15" spans="1:18">
      <c r="G15" s="16" t="s">
        <v>460</v>
      </c>
      <c r="H15" s="16" t="s">
        <v>94</v>
      </c>
      <c r="I15" s="16" t="s">
        <v>525</v>
      </c>
      <c r="J15" s="16" t="s">
        <v>143</v>
      </c>
      <c r="L15" s="16" t="s">
        <v>549</v>
      </c>
      <c r="M15" s="15" t="s">
        <v>526</v>
      </c>
      <c r="O15" s="16" t="s">
        <v>460</v>
      </c>
      <c r="P15" s="16" t="s">
        <v>94</v>
      </c>
      <c r="Q15" s="16" t="s">
        <v>460</v>
      </c>
      <c r="R15" s="16" t="s">
        <v>1314</v>
      </c>
    </row>
    <row r="16" spans="1:18">
      <c r="G16" s="16" t="s">
        <v>460</v>
      </c>
      <c r="H16" s="16" t="s">
        <v>94</v>
      </c>
      <c r="I16" s="16" t="s">
        <v>527</v>
      </c>
      <c r="J16" s="16" t="s">
        <v>143</v>
      </c>
      <c r="L16" s="16" t="s">
        <v>549</v>
      </c>
      <c r="M16" s="15" t="s">
        <v>528</v>
      </c>
      <c r="O16" s="16" t="s">
        <v>460</v>
      </c>
      <c r="P16" s="16" t="s">
        <v>94</v>
      </c>
      <c r="Q16" s="16" t="s">
        <v>460</v>
      </c>
      <c r="R16" s="16" t="s">
        <v>529</v>
      </c>
    </row>
    <row r="17" spans="7:18">
      <c r="G17" s="16" t="s">
        <v>460</v>
      </c>
      <c r="H17" s="16" t="s">
        <v>94</v>
      </c>
      <c r="I17" s="16" t="s">
        <v>530</v>
      </c>
      <c r="J17" s="16" t="s">
        <v>143</v>
      </c>
      <c r="L17" s="16" t="s">
        <v>549</v>
      </c>
      <c r="M17" s="15" t="s">
        <v>531</v>
      </c>
      <c r="O17" s="16" t="s">
        <v>460</v>
      </c>
      <c r="P17" s="16" t="s">
        <v>94</v>
      </c>
      <c r="Q17" s="16" t="s">
        <v>460</v>
      </c>
      <c r="R17" s="16" t="s">
        <v>532</v>
      </c>
    </row>
    <row r="18" spans="7:18">
      <c r="G18" s="16" t="s">
        <v>460</v>
      </c>
      <c r="H18" s="16" t="s">
        <v>94</v>
      </c>
      <c r="I18" s="16" t="s">
        <v>533</v>
      </c>
      <c r="J18" s="16" t="s">
        <v>143</v>
      </c>
      <c r="L18" s="16" t="s">
        <v>549</v>
      </c>
      <c r="M18" s="15" t="s">
        <v>534</v>
      </c>
      <c r="O18" s="16" t="s">
        <v>460</v>
      </c>
      <c r="P18" s="16" t="s">
        <v>94</v>
      </c>
      <c r="Q18" s="16" t="s">
        <v>460</v>
      </c>
      <c r="R18" s="16" t="s">
        <v>535</v>
      </c>
    </row>
    <row r="19" spans="7:18">
      <c r="G19" s="16" t="s">
        <v>460</v>
      </c>
      <c r="H19" s="16" t="s">
        <v>94</v>
      </c>
      <c r="I19" s="16" t="s">
        <v>1315</v>
      </c>
      <c r="J19" s="16" t="s">
        <v>158</v>
      </c>
      <c r="O19" s="16" t="s">
        <v>460</v>
      </c>
      <c r="P19" s="16" t="s">
        <v>94</v>
      </c>
      <c r="Q19" s="16" t="s">
        <v>460</v>
      </c>
      <c r="R19" s="16" t="s">
        <v>536</v>
      </c>
    </row>
    <row r="20" spans="7:18">
      <c r="G20" s="16" t="s">
        <v>460</v>
      </c>
      <c r="H20" s="16" t="s">
        <v>94</v>
      </c>
      <c r="I20" s="16" t="s">
        <v>1316</v>
      </c>
      <c r="J20" s="16" t="s">
        <v>158</v>
      </c>
      <c r="O20" s="16" t="s">
        <v>460</v>
      </c>
      <c r="P20" s="16" t="s">
        <v>94</v>
      </c>
      <c r="Q20" s="16" t="s">
        <v>460</v>
      </c>
      <c r="R20" s="16" t="s">
        <v>537</v>
      </c>
    </row>
    <row r="21" spans="7:18">
      <c r="G21" s="16" t="s">
        <v>460</v>
      </c>
      <c r="H21" s="16" t="s">
        <v>94</v>
      </c>
      <c r="I21" s="16" t="s">
        <v>538</v>
      </c>
      <c r="J21" s="16" t="s">
        <v>158</v>
      </c>
      <c r="O21" s="16" t="s">
        <v>460</v>
      </c>
      <c r="P21" s="16" t="s">
        <v>94</v>
      </c>
      <c r="Q21" s="16" t="s">
        <v>460</v>
      </c>
      <c r="R21" s="16" t="s">
        <v>539</v>
      </c>
    </row>
    <row r="22" spans="7:18">
      <c r="G22" s="16" t="s">
        <v>460</v>
      </c>
      <c r="H22" s="16" t="s">
        <v>94</v>
      </c>
      <c r="I22" s="16" t="s">
        <v>540</v>
      </c>
      <c r="J22" s="16" t="s">
        <v>143</v>
      </c>
      <c r="O22" s="16" t="s">
        <v>460</v>
      </c>
      <c r="P22" s="16" t="s">
        <v>94</v>
      </c>
      <c r="Q22" s="16" t="s">
        <v>460</v>
      </c>
      <c r="R22" s="16" t="s">
        <v>541</v>
      </c>
    </row>
    <row r="23" spans="7:18">
      <c r="G23" s="16" t="s">
        <v>460</v>
      </c>
      <c r="H23" s="16" t="s">
        <v>94</v>
      </c>
      <c r="I23" s="16" t="s">
        <v>1317</v>
      </c>
      <c r="J23" s="16" t="s">
        <v>143</v>
      </c>
      <c r="O23" s="16" t="s">
        <v>460</v>
      </c>
      <c r="P23" s="16" t="s">
        <v>94</v>
      </c>
      <c r="Q23" s="16" t="s">
        <v>460</v>
      </c>
      <c r="R23" s="16" t="s">
        <v>1318</v>
      </c>
    </row>
    <row r="24" spans="7:18">
      <c r="G24" s="16" t="s">
        <v>460</v>
      </c>
      <c r="H24" s="16" t="s">
        <v>94</v>
      </c>
      <c r="I24" s="16" t="s">
        <v>542</v>
      </c>
      <c r="J24" s="16" t="s">
        <v>158</v>
      </c>
      <c r="O24" s="16" t="s">
        <v>460</v>
      </c>
      <c r="P24" s="16" t="s">
        <v>94</v>
      </c>
      <c r="Q24" s="16" t="s">
        <v>543</v>
      </c>
      <c r="R24" s="16" t="s">
        <v>544</v>
      </c>
    </row>
    <row r="25" spans="7:18">
      <c r="G25" s="16" t="s">
        <v>460</v>
      </c>
      <c r="H25" s="16" t="s">
        <v>94</v>
      </c>
      <c r="I25" s="16" t="s">
        <v>545</v>
      </c>
      <c r="J25" s="16" t="s">
        <v>143</v>
      </c>
      <c r="O25" s="16" t="s">
        <v>460</v>
      </c>
      <c r="P25" s="16" t="s">
        <v>94</v>
      </c>
      <c r="Q25" s="16" t="s">
        <v>543</v>
      </c>
      <c r="R25" s="16" t="s">
        <v>546</v>
      </c>
    </row>
    <row r="26" spans="7:18">
      <c r="G26" s="16" t="s">
        <v>460</v>
      </c>
      <c r="H26" s="16" t="s">
        <v>94</v>
      </c>
      <c r="I26" s="16" t="s">
        <v>1319</v>
      </c>
      <c r="J26" s="16" t="s">
        <v>158</v>
      </c>
      <c r="O26" s="16" t="s">
        <v>460</v>
      </c>
      <c r="P26" s="16" t="s">
        <v>94</v>
      </c>
      <c r="Q26" s="16" t="s">
        <v>547</v>
      </c>
      <c r="R26" s="16" t="s">
        <v>548</v>
      </c>
    </row>
    <row r="27" spans="7:18">
      <c r="G27" s="16" t="s">
        <v>460</v>
      </c>
      <c r="H27" s="16" t="s">
        <v>94</v>
      </c>
      <c r="I27" s="16" t="s">
        <v>1320</v>
      </c>
      <c r="J27" s="16" t="s">
        <v>143</v>
      </c>
      <c r="O27" s="16" t="s">
        <v>460</v>
      </c>
      <c r="P27" s="16" t="s">
        <v>549</v>
      </c>
      <c r="Q27" s="16" t="s">
        <v>460</v>
      </c>
      <c r="R27" s="16" t="s">
        <v>495</v>
      </c>
    </row>
    <row r="28" spans="7:18">
      <c r="G28" s="16" t="s">
        <v>460</v>
      </c>
      <c r="H28" s="16" t="s">
        <v>94</v>
      </c>
      <c r="I28" s="16" t="s">
        <v>550</v>
      </c>
      <c r="J28" s="16" t="s">
        <v>158</v>
      </c>
      <c r="O28" s="16" t="s">
        <v>460</v>
      </c>
      <c r="P28" s="16" t="s">
        <v>549</v>
      </c>
      <c r="Q28" s="16" t="s">
        <v>460</v>
      </c>
      <c r="R28" s="16" t="s">
        <v>551</v>
      </c>
    </row>
    <row r="29" spans="7:18">
      <c r="G29" s="16" t="s">
        <v>460</v>
      </c>
      <c r="H29" s="16" t="s">
        <v>94</v>
      </c>
      <c r="I29" s="16" t="s">
        <v>552</v>
      </c>
      <c r="J29" s="16" t="s">
        <v>158</v>
      </c>
      <c r="O29" s="16" t="s">
        <v>460</v>
      </c>
      <c r="P29" s="16" t="s">
        <v>549</v>
      </c>
      <c r="Q29" s="16" t="s">
        <v>460</v>
      </c>
      <c r="R29" s="16" t="s">
        <v>553</v>
      </c>
    </row>
    <row r="30" spans="7:18">
      <c r="G30" s="16" t="s">
        <v>460</v>
      </c>
      <c r="H30" s="16" t="s">
        <v>94</v>
      </c>
      <c r="I30" s="16" t="s">
        <v>1321</v>
      </c>
      <c r="J30" s="16" t="s">
        <v>143</v>
      </c>
      <c r="O30" s="16" t="s">
        <v>460</v>
      </c>
      <c r="P30" s="16" t="s">
        <v>549</v>
      </c>
      <c r="Q30" s="16" t="s">
        <v>460</v>
      </c>
      <c r="R30" s="16" t="s">
        <v>541</v>
      </c>
    </row>
    <row r="31" spans="7:18">
      <c r="G31" s="16" t="s">
        <v>460</v>
      </c>
      <c r="H31" s="16" t="s">
        <v>94</v>
      </c>
      <c r="I31" s="16" t="s">
        <v>597</v>
      </c>
      <c r="J31" s="16" t="s">
        <v>143</v>
      </c>
      <c r="O31" s="16" t="s">
        <v>483</v>
      </c>
      <c r="P31" s="16" t="s">
        <v>94</v>
      </c>
      <c r="Q31" s="16" t="s">
        <v>483</v>
      </c>
      <c r="R31" s="16" t="s">
        <v>554</v>
      </c>
    </row>
    <row r="32" spans="7:18">
      <c r="G32" s="16" t="s">
        <v>460</v>
      </c>
      <c r="H32" s="16" t="s">
        <v>94</v>
      </c>
      <c r="I32" s="16" t="s">
        <v>555</v>
      </c>
      <c r="J32" s="16" t="s">
        <v>158</v>
      </c>
      <c r="O32" s="16" t="s">
        <v>483</v>
      </c>
      <c r="P32" s="16" t="s">
        <v>94</v>
      </c>
      <c r="Q32" s="16" t="s">
        <v>483</v>
      </c>
      <c r="R32" s="16" t="s">
        <v>556</v>
      </c>
    </row>
    <row r="33" spans="7:18">
      <c r="G33" s="16" t="s">
        <v>460</v>
      </c>
      <c r="H33" s="16" t="s">
        <v>94</v>
      </c>
      <c r="I33" s="16" t="s">
        <v>557</v>
      </c>
      <c r="J33" s="16" t="s">
        <v>158</v>
      </c>
      <c r="O33" s="16" t="s">
        <v>483</v>
      </c>
      <c r="P33" s="16" t="s">
        <v>94</v>
      </c>
      <c r="Q33" s="16" t="s">
        <v>483</v>
      </c>
      <c r="R33" s="16" t="s">
        <v>558</v>
      </c>
    </row>
    <row r="34" spans="7:18">
      <c r="G34" s="16" t="s">
        <v>460</v>
      </c>
      <c r="H34" s="16" t="s">
        <v>94</v>
      </c>
      <c r="I34" s="16" t="s">
        <v>1322</v>
      </c>
      <c r="J34" s="16" t="s">
        <v>143</v>
      </c>
      <c r="O34" s="16" t="s">
        <v>483</v>
      </c>
      <c r="P34" s="16" t="s">
        <v>94</v>
      </c>
      <c r="Q34" s="16" t="s">
        <v>483</v>
      </c>
      <c r="R34" s="16" t="s">
        <v>559</v>
      </c>
    </row>
    <row r="35" spans="7:18">
      <c r="G35" s="16" t="s">
        <v>460</v>
      </c>
      <c r="H35" s="16" t="s">
        <v>94</v>
      </c>
      <c r="I35" s="16" t="s">
        <v>1323</v>
      </c>
      <c r="J35" s="16" t="s">
        <v>158</v>
      </c>
      <c r="O35" s="16" t="s">
        <v>483</v>
      </c>
      <c r="P35" s="16" t="s">
        <v>94</v>
      </c>
      <c r="Q35" s="16" t="s">
        <v>483</v>
      </c>
      <c r="R35" s="16" t="s">
        <v>560</v>
      </c>
    </row>
    <row r="36" spans="7:18">
      <c r="G36" s="16" t="s">
        <v>460</v>
      </c>
      <c r="H36" s="16" t="s">
        <v>94</v>
      </c>
      <c r="I36" s="16" t="s">
        <v>1324</v>
      </c>
      <c r="J36" s="16" t="s">
        <v>158</v>
      </c>
      <c r="O36" s="16" t="s">
        <v>483</v>
      </c>
      <c r="P36" s="16" t="s">
        <v>549</v>
      </c>
      <c r="Q36" s="16" t="s">
        <v>483</v>
      </c>
      <c r="R36" s="16" t="s">
        <v>558</v>
      </c>
    </row>
    <row r="37" spans="7:18">
      <c r="G37" s="16" t="s">
        <v>460</v>
      </c>
      <c r="H37" s="16" t="s">
        <v>94</v>
      </c>
      <c r="I37" s="16" t="s">
        <v>561</v>
      </c>
      <c r="J37" s="16" t="s">
        <v>158</v>
      </c>
      <c r="O37" s="16" t="s">
        <v>483</v>
      </c>
      <c r="P37" s="16" t="s">
        <v>549</v>
      </c>
      <c r="Q37" s="16" t="s">
        <v>483</v>
      </c>
      <c r="R37" s="16" t="s">
        <v>560</v>
      </c>
    </row>
    <row r="38" spans="7:18">
      <c r="G38" s="16" t="s">
        <v>460</v>
      </c>
      <c r="H38" s="16" t="s">
        <v>94</v>
      </c>
      <c r="I38" s="16" t="s">
        <v>562</v>
      </c>
      <c r="J38" s="16" t="s">
        <v>158</v>
      </c>
      <c r="O38" s="16" t="s">
        <v>482</v>
      </c>
      <c r="P38" s="16" t="s">
        <v>549</v>
      </c>
      <c r="Q38" s="16" t="s">
        <v>547</v>
      </c>
      <c r="R38" s="16" t="s">
        <v>548</v>
      </c>
    </row>
    <row r="39" spans="7:18">
      <c r="G39" s="16" t="s">
        <v>460</v>
      </c>
      <c r="H39" s="16" t="s">
        <v>94</v>
      </c>
      <c r="I39" s="16" t="s">
        <v>563</v>
      </c>
      <c r="J39" s="16" t="s">
        <v>143</v>
      </c>
      <c r="O39" s="16" t="s">
        <v>482</v>
      </c>
      <c r="P39" s="16" t="s">
        <v>94</v>
      </c>
      <c r="Q39" s="16" t="s">
        <v>547</v>
      </c>
      <c r="R39" s="16" t="s">
        <v>548</v>
      </c>
    </row>
    <row r="40" spans="7:18">
      <c r="G40" s="16" t="s">
        <v>460</v>
      </c>
      <c r="H40" s="16" t="s">
        <v>94</v>
      </c>
      <c r="I40" s="16" t="s">
        <v>564</v>
      </c>
      <c r="J40" s="16" t="s">
        <v>143</v>
      </c>
      <c r="O40" s="16" t="s">
        <v>482</v>
      </c>
      <c r="P40" s="16" t="s">
        <v>549</v>
      </c>
      <c r="Q40" s="16" t="s">
        <v>482</v>
      </c>
      <c r="R40" s="16" t="s">
        <v>565</v>
      </c>
    </row>
    <row r="41" spans="7:18">
      <c r="G41" s="16" t="s">
        <v>460</v>
      </c>
      <c r="H41" s="16" t="s">
        <v>94</v>
      </c>
      <c r="I41" s="16" t="s">
        <v>566</v>
      </c>
      <c r="J41" s="16" t="s">
        <v>143</v>
      </c>
      <c r="O41" s="16" t="s">
        <v>482</v>
      </c>
      <c r="P41" s="16" t="s">
        <v>94</v>
      </c>
      <c r="Q41" s="16" t="s">
        <v>482</v>
      </c>
      <c r="R41" s="16" t="s">
        <v>565</v>
      </c>
    </row>
    <row r="42" spans="7:18">
      <c r="G42" s="16" t="s">
        <v>460</v>
      </c>
      <c r="H42" s="16" t="s">
        <v>549</v>
      </c>
      <c r="I42" s="16" t="s">
        <v>567</v>
      </c>
      <c r="J42" s="16" t="s">
        <v>158</v>
      </c>
      <c r="O42" s="16" t="s">
        <v>93</v>
      </c>
      <c r="P42" s="16" t="s">
        <v>94</v>
      </c>
      <c r="Q42" s="16" t="s">
        <v>93</v>
      </c>
      <c r="R42" s="16" t="s">
        <v>568</v>
      </c>
    </row>
    <row r="43" spans="7:18">
      <c r="G43" s="16" t="s">
        <v>460</v>
      </c>
      <c r="H43" s="16" t="s">
        <v>549</v>
      </c>
      <c r="I43" s="16" t="s">
        <v>569</v>
      </c>
      <c r="J43" s="16" t="s">
        <v>158</v>
      </c>
      <c r="O43" s="16" t="s">
        <v>93</v>
      </c>
      <c r="P43" s="16" t="s">
        <v>94</v>
      </c>
      <c r="Q43" s="16" t="s">
        <v>93</v>
      </c>
      <c r="R43" s="16" t="s">
        <v>570</v>
      </c>
    </row>
    <row r="44" spans="7:18">
      <c r="G44" s="16" t="s">
        <v>460</v>
      </c>
      <c r="H44" s="16" t="s">
        <v>549</v>
      </c>
      <c r="I44" s="16" t="s">
        <v>1325</v>
      </c>
      <c r="J44" s="16" t="s">
        <v>143</v>
      </c>
      <c r="O44" s="16" t="s">
        <v>93</v>
      </c>
      <c r="P44" s="16" t="s">
        <v>549</v>
      </c>
      <c r="Q44" s="16" t="s">
        <v>93</v>
      </c>
      <c r="R44" s="16" t="s">
        <v>568</v>
      </c>
    </row>
    <row r="45" spans="7:18">
      <c r="G45" s="16" t="s">
        <v>460</v>
      </c>
      <c r="H45" s="16" t="s">
        <v>549</v>
      </c>
      <c r="I45" s="16" t="s">
        <v>1326</v>
      </c>
      <c r="J45" s="16" t="s">
        <v>158</v>
      </c>
    </row>
    <row r="46" spans="7:18">
      <c r="G46" s="16" t="s">
        <v>460</v>
      </c>
      <c r="H46" s="16" t="s">
        <v>549</v>
      </c>
      <c r="I46" s="16" t="s">
        <v>1327</v>
      </c>
      <c r="J46" s="16" t="s">
        <v>158</v>
      </c>
    </row>
    <row r="47" spans="7:18">
      <c r="G47" s="16" t="s">
        <v>460</v>
      </c>
      <c r="H47" s="16" t="s">
        <v>549</v>
      </c>
      <c r="I47" s="16" t="s">
        <v>571</v>
      </c>
      <c r="J47" s="16" t="s">
        <v>158</v>
      </c>
    </row>
    <row r="48" spans="7:18">
      <c r="G48" s="16" t="s">
        <v>460</v>
      </c>
      <c r="H48" s="16" t="s">
        <v>549</v>
      </c>
      <c r="I48" s="16" t="s">
        <v>572</v>
      </c>
      <c r="J48" s="16" t="s">
        <v>158</v>
      </c>
    </row>
    <row r="49" spans="7:10">
      <c r="G49" s="16" t="s">
        <v>460</v>
      </c>
      <c r="H49" s="16" t="s">
        <v>549</v>
      </c>
      <c r="I49" s="16" t="s">
        <v>1328</v>
      </c>
      <c r="J49" s="16" t="s">
        <v>143</v>
      </c>
    </row>
    <row r="50" spans="7:10">
      <c r="G50" s="16" t="s">
        <v>460</v>
      </c>
      <c r="H50" s="16" t="s">
        <v>549</v>
      </c>
      <c r="I50" s="16" t="s">
        <v>573</v>
      </c>
      <c r="J50" s="16" t="s">
        <v>143</v>
      </c>
    </row>
    <row r="51" spans="7:10">
      <c r="G51" s="16" t="s">
        <v>460</v>
      </c>
      <c r="H51" s="16" t="s">
        <v>549</v>
      </c>
      <c r="I51" s="16" t="s">
        <v>540</v>
      </c>
      <c r="J51" s="16" t="s">
        <v>158</v>
      </c>
    </row>
    <row r="52" spans="7:10">
      <c r="G52" s="16" t="s">
        <v>460</v>
      </c>
      <c r="H52" s="16" t="s">
        <v>549</v>
      </c>
      <c r="I52" s="16" t="s">
        <v>574</v>
      </c>
      <c r="J52" s="16" t="s">
        <v>158</v>
      </c>
    </row>
    <row r="53" spans="7:10">
      <c r="G53" s="16" t="s">
        <v>460</v>
      </c>
      <c r="H53" s="16" t="s">
        <v>549</v>
      </c>
      <c r="I53" s="16" t="s">
        <v>575</v>
      </c>
      <c r="J53" s="16" t="s">
        <v>158</v>
      </c>
    </row>
    <row r="54" spans="7:10">
      <c r="G54" s="16" t="s">
        <v>460</v>
      </c>
      <c r="H54" s="16" t="s">
        <v>549</v>
      </c>
      <c r="I54" s="16" t="s">
        <v>576</v>
      </c>
      <c r="J54" s="16" t="s">
        <v>158</v>
      </c>
    </row>
    <row r="55" spans="7:10">
      <c r="G55" s="16" t="s">
        <v>460</v>
      </c>
      <c r="H55" s="16" t="s">
        <v>549</v>
      </c>
      <c r="I55" s="16" t="s">
        <v>1329</v>
      </c>
      <c r="J55" s="16" t="s">
        <v>158</v>
      </c>
    </row>
    <row r="56" spans="7:10">
      <c r="G56" s="16" t="s">
        <v>460</v>
      </c>
      <c r="H56" s="16" t="s">
        <v>549</v>
      </c>
      <c r="I56" s="16" t="s">
        <v>1330</v>
      </c>
      <c r="J56" s="16" t="s">
        <v>143</v>
      </c>
    </row>
    <row r="57" spans="7:10">
      <c r="G57" s="16" t="s">
        <v>460</v>
      </c>
      <c r="H57" s="16" t="s">
        <v>549</v>
      </c>
      <c r="I57" s="16" t="s">
        <v>1331</v>
      </c>
      <c r="J57" s="16" t="s">
        <v>158</v>
      </c>
    </row>
    <row r="58" spans="7:10">
      <c r="G58" s="16" t="s">
        <v>460</v>
      </c>
      <c r="H58" s="16" t="s">
        <v>549</v>
      </c>
      <c r="I58" s="16" t="s">
        <v>577</v>
      </c>
      <c r="J58" s="16" t="s">
        <v>158</v>
      </c>
    </row>
    <row r="59" spans="7:10">
      <c r="G59" s="16" t="s">
        <v>460</v>
      </c>
      <c r="H59" s="16" t="s">
        <v>549</v>
      </c>
      <c r="I59" s="16" t="s">
        <v>578</v>
      </c>
      <c r="J59" s="16" t="s">
        <v>143</v>
      </c>
    </row>
    <row r="60" spans="7:10">
      <c r="G60" s="16" t="s">
        <v>460</v>
      </c>
      <c r="H60" s="16" t="s">
        <v>549</v>
      </c>
      <c r="I60" s="16" t="s">
        <v>579</v>
      </c>
      <c r="J60" s="16" t="s">
        <v>143</v>
      </c>
    </row>
    <row r="61" spans="7:10">
      <c r="G61" s="16" t="s">
        <v>483</v>
      </c>
      <c r="H61" s="16" t="s">
        <v>94</v>
      </c>
      <c r="I61" s="16" t="s">
        <v>580</v>
      </c>
    </row>
    <row r="62" spans="7:10">
      <c r="G62" s="16" t="s">
        <v>483</v>
      </c>
      <c r="H62" s="16" t="s">
        <v>94</v>
      </c>
      <c r="I62" s="16" t="s">
        <v>522</v>
      </c>
    </row>
    <row r="63" spans="7:10">
      <c r="G63" s="16" t="s">
        <v>483</v>
      </c>
      <c r="H63" s="16" t="s">
        <v>94</v>
      </c>
      <c r="I63" s="16" t="s">
        <v>581</v>
      </c>
    </row>
    <row r="64" spans="7:10">
      <c r="G64" s="16" t="s">
        <v>483</v>
      </c>
      <c r="H64" s="16" t="s">
        <v>94</v>
      </c>
      <c r="I64" s="16" t="s">
        <v>1316</v>
      </c>
    </row>
    <row r="65" spans="7:9">
      <c r="G65" s="16" t="s">
        <v>483</v>
      </c>
      <c r="H65" s="16" t="s">
        <v>94</v>
      </c>
      <c r="I65" s="16" t="s">
        <v>538</v>
      </c>
    </row>
    <row r="66" spans="7:9">
      <c r="G66" s="16" t="s">
        <v>483</v>
      </c>
      <c r="H66" s="16" t="s">
        <v>94</v>
      </c>
      <c r="I66" s="16" t="s">
        <v>582</v>
      </c>
    </row>
    <row r="67" spans="7:9">
      <c r="G67" s="16" t="s">
        <v>483</v>
      </c>
      <c r="H67" s="16" t="s">
        <v>94</v>
      </c>
      <c r="I67" s="16" t="s">
        <v>583</v>
      </c>
    </row>
    <row r="68" spans="7:9">
      <c r="G68" s="16" t="s">
        <v>483</v>
      </c>
      <c r="H68" s="16" t="s">
        <v>94</v>
      </c>
      <c r="I68" s="16" t="s">
        <v>584</v>
      </c>
    </row>
    <row r="69" spans="7:9">
      <c r="G69" s="16" t="s">
        <v>483</v>
      </c>
      <c r="H69" s="16" t="s">
        <v>94</v>
      </c>
      <c r="I69" s="16" t="s">
        <v>1332</v>
      </c>
    </row>
    <row r="70" spans="7:9">
      <c r="G70" s="16" t="s">
        <v>483</v>
      </c>
      <c r="H70" s="16" t="s">
        <v>94</v>
      </c>
      <c r="I70" s="16" t="s">
        <v>585</v>
      </c>
    </row>
    <row r="71" spans="7:9">
      <c r="G71" s="16" t="s">
        <v>483</v>
      </c>
      <c r="H71" s="16" t="s">
        <v>94</v>
      </c>
      <c r="I71" s="16" t="s">
        <v>586</v>
      </c>
    </row>
    <row r="72" spans="7:9">
      <c r="G72" s="16" t="s">
        <v>483</v>
      </c>
      <c r="H72" s="16" t="s">
        <v>94</v>
      </c>
      <c r="I72" s="16" t="s">
        <v>561</v>
      </c>
    </row>
    <row r="73" spans="7:9">
      <c r="G73" s="16" t="s">
        <v>483</v>
      </c>
      <c r="H73" s="16" t="s">
        <v>94</v>
      </c>
      <c r="I73" s="16" t="s">
        <v>587</v>
      </c>
    </row>
    <row r="74" spans="7:9">
      <c r="G74" s="16" t="s">
        <v>483</v>
      </c>
      <c r="H74" s="16" t="s">
        <v>549</v>
      </c>
      <c r="I74" s="16" t="s">
        <v>588</v>
      </c>
    </row>
    <row r="75" spans="7:9">
      <c r="G75" s="16" t="s">
        <v>483</v>
      </c>
      <c r="H75" s="16" t="s">
        <v>549</v>
      </c>
      <c r="I75" s="16" t="s">
        <v>569</v>
      </c>
    </row>
    <row r="76" spans="7:9">
      <c r="G76" s="16" t="s">
        <v>483</v>
      </c>
      <c r="H76" s="16" t="s">
        <v>549</v>
      </c>
      <c r="I76" s="16" t="s">
        <v>589</v>
      </c>
    </row>
    <row r="77" spans="7:9">
      <c r="G77" s="16" t="s">
        <v>483</v>
      </c>
      <c r="H77" s="16" t="s">
        <v>549</v>
      </c>
      <c r="I77" s="16" t="s">
        <v>581</v>
      </c>
    </row>
    <row r="78" spans="7:9">
      <c r="G78" s="16" t="s">
        <v>483</v>
      </c>
      <c r="H78" s="16" t="s">
        <v>549</v>
      </c>
      <c r="I78" s="16" t="s">
        <v>590</v>
      </c>
    </row>
    <row r="79" spans="7:9">
      <c r="G79" s="16" t="s">
        <v>483</v>
      </c>
      <c r="H79" s="16" t="s">
        <v>549</v>
      </c>
      <c r="I79" s="16" t="s">
        <v>575</v>
      </c>
    </row>
    <row r="80" spans="7:9">
      <c r="G80" s="16" t="s">
        <v>483</v>
      </c>
      <c r="H80" s="16" t="s">
        <v>549</v>
      </c>
      <c r="I80" s="16" t="s">
        <v>1333</v>
      </c>
    </row>
    <row r="81" spans="7:9">
      <c r="G81" s="16" t="s">
        <v>483</v>
      </c>
      <c r="H81" s="16" t="s">
        <v>549</v>
      </c>
      <c r="I81" s="16" t="s">
        <v>583</v>
      </c>
    </row>
    <row r="82" spans="7:9">
      <c r="G82" s="16" t="s">
        <v>483</v>
      </c>
      <c r="H82" s="16" t="s">
        <v>549</v>
      </c>
      <c r="I82" s="16" t="s">
        <v>591</v>
      </c>
    </row>
    <row r="83" spans="7:9">
      <c r="G83" s="16" t="s">
        <v>483</v>
      </c>
      <c r="H83" s="16" t="s">
        <v>549</v>
      </c>
      <c r="I83" s="16" t="s">
        <v>592</v>
      </c>
    </row>
    <row r="84" spans="7:9">
      <c r="G84" s="16" t="s">
        <v>483</v>
      </c>
      <c r="H84" s="16" t="s">
        <v>549</v>
      </c>
      <c r="I84" s="16" t="s">
        <v>593</v>
      </c>
    </row>
    <row r="85" spans="7:9">
      <c r="G85" s="16" t="s">
        <v>483</v>
      </c>
      <c r="H85" s="16" t="s">
        <v>549</v>
      </c>
      <c r="I85" s="16" t="s">
        <v>586</v>
      </c>
    </row>
    <row r="86" spans="7:9">
      <c r="G86" s="16" t="s">
        <v>483</v>
      </c>
      <c r="H86" s="16" t="s">
        <v>549</v>
      </c>
      <c r="I86" s="16" t="s">
        <v>594</v>
      </c>
    </row>
    <row r="87" spans="7:9">
      <c r="G87" s="16" t="s">
        <v>483</v>
      </c>
      <c r="H87" s="16" t="s">
        <v>549</v>
      </c>
      <c r="I87" s="16" t="s">
        <v>578</v>
      </c>
    </row>
    <row r="88" spans="7:9">
      <c r="G88" s="16" t="s">
        <v>482</v>
      </c>
      <c r="H88" s="16" t="s">
        <v>94</v>
      </c>
      <c r="I88" s="16" t="s">
        <v>595</v>
      </c>
    </row>
    <row r="89" spans="7:9">
      <c r="G89" s="16" t="s">
        <v>482</v>
      </c>
      <c r="H89" s="16" t="s">
        <v>94</v>
      </c>
      <c r="I89" s="16" t="s">
        <v>596</v>
      </c>
    </row>
    <row r="90" spans="7:9">
      <c r="G90" s="16" t="s">
        <v>482</v>
      </c>
      <c r="H90" s="16" t="s">
        <v>94</v>
      </c>
      <c r="I90" s="16" t="s">
        <v>552</v>
      </c>
    </row>
    <row r="91" spans="7:9">
      <c r="G91" s="16" t="s">
        <v>482</v>
      </c>
      <c r="H91" s="16" t="s">
        <v>94</v>
      </c>
      <c r="I91" s="16" t="s">
        <v>597</v>
      </c>
    </row>
    <row r="92" spans="7:9">
      <c r="G92" s="16" t="s">
        <v>482</v>
      </c>
      <c r="H92" s="16" t="s">
        <v>549</v>
      </c>
      <c r="I92" s="16" t="s">
        <v>598</v>
      </c>
    </row>
    <row r="93" spans="7:9">
      <c r="G93" s="16" t="s">
        <v>482</v>
      </c>
      <c r="H93" s="16" t="s">
        <v>549</v>
      </c>
      <c r="I93" s="16" t="s">
        <v>599</v>
      </c>
    </row>
    <row r="94" spans="7:9">
      <c r="G94" s="16" t="s">
        <v>93</v>
      </c>
      <c r="H94" s="16" t="s">
        <v>94</v>
      </c>
      <c r="I94" s="16" t="s">
        <v>530</v>
      </c>
    </row>
    <row r="95" spans="7:9">
      <c r="G95" s="16" t="s">
        <v>93</v>
      </c>
      <c r="H95" s="16" t="s">
        <v>94</v>
      </c>
      <c r="I95" s="16" t="s">
        <v>1316</v>
      </c>
    </row>
    <row r="96" spans="7:9">
      <c r="G96" s="16" t="s">
        <v>93</v>
      </c>
      <c r="H96" s="16" t="s">
        <v>94</v>
      </c>
      <c r="I96" s="16" t="s">
        <v>600</v>
      </c>
    </row>
    <row r="97" spans="7:9">
      <c r="G97" s="16" t="s">
        <v>93</v>
      </c>
      <c r="H97" s="16" t="s">
        <v>549</v>
      </c>
      <c r="I97" s="16" t="s">
        <v>601</v>
      </c>
    </row>
    <row r="98" spans="7:9">
      <c r="G98" s="16" t="s">
        <v>93</v>
      </c>
      <c r="H98" s="16" t="s">
        <v>549</v>
      </c>
      <c r="I98" s="16" t="s">
        <v>602</v>
      </c>
    </row>
  </sheetData>
  <sortState xmlns:xlrd2="http://schemas.microsoft.com/office/spreadsheetml/2017/richdata2" ref="G2:J98">
    <sortCondition ref="G2:G98"/>
    <sortCondition descending="1" ref="H2:H98"/>
    <sortCondition ref="I2:I98"/>
  </sortState>
  <phoneticPr fontId="22" type="noConversion"/>
  <pageMargins left="0.7" right="0.7" top="0.75" bottom="0.75" header="0.3" footer="0.3"/>
  <headerFooter>
    <oddHeader>&amp;R&amp;"Calibri"&amp;8&amp;K808080 INTERNAL &amp; PARTNERS&amp;1#_x000D_</oddHeader>
    <oddFooter>&amp;R_x000D_&amp;1#&amp;"Calibri"&amp;2&amp;KFFFFFF 5acXjzUk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T103"/>
  <sheetViews>
    <sheetView zoomScale="85" zoomScaleNormal="85" workbookViewId="0">
      <pane xSplit="1" topLeftCell="B1" activePane="topRight" state="frozen"/>
      <selection activeCell="G23" sqref="G23"/>
      <selection pane="topRight" activeCell="E14" sqref="E14"/>
    </sheetView>
  </sheetViews>
  <sheetFormatPr defaultColWidth="9.1796875" defaultRowHeight="12.5"/>
  <cols>
    <col min="1" max="1" width="50.453125" style="15" customWidth="1"/>
    <col min="2" max="2" width="20.54296875" style="16" customWidth="1"/>
    <col min="3" max="4" width="20.54296875" style="1" customWidth="1"/>
    <col min="5" max="6" width="20.54296875" style="16" customWidth="1"/>
    <col min="7" max="7" width="20.54296875" style="15" customWidth="1"/>
    <col min="8" max="10" width="20.54296875" style="16" customWidth="1"/>
    <col min="11" max="13" width="20.54296875" style="1" customWidth="1"/>
    <col min="14" max="14" width="50.453125" style="15" customWidth="1"/>
    <col min="15" max="17" width="20.54296875" style="16" customWidth="1"/>
    <col min="18" max="18" width="20.54296875" style="15" customWidth="1"/>
    <col min="19" max="21" width="20.54296875" style="16" customWidth="1"/>
    <col min="22" max="24" width="20.54296875" style="1" customWidth="1"/>
    <col min="25" max="25" width="50.453125" style="15" customWidth="1"/>
    <col min="26" max="28" width="20.54296875" style="16" customWidth="1"/>
    <col min="29" max="29" width="20.54296875" style="15" customWidth="1"/>
    <col min="30" max="32" width="20.54296875" style="16" customWidth="1"/>
    <col min="33" max="35" width="20.54296875" style="1" customWidth="1"/>
    <col min="36" max="36" width="50.453125" style="15" customWidth="1"/>
    <col min="37" max="39" width="20.54296875" style="16" customWidth="1"/>
    <col min="40" max="40" width="20.54296875" style="15" customWidth="1"/>
    <col min="41" max="43" width="20.54296875" style="16" customWidth="1"/>
    <col min="44" max="46" width="20.54296875" style="1" customWidth="1"/>
    <col min="47" max="16384" width="9.1796875" style="16"/>
  </cols>
  <sheetData>
    <row r="1" spans="1:46">
      <c r="A1" s="189" t="str">
        <f>'Project information'!C4</f>
        <v>New development</v>
      </c>
      <c r="B1" s="190"/>
      <c r="C1" s="192"/>
      <c r="D1" s="192"/>
      <c r="E1" s="190"/>
      <c r="F1" s="190"/>
      <c r="G1" s="191"/>
      <c r="H1" s="190"/>
      <c r="I1" s="190"/>
      <c r="J1" s="190"/>
      <c r="K1" s="192"/>
      <c r="L1" s="192"/>
      <c r="M1" s="193"/>
    </row>
    <row r="2" spans="1:46" ht="25">
      <c r="A2" s="194" t="str">
        <f>'Project information'!A4</f>
        <v>China</v>
      </c>
      <c r="B2" s="56" t="s">
        <v>459</v>
      </c>
      <c r="C2" s="56" t="s">
        <v>154</v>
      </c>
      <c r="D2" s="56" t="s">
        <v>603</v>
      </c>
      <c r="E2" s="56" t="s">
        <v>604</v>
      </c>
      <c r="F2" s="56" t="s">
        <v>162</v>
      </c>
      <c r="G2" s="56" t="s">
        <v>155</v>
      </c>
      <c r="H2" s="56" t="s">
        <v>156</v>
      </c>
      <c r="I2" s="56" t="s">
        <v>157</v>
      </c>
      <c r="J2" s="56" t="s">
        <v>141</v>
      </c>
      <c r="K2" s="56" t="s">
        <v>146</v>
      </c>
      <c r="L2" s="56" t="s">
        <v>149</v>
      </c>
      <c r="M2" s="195" t="s">
        <v>148</v>
      </c>
      <c r="N2" s="103"/>
      <c r="O2" s="56"/>
      <c r="P2" s="56"/>
      <c r="Q2" s="56"/>
      <c r="R2" s="56"/>
      <c r="S2" s="56"/>
      <c r="T2" s="56"/>
      <c r="U2" s="56"/>
      <c r="V2" s="56"/>
      <c r="W2" s="56"/>
      <c r="X2" s="56"/>
      <c r="Y2" s="103"/>
      <c r="Z2" s="56"/>
      <c r="AA2" s="56"/>
      <c r="AB2" s="56"/>
      <c r="AC2" s="56"/>
      <c r="AD2" s="56"/>
      <c r="AE2" s="56"/>
      <c r="AF2" s="56"/>
      <c r="AG2" s="56"/>
      <c r="AH2" s="56"/>
      <c r="AI2" s="56"/>
      <c r="AJ2" s="103"/>
      <c r="AK2" s="56"/>
      <c r="AL2" s="56"/>
      <c r="AM2" s="56"/>
      <c r="AN2" s="56"/>
      <c r="AO2" s="56"/>
      <c r="AP2" s="56"/>
      <c r="AQ2" s="56"/>
      <c r="AR2" s="56"/>
      <c r="AS2" s="56"/>
      <c r="AT2" s="56"/>
    </row>
    <row r="3" spans="1:46">
      <c r="A3" s="196" t="s">
        <v>490</v>
      </c>
      <c r="B3" s="16" t="e" cm="1">
        <f t="array" ref="B3">INDEX($A$22:$AT$103,MATCH($A$1,$A$22:$A$103,0)+MATCH($A3,$A$22:$A$103,0)-1,MATCH($A$2,$A$23:$AT$23,0)+MATCH(B$2,$A$23:$AT$23,0)-1)</f>
        <v>#N/A</v>
      </c>
      <c r="C3" s="1" t="e" cm="1">
        <f t="array" ref="C3">INDEX($A$22:$AT$103,MATCH($A$1,$A$22:$A$103,0)+MATCH($A3,$A$22:$A$103,0)-1,MATCH($A$2,$A$23:$AT$23,0)+MATCH(C$2,$A$23:$AT$23,0)-1)</f>
        <v>#N/A</v>
      </c>
      <c r="D3" s="1" t="e" cm="1">
        <f t="array" ref="D3">INDEX($A$22:$AT$103,MATCH($A$1,$A$22:$A$103,0)+MATCH($A3,$A$22:$A$103,0)-1,MATCH($A$2,$A$23:$AT$23,0)+MATCH(D$2,$A$23:$AT$23,0)-1)</f>
        <v>#N/A</v>
      </c>
      <c r="E3" s="16" t="e" cm="1">
        <f t="array" ref="E3">INDEX($A$22:$AT$103,MATCH($A$1,$A$22:$A$103,0)+MATCH($A3,$A$22:$A$103,0)-1,MATCH($A$2,$A$23:$AT$23,0)+MATCH(E$2,$A$23:$AT$23,0)-1)</f>
        <v>#N/A</v>
      </c>
      <c r="F3" s="16" t="e" cm="1">
        <f t="array" ref="F3">INDEX($A$22:$AT$103,MATCH($A$1,$A$22:$A$103,0)+MATCH($A3,$A$22:$A$103,0)-1,MATCH($A$2,$A$23:$AT$23,0)+MATCH(F$2,$A$23:$AT$23,0)-1)</f>
        <v>#N/A</v>
      </c>
      <c r="G3" s="16" t="e" cm="1">
        <f t="array" ref="G3">INDEX($A$22:$AT$103,MATCH($A$1,$A$22:$A$103,0)+MATCH($A3,$A$22:$A$103,0)-1,MATCH($A$2,$A$23:$AT$23,0)+MATCH(G$2,$A$23:$AT$23,0)-1)</f>
        <v>#N/A</v>
      </c>
      <c r="H3" s="16" t="e" cm="1">
        <f t="array" ref="H3">INDEX($A$22:$AT$103,MATCH($A$1,$A$22:$A$103,0)+MATCH($A3,$A$22:$A$103,0)-1,MATCH($A$2,$A$23:$AT$23,0)+MATCH(H$2,$A$23:$AT$23,0)-1)</f>
        <v>#N/A</v>
      </c>
      <c r="I3" s="16" t="e" cm="1">
        <f t="array" ref="I3">INDEX($A$22:$AT$103,MATCH($A$1,$A$22:$A$103,0)+MATCH($A3,$A$22:$A$103,0)-1,MATCH($A$2,$A$23:$AT$23,0)+MATCH(I$2,$A$23:$AT$23,0)-1)</f>
        <v>#N/A</v>
      </c>
      <c r="J3" s="16" t="e" cm="1">
        <f t="array" ref="J3">INDEX($A$22:$AT$103,MATCH($A$1,$A$22:$A$103,0)+MATCH($A3,$A$22:$A$103,0)-1,MATCH($A$2,$A$23:$AT$23,0)+MATCH(J$2,$A$23:$AT$23,0)-1)</f>
        <v>#N/A</v>
      </c>
      <c r="K3" s="1" t="e" cm="1">
        <f t="array" ref="K3">INDEX($A$22:$AT$103,MATCH($A$1,$A$22:$A$103,0)+MATCH($A3,$A$22:$A$103,0)-1,MATCH($A$2,$A$23:$AT$23,0)+MATCH(K$2,$A$23:$AT$23,0)-1)</f>
        <v>#N/A</v>
      </c>
      <c r="L3" s="1" t="e" cm="1">
        <f t="array" ref="L3">INDEX($A$22:$AT$103,MATCH($A$1,$A$22:$A$103,0)+MATCH($A3,$A$22:$A$103,0)-1,MATCH($A$2,$A$23:$AT$23,0)+MATCH(L$2,$A$23:$AT$23,0)-1)</f>
        <v>#N/A</v>
      </c>
      <c r="M3" s="197" t="e" cm="1">
        <f t="array" ref="M3">INDEX($A$22:$AT$103,MATCH($A$1,$A$22:$A$103,0)+MATCH($A3,$A$22:$A$103,0)-1,MATCH($A$2,$A$23:$AT$23,0)+MATCH(M$2,$A$23:$AT$23,0)-1)</f>
        <v>#N/A</v>
      </c>
      <c r="N3" s="102"/>
      <c r="R3" s="16"/>
      <c r="Y3" s="102"/>
      <c r="AC3" s="16"/>
      <c r="AJ3" s="102"/>
      <c r="AN3" s="16"/>
    </row>
    <row r="4" spans="1:46">
      <c r="A4" s="196" t="s">
        <v>494</v>
      </c>
      <c r="B4" s="16" t="e" cm="1">
        <f t="array" ref="B4">INDEX($A$22:$AT$103,MATCH($A$1,$A$22:$A$103,0)+MATCH($A4,$A$22:$A$103,0)-1,MATCH($A$2,$A$23:$AT$23,0)+MATCH(B$2,$A$23:$AT$23,0)-1)</f>
        <v>#N/A</v>
      </c>
      <c r="C4" s="1" t="e" cm="1">
        <f t="array" ref="C4">INDEX($A$22:$AT$103,MATCH($A$1,$A$22:$A$103,0)+MATCH($A4,$A$22:$A$103,0)-1,MATCH($A$2,$A$23:$AT$23,0)+MATCH(C$2,$A$23:$AT$23,0)-1)</f>
        <v>#N/A</v>
      </c>
      <c r="D4" s="1" t="e" cm="1">
        <f t="array" ref="D4">INDEX($A$22:$AT$103,MATCH($A$1,$A$22:$A$103,0)+MATCH($A4,$A$22:$A$103,0)-1,MATCH($A$2,$A$23:$AT$23,0)+MATCH(D$2,$A$23:$AT$23,0)-1)</f>
        <v>#N/A</v>
      </c>
      <c r="E4" s="16" t="e" cm="1">
        <f t="array" ref="E4">INDEX($A$22:$AT$103,MATCH($A$1,$A$22:$A$103,0)+MATCH($A4,$A$22:$A$103,0)-1,MATCH($A$2,$A$23:$AT$23,0)+MATCH(E$2,$A$23:$AT$23,0)-1)</f>
        <v>#N/A</v>
      </c>
      <c r="F4" s="16" t="e" cm="1">
        <f t="array" ref="F4">INDEX($A$22:$AT$103,MATCH($A$1,$A$22:$A$103,0)+MATCH($A4,$A$22:$A$103,0)-1,MATCH($A$2,$A$23:$AT$23,0)+MATCH(F$2,$A$23:$AT$23,0)-1)</f>
        <v>#N/A</v>
      </c>
      <c r="G4" s="16" t="e" cm="1">
        <f t="array" ref="G4">INDEX($A$22:$AT$103,MATCH($A$1,$A$22:$A$103,0)+MATCH($A4,$A$22:$A$103,0)-1,MATCH($A$2,$A$23:$AT$23,0)+MATCH(G$2,$A$23:$AT$23,0)-1)</f>
        <v>#N/A</v>
      </c>
      <c r="H4" s="16" t="e" cm="1">
        <f t="array" ref="H4">INDEX($A$22:$AT$103,MATCH($A$1,$A$22:$A$103,0)+MATCH($A4,$A$22:$A$103,0)-1,MATCH($A$2,$A$23:$AT$23,0)+MATCH(H$2,$A$23:$AT$23,0)-1)</f>
        <v>#N/A</v>
      </c>
      <c r="I4" s="16" t="e" cm="1">
        <f t="array" ref="I4">INDEX($A$22:$AT$103,MATCH($A$1,$A$22:$A$103,0)+MATCH($A4,$A$22:$A$103,0)-1,MATCH($A$2,$A$23:$AT$23,0)+MATCH(I$2,$A$23:$AT$23,0)-1)</f>
        <v>#N/A</v>
      </c>
      <c r="J4" s="16" t="e" cm="1">
        <f t="array" ref="J4">INDEX($A$22:$AT$103,MATCH($A$1,$A$22:$A$103,0)+MATCH($A4,$A$22:$A$103,0)-1,MATCH($A$2,$A$23:$AT$23,0)+MATCH(J$2,$A$23:$AT$23,0)-1)</f>
        <v>#N/A</v>
      </c>
      <c r="K4" s="1" t="e" cm="1">
        <f t="array" ref="K4">INDEX($A$22:$AT$103,MATCH($A$1,$A$22:$A$103,0)+MATCH($A4,$A$22:$A$103,0)-1,MATCH($A$2,$A$23:$AT$23,0)+MATCH(K$2,$A$23:$AT$23,0)-1)</f>
        <v>#N/A</v>
      </c>
      <c r="L4" s="1" t="e" cm="1">
        <f t="array" ref="L4">INDEX($A$22:$AT$103,MATCH($A$1,$A$22:$A$103,0)+MATCH($A4,$A$22:$A$103,0)-1,MATCH($A$2,$A$23:$AT$23,0)+MATCH(L$2,$A$23:$AT$23,0)-1)</f>
        <v>#N/A</v>
      </c>
      <c r="M4" s="197" t="e" cm="1">
        <f t="array" ref="M4">INDEX($A$22:$AT$103,MATCH($A$1,$A$22:$A$103,0)+MATCH($A4,$A$22:$A$103,0)-1,MATCH($A$2,$A$23:$AT$23,0)+MATCH(M$2,$A$23:$AT$23,0)-1)</f>
        <v>#N/A</v>
      </c>
      <c r="N4" s="102"/>
      <c r="R4" s="16"/>
      <c r="Y4" s="102"/>
      <c r="AC4" s="16"/>
      <c r="AJ4" s="102"/>
      <c r="AN4" s="16"/>
    </row>
    <row r="5" spans="1:46">
      <c r="A5" s="196" t="s">
        <v>498</v>
      </c>
      <c r="B5" s="16" t="e" cm="1">
        <f t="array" ref="B5">INDEX($A$22:$AT$103,MATCH($A$1,$A$22:$A$103,0)+MATCH($A5,$A$22:$A$103,0)-1,MATCH($A$2,$A$23:$AT$23,0)+MATCH(B$2,$A$23:$AT$23,0)-1)</f>
        <v>#N/A</v>
      </c>
      <c r="C5" s="1" t="e" cm="1">
        <f t="array" ref="C5">INDEX($A$22:$AT$103,MATCH($A$1,$A$22:$A$103,0)+MATCH($A5,$A$22:$A$103,0)-1,MATCH($A$2,$A$23:$AT$23,0)+MATCH(C$2,$A$23:$AT$23,0)-1)</f>
        <v>#N/A</v>
      </c>
      <c r="D5" s="1" t="e" cm="1">
        <f t="array" ref="D5">INDEX($A$22:$AT$103,MATCH($A$1,$A$22:$A$103,0)+MATCH($A5,$A$22:$A$103,0)-1,MATCH($A$2,$A$23:$AT$23,0)+MATCH(D$2,$A$23:$AT$23,0)-1)</f>
        <v>#N/A</v>
      </c>
      <c r="E5" s="16" t="e" cm="1">
        <f t="array" ref="E5">INDEX($A$22:$AT$103,MATCH($A$1,$A$22:$A$103,0)+MATCH($A5,$A$22:$A$103,0)-1,MATCH($A$2,$A$23:$AT$23,0)+MATCH(E$2,$A$23:$AT$23,0)-1)</f>
        <v>#N/A</v>
      </c>
      <c r="F5" s="16" t="e" cm="1">
        <f t="array" ref="F5">INDEX($A$22:$AT$103,MATCH($A$1,$A$22:$A$103,0)+MATCH($A5,$A$22:$A$103,0)-1,MATCH($A$2,$A$23:$AT$23,0)+MATCH(F$2,$A$23:$AT$23,0)-1)</f>
        <v>#N/A</v>
      </c>
      <c r="G5" s="16" t="e" cm="1">
        <f t="array" ref="G5">INDEX($A$22:$AT$103,MATCH($A$1,$A$22:$A$103,0)+MATCH($A5,$A$22:$A$103,0)-1,MATCH($A$2,$A$23:$AT$23,0)+MATCH(G$2,$A$23:$AT$23,0)-1)</f>
        <v>#N/A</v>
      </c>
      <c r="H5" s="16" t="e" cm="1">
        <f t="array" ref="H5">INDEX($A$22:$AT$103,MATCH($A$1,$A$22:$A$103,0)+MATCH($A5,$A$22:$A$103,0)-1,MATCH($A$2,$A$23:$AT$23,0)+MATCH(H$2,$A$23:$AT$23,0)-1)</f>
        <v>#N/A</v>
      </c>
      <c r="I5" s="16" t="e" cm="1">
        <f t="array" ref="I5">INDEX($A$22:$AT$103,MATCH($A$1,$A$22:$A$103,0)+MATCH($A5,$A$22:$A$103,0)-1,MATCH($A$2,$A$23:$AT$23,0)+MATCH(I$2,$A$23:$AT$23,0)-1)</f>
        <v>#N/A</v>
      </c>
      <c r="J5" s="16" t="e" cm="1">
        <f t="array" ref="J5">INDEX($A$22:$AT$103,MATCH($A$1,$A$22:$A$103,0)+MATCH($A5,$A$22:$A$103,0)-1,MATCH($A$2,$A$23:$AT$23,0)+MATCH(J$2,$A$23:$AT$23,0)-1)</f>
        <v>#N/A</v>
      </c>
      <c r="K5" s="1" t="e" cm="1">
        <f t="array" ref="K5">INDEX($A$22:$AT$103,MATCH($A$1,$A$22:$A$103,0)+MATCH($A5,$A$22:$A$103,0)-1,MATCH($A$2,$A$23:$AT$23,0)+MATCH(K$2,$A$23:$AT$23,0)-1)</f>
        <v>#N/A</v>
      </c>
      <c r="L5" s="1" t="e" cm="1">
        <f t="array" ref="L5">INDEX($A$22:$AT$103,MATCH($A$1,$A$22:$A$103,0)+MATCH($A5,$A$22:$A$103,0)-1,MATCH($A$2,$A$23:$AT$23,0)+MATCH(L$2,$A$23:$AT$23,0)-1)</f>
        <v>#N/A</v>
      </c>
      <c r="M5" s="197" t="e" cm="1">
        <f t="array" ref="M5">INDEX($A$22:$AT$103,MATCH($A$1,$A$22:$A$103,0)+MATCH($A5,$A$22:$A$103,0)-1,MATCH($A$2,$A$23:$AT$23,0)+MATCH(M$2,$A$23:$AT$23,0)-1)</f>
        <v>#N/A</v>
      </c>
      <c r="N5" s="102"/>
      <c r="R5" s="16"/>
      <c r="Y5" s="102"/>
      <c r="AC5" s="16"/>
      <c r="AJ5" s="102"/>
      <c r="AN5" s="16"/>
    </row>
    <row r="6" spans="1:46">
      <c r="A6" s="196" t="s">
        <v>500</v>
      </c>
      <c r="B6" s="16" t="e" cm="1">
        <f t="array" ref="B6">INDEX($A$22:$AT$103,MATCH($A$1,$A$22:$A$103,0)+MATCH($A6,$A$22:$A$103,0)-1,MATCH($A$2,$A$23:$AT$23,0)+MATCH(B$2,$A$23:$AT$23,0)-1)</f>
        <v>#N/A</v>
      </c>
      <c r="C6" s="1" t="e" cm="1">
        <f t="array" ref="C6">INDEX($A$22:$AT$103,MATCH($A$1,$A$22:$A$103,0)+MATCH($A6,$A$22:$A$103,0)-1,MATCH($A$2,$A$23:$AT$23,0)+MATCH(C$2,$A$23:$AT$23,0)-1)</f>
        <v>#N/A</v>
      </c>
      <c r="D6" s="1" t="e" cm="1">
        <f t="array" ref="D6">INDEX($A$22:$AT$103,MATCH($A$1,$A$22:$A$103,0)+MATCH($A6,$A$22:$A$103,0)-1,MATCH($A$2,$A$23:$AT$23,0)+MATCH(D$2,$A$23:$AT$23,0)-1)</f>
        <v>#N/A</v>
      </c>
      <c r="E6" s="16" t="e" cm="1">
        <f t="array" ref="E6">INDEX($A$22:$AT$103,MATCH($A$1,$A$22:$A$103,0)+MATCH($A6,$A$22:$A$103,0)-1,MATCH($A$2,$A$23:$AT$23,0)+MATCH(E$2,$A$23:$AT$23,0)-1)</f>
        <v>#N/A</v>
      </c>
      <c r="F6" s="16" t="e" cm="1">
        <f t="array" ref="F6">INDEX($A$22:$AT$103,MATCH($A$1,$A$22:$A$103,0)+MATCH($A6,$A$22:$A$103,0)-1,MATCH($A$2,$A$23:$AT$23,0)+MATCH(F$2,$A$23:$AT$23,0)-1)</f>
        <v>#N/A</v>
      </c>
      <c r="G6" s="16" t="e" cm="1">
        <f t="array" ref="G6">INDEX($A$22:$AT$103,MATCH($A$1,$A$22:$A$103,0)+MATCH($A6,$A$22:$A$103,0)-1,MATCH($A$2,$A$23:$AT$23,0)+MATCH(G$2,$A$23:$AT$23,0)-1)</f>
        <v>#N/A</v>
      </c>
      <c r="H6" s="16" t="e" cm="1">
        <f t="array" ref="H6">INDEX($A$22:$AT$103,MATCH($A$1,$A$22:$A$103,0)+MATCH($A6,$A$22:$A$103,0)-1,MATCH($A$2,$A$23:$AT$23,0)+MATCH(H$2,$A$23:$AT$23,0)-1)</f>
        <v>#N/A</v>
      </c>
      <c r="I6" s="16" t="e" cm="1">
        <f t="array" ref="I6">INDEX($A$22:$AT$103,MATCH($A$1,$A$22:$A$103,0)+MATCH($A6,$A$22:$A$103,0)-1,MATCH($A$2,$A$23:$AT$23,0)+MATCH(I$2,$A$23:$AT$23,0)-1)</f>
        <v>#N/A</v>
      </c>
      <c r="J6" s="16" t="e" cm="1">
        <f t="array" ref="J6">INDEX($A$22:$AT$103,MATCH($A$1,$A$22:$A$103,0)+MATCH($A6,$A$22:$A$103,0)-1,MATCH($A$2,$A$23:$AT$23,0)+MATCH(J$2,$A$23:$AT$23,0)-1)</f>
        <v>#N/A</v>
      </c>
      <c r="K6" s="1" t="e" cm="1">
        <f t="array" ref="K6">INDEX($A$22:$AT$103,MATCH($A$1,$A$22:$A$103,0)+MATCH($A6,$A$22:$A$103,0)-1,MATCH($A$2,$A$23:$AT$23,0)+MATCH(K$2,$A$23:$AT$23,0)-1)</f>
        <v>#N/A</v>
      </c>
      <c r="L6" s="1" t="e" cm="1">
        <f t="array" ref="L6">INDEX($A$22:$AT$103,MATCH($A$1,$A$22:$A$103,0)+MATCH($A6,$A$22:$A$103,0)-1,MATCH($A$2,$A$23:$AT$23,0)+MATCH(L$2,$A$23:$AT$23,0)-1)</f>
        <v>#N/A</v>
      </c>
      <c r="M6" s="197" t="e" cm="1">
        <f t="array" ref="M6">INDEX($A$22:$AT$103,MATCH($A$1,$A$22:$A$103,0)+MATCH($A6,$A$22:$A$103,0)-1,MATCH($A$2,$A$23:$AT$23,0)+MATCH(M$2,$A$23:$AT$23,0)-1)</f>
        <v>#N/A</v>
      </c>
      <c r="N6" s="102"/>
      <c r="R6" s="16"/>
      <c r="Y6" s="102"/>
      <c r="AC6" s="16"/>
      <c r="AJ6" s="102"/>
      <c r="AN6" s="16"/>
    </row>
    <row r="7" spans="1:46">
      <c r="A7" s="196" t="s">
        <v>505</v>
      </c>
      <c r="B7" s="16" t="e" cm="1">
        <f t="array" ref="B7">INDEX($A$22:$AT$103,MATCH($A$1,$A$22:$A$103,0)+MATCH($A7,$A$22:$A$103,0)-1,MATCH($A$2,$A$23:$AT$23,0)+MATCH(B$2,$A$23:$AT$23,0)-1)</f>
        <v>#N/A</v>
      </c>
      <c r="C7" s="1" t="e" cm="1">
        <f t="array" ref="C7">INDEX($A$22:$AT$103,MATCH($A$1,$A$22:$A$103,0)+MATCH($A7,$A$22:$A$103,0)-1,MATCH($A$2,$A$23:$AT$23,0)+MATCH(C$2,$A$23:$AT$23,0)-1)</f>
        <v>#N/A</v>
      </c>
      <c r="D7" s="1" t="e" cm="1">
        <f t="array" ref="D7">INDEX($A$22:$AT$103,MATCH($A$1,$A$22:$A$103,0)+MATCH($A7,$A$22:$A$103,0)-1,MATCH($A$2,$A$23:$AT$23,0)+MATCH(D$2,$A$23:$AT$23,0)-1)</f>
        <v>#N/A</v>
      </c>
      <c r="E7" s="16" t="e" cm="1">
        <f t="array" ref="E7">INDEX($A$22:$AT$103,MATCH($A$1,$A$22:$A$103,0)+MATCH($A7,$A$22:$A$103,0)-1,MATCH($A$2,$A$23:$AT$23,0)+MATCH(E$2,$A$23:$AT$23,0)-1)</f>
        <v>#N/A</v>
      </c>
      <c r="F7" s="16" t="e" cm="1">
        <f t="array" ref="F7">INDEX($A$22:$AT$103,MATCH($A$1,$A$22:$A$103,0)+MATCH($A7,$A$22:$A$103,0)-1,MATCH($A$2,$A$23:$AT$23,0)+MATCH(F$2,$A$23:$AT$23,0)-1)</f>
        <v>#N/A</v>
      </c>
      <c r="G7" s="16" t="e" cm="1">
        <f t="array" ref="G7">INDEX($A$22:$AT$103,MATCH($A$1,$A$22:$A$103,0)+MATCH($A7,$A$22:$A$103,0)-1,MATCH($A$2,$A$23:$AT$23,0)+MATCH(G$2,$A$23:$AT$23,0)-1)</f>
        <v>#N/A</v>
      </c>
      <c r="H7" s="16" t="e" cm="1">
        <f t="array" ref="H7">INDEX($A$22:$AT$103,MATCH($A$1,$A$22:$A$103,0)+MATCH($A7,$A$22:$A$103,0)-1,MATCH($A$2,$A$23:$AT$23,0)+MATCH(H$2,$A$23:$AT$23,0)-1)</f>
        <v>#N/A</v>
      </c>
      <c r="I7" s="16" t="e" cm="1">
        <f t="array" ref="I7">INDEX($A$22:$AT$103,MATCH($A$1,$A$22:$A$103,0)+MATCH($A7,$A$22:$A$103,0)-1,MATCH($A$2,$A$23:$AT$23,0)+MATCH(I$2,$A$23:$AT$23,0)-1)</f>
        <v>#N/A</v>
      </c>
      <c r="J7" s="16" t="e" cm="1">
        <f t="array" ref="J7">INDEX($A$22:$AT$103,MATCH($A$1,$A$22:$A$103,0)+MATCH($A7,$A$22:$A$103,0)-1,MATCH($A$2,$A$23:$AT$23,0)+MATCH(J$2,$A$23:$AT$23,0)-1)</f>
        <v>#N/A</v>
      </c>
      <c r="K7" s="1" t="e" cm="1">
        <f t="array" ref="K7">INDEX($A$22:$AT$103,MATCH($A$1,$A$22:$A$103,0)+MATCH($A7,$A$22:$A$103,0)-1,MATCH($A$2,$A$23:$AT$23,0)+MATCH(K$2,$A$23:$AT$23,0)-1)</f>
        <v>#N/A</v>
      </c>
      <c r="L7" s="1" t="e" cm="1">
        <f t="array" ref="L7">INDEX($A$22:$AT$103,MATCH($A$1,$A$22:$A$103,0)+MATCH($A7,$A$22:$A$103,0)-1,MATCH($A$2,$A$23:$AT$23,0)+MATCH(L$2,$A$23:$AT$23,0)-1)</f>
        <v>#N/A</v>
      </c>
      <c r="M7" s="197" t="e" cm="1">
        <f t="array" ref="M7">INDEX($A$22:$AT$103,MATCH($A$1,$A$22:$A$103,0)+MATCH($A7,$A$22:$A$103,0)-1,MATCH($A$2,$A$23:$AT$23,0)+MATCH(M$2,$A$23:$AT$23,0)-1)</f>
        <v>#N/A</v>
      </c>
      <c r="N7" s="102"/>
      <c r="R7" s="16"/>
      <c r="Y7" s="102"/>
      <c r="AC7" s="16"/>
      <c r="AJ7" s="102"/>
      <c r="AN7" s="16"/>
    </row>
    <row r="8" spans="1:46">
      <c r="A8" s="196" t="s">
        <v>509</v>
      </c>
      <c r="B8" s="16" t="e" cm="1">
        <f t="array" ref="B8">INDEX($A$22:$AT$103,MATCH($A$1,$A$22:$A$103,0)+MATCH($A8,$A$22:$A$103,0)-1,MATCH($A$2,$A$23:$AT$23,0)+MATCH(B$2,$A$23:$AT$23,0)-1)</f>
        <v>#N/A</v>
      </c>
      <c r="C8" s="1" t="e" cm="1">
        <f t="array" ref="C8">INDEX($A$22:$AT$103,MATCH($A$1,$A$22:$A$103,0)+MATCH($A8,$A$22:$A$103,0)-1,MATCH($A$2,$A$23:$AT$23,0)+MATCH(C$2,$A$23:$AT$23,0)-1)</f>
        <v>#N/A</v>
      </c>
      <c r="D8" s="1" t="e" cm="1">
        <f t="array" ref="D8">INDEX($A$22:$AT$103,MATCH($A$1,$A$22:$A$103,0)+MATCH($A8,$A$22:$A$103,0)-1,MATCH($A$2,$A$23:$AT$23,0)+MATCH(D$2,$A$23:$AT$23,0)-1)</f>
        <v>#N/A</v>
      </c>
      <c r="E8" s="16" t="e" cm="1">
        <f t="array" ref="E8">INDEX($A$22:$AT$103,MATCH($A$1,$A$22:$A$103,0)+MATCH($A8,$A$22:$A$103,0)-1,MATCH($A$2,$A$23:$AT$23,0)+MATCH(E$2,$A$23:$AT$23,0)-1)</f>
        <v>#N/A</v>
      </c>
      <c r="F8" s="16" t="e" cm="1">
        <f t="array" ref="F8">INDEX($A$22:$AT$103,MATCH($A$1,$A$22:$A$103,0)+MATCH($A8,$A$22:$A$103,0)-1,MATCH($A$2,$A$23:$AT$23,0)+MATCH(F$2,$A$23:$AT$23,0)-1)</f>
        <v>#N/A</v>
      </c>
      <c r="G8" s="16" t="e" cm="1">
        <f t="array" ref="G8">INDEX($A$22:$AT$103,MATCH($A$1,$A$22:$A$103,0)+MATCH($A8,$A$22:$A$103,0)-1,MATCH($A$2,$A$23:$AT$23,0)+MATCH(G$2,$A$23:$AT$23,0)-1)</f>
        <v>#N/A</v>
      </c>
      <c r="H8" s="16" t="e" cm="1">
        <f t="array" ref="H8">INDEX($A$22:$AT$103,MATCH($A$1,$A$22:$A$103,0)+MATCH($A8,$A$22:$A$103,0)-1,MATCH($A$2,$A$23:$AT$23,0)+MATCH(H$2,$A$23:$AT$23,0)-1)</f>
        <v>#N/A</v>
      </c>
      <c r="I8" s="16" t="e" cm="1">
        <f t="array" ref="I8">INDEX($A$22:$AT$103,MATCH($A$1,$A$22:$A$103,0)+MATCH($A8,$A$22:$A$103,0)-1,MATCH($A$2,$A$23:$AT$23,0)+MATCH(I$2,$A$23:$AT$23,0)-1)</f>
        <v>#N/A</v>
      </c>
      <c r="J8" s="16" t="e" cm="1">
        <f t="array" ref="J8">INDEX($A$22:$AT$103,MATCH($A$1,$A$22:$A$103,0)+MATCH($A8,$A$22:$A$103,0)-1,MATCH($A$2,$A$23:$AT$23,0)+MATCH(J$2,$A$23:$AT$23,0)-1)</f>
        <v>#N/A</v>
      </c>
      <c r="K8" s="1" t="e" cm="1">
        <f t="array" ref="K8">INDEX($A$22:$AT$103,MATCH($A$1,$A$22:$A$103,0)+MATCH($A8,$A$22:$A$103,0)-1,MATCH($A$2,$A$23:$AT$23,0)+MATCH(K$2,$A$23:$AT$23,0)-1)</f>
        <v>#N/A</v>
      </c>
      <c r="L8" s="1" t="e" cm="1">
        <f t="array" ref="L8">INDEX($A$22:$AT$103,MATCH($A$1,$A$22:$A$103,0)+MATCH($A8,$A$22:$A$103,0)-1,MATCH($A$2,$A$23:$AT$23,0)+MATCH(L$2,$A$23:$AT$23,0)-1)</f>
        <v>#N/A</v>
      </c>
      <c r="M8" s="197" t="e" cm="1">
        <f t="array" ref="M8">INDEX($A$22:$AT$103,MATCH($A$1,$A$22:$A$103,0)+MATCH($A8,$A$22:$A$103,0)-1,MATCH($A$2,$A$23:$AT$23,0)+MATCH(M$2,$A$23:$AT$23,0)-1)</f>
        <v>#N/A</v>
      </c>
      <c r="N8" s="102"/>
      <c r="R8" s="16"/>
      <c r="Y8" s="102"/>
      <c r="AC8" s="16"/>
      <c r="AJ8" s="102"/>
      <c r="AN8" s="16"/>
    </row>
    <row r="9" spans="1:46">
      <c r="A9" s="196" t="s">
        <v>512</v>
      </c>
      <c r="B9" s="16" t="e" cm="1">
        <f t="array" ref="B9">INDEX($A$22:$AT$103,MATCH($A$1,$A$22:$A$103,0)+MATCH($A9,$A$22:$A$103,0)-1,MATCH($A$2,$A$23:$AT$23,0)+MATCH(B$2,$A$23:$AT$23,0)-1)</f>
        <v>#N/A</v>
      </c>
      <c r="C9" s="1" t="e" cm="1">
        <f t="array" ref="C9">INDEX($A$22:$AT$103,MATCH($A$1,$A$22:$A$103,0)+MATCH($A9,$A$22:$A$103,0)-1,MATCH($A$2,$A$23:$AT$23,0)+MATCH(C$2,$A$23:$AT$23,0)-1)</f>
        <v>#N/A</v>
      </c>
      <c r="D9" s="1" t="e" cm="1">
        <f t="array" ref="D9">INDEX($A$22:$AT$103,MATCH($A$1,$A$22:$A$103,0)+MATCH($A9,$A$22:$A$103,0)-1,MATCH($A$2,$A$23:$AT$23,0)+MATCH(D$2,$A$23:$AT$23,0)-1)</f>
        <v>#N/A</v>
      </c>
      <c r="E9" s="16" t="e" cm="1">
        <f t="array" ref="E9">INDEX($A$22:$AT$103,MATCH($A$1,$A$22:$A$103,0)+MATCH($A9,$A$22:$A$103,0)-1,MATCH($A$2,$A$23:$AT$23,0)+MATCH(E$2,$A$23:$AT$23,0)-1)</f>
        <v>#N/A</v>
      </c>
      <c r="F9" s="16" t="e" cm="1">
        <f t="array" ref="F9">INDEX($A$22:$AT$103,MATCH($A$1,$A$22:$A$103,0)+MATCH($A9,$A$22:$A$103,0)-1,MATCH($A$2,$A$23:$AT$23,0)+MATCH(F$2,$A$23:$AT$23,0)-1)</f>
        <v>#N/A</v>
      </c>
      <c r="G9" s="16" t="e" cm="1">
        <f t="array" ref="G9">INDEX($A$22:$AT$103,MATCH($A$1,$A$22:$A$103,0)+MATCH($A9,$A$22:$A$103,0)-1,MATCH($A$2,$A$23:$AT$23,0)+MATCH(G$2,$A$23:$AT$23,0)-1)</f>
        <v>#N/A</v>
      </c>
      <c r="H9" s="16" t="e" cm="1">
        <f t="array" ref="H9">INDEX($A$22:$AT$103,MATCH($A$1,$A$22:$A$103,0)+MATCH($A9,$A$22:$A$103,0)-1,MATCH($A$2,$A$23:$AT$23,0)+MATCH(H$2,$A$23:$AT$23,0)-1)</f>
        <v>#N/A</v>
      </c>
      <c r="I9" s="16" t="e" cm="1">
        <f t="array" ref="I9">INDEX($A$22:$AT$103,MATCH($A$1,$A$22:$A$103,0)+MATCH($A9,$A$22:$A$103,0)-1,MATCH($A$2,$A$23:$AT$23,0)+MATCH(I$2,$A$23:$AT$23,0)-1)</f>
        <v>#N/A</v>
      </c>
      <c r="J9" s="16" t="e" cm="1">
        <f t="array" ref="J9">INDEX($A$22:$AT$103,MATCH($A$1,$A$22:$A$103,0)+MATCH($A9,$A$22:$A$103,0)-1,MATCH($A$2,$A$23:$AT$23,0)+MATCH(J$2,$A$23:$AT$23,0)-1)</f>
        <v>#N/A</v>
      </c>
      <c r="K9" s="1" t="e" cm="1">
        <f t="array" ref="K9">INDEX($A$22:$AT$103,MATCH($A$1,$A$22:$A$103,0)+MATCH($A9,$A$22:$A$103,0)-1,MATCH($A$2,$A$23:$AT$23,0)+MATCH(K$2,$A$23:$AT$23,0)-1)</f>
        <v>#N/A</v>
      </c>
      <c r="L9" s="1" t="e" cm="1">
        <f t="array" ref="L9">INDEX($A$22:$AT$103,MATCH($A$1,$A$22:$A$103,0)+MATCH($A9,$A$22:$A$103,0)-1,MATCH($A$2,$A$23:$AT$23,0)+MATCH(L$2,$A$23:$AT$23,0)-1)</f>
        <v>#N/A</v>
      </c>
      <c r="M9" s="197" t="e" cm="1">
        <f t="array" ref="M9">INDEX($A$22:$AT$103,MATCH($A$1,$A$22:$A$103,0)+MATCH($A9,$A$22:$A$103,0)-1,MATCH($A$2,$A$23:$AT$23,0)+MATCH(M$2,$A$23:$AT$23,0)-1)</f>
        <v>#N/A</v>
      </c>
      <c r="N9" s="102"/>
      <c r="R9" s="16"/>
      <c r="Y9" s="102"/>
      <c r="AC9" s="16"/>
      <c r="AJ9" s="102"/>
      <c r="AN9" s="16"/>
    </row>
    <row r="10" spans="1:46">
      <c r="A10" s="196" t="s">
        <v>514</v>
      </c>
      <c r="B10" s="16" t="e" cm="1">
        <f t="array" ref="B10">INDEX($A$22:$AT$103,MATCH($A$1,$A$22:$A$103,0)+MATCH($A10,$A$22:$A$103,0)-1,MATCH($A$2,$A$23:$AT$23,0)+MATCH(B$2,$A$23:$AT$23,0)-1)</f>
        <v>#N/A</v>
      </c>
      <c r="C10" s="1" t="e" cm="1">
        <f t="array" ref="C10">INDEX($A$22:$AT$103,MATCH($A$1,$A$22:$A$103,0)+MATCH($A10,$A$22:$A$103,0)-1,MATCH($A$2,$A$23:$AT$23,0)+MATCH(C$2,$A$23:$AT$23,0)-1)</f>
        <v>#N/A</v>
      </c>
      <c r="D10" s="1" t="e" cm="1">
        <f t="array" ref="D10">INDEX($A$22:$AT$103,MATCH($A$1,$A$22:$A$103,0)+MATCH($A10,$A$22:$A$103,0)-1,MATCH($A$2,$A$23:$AT$23,0)+MATCH(D$2,$A$23:$AT$23,0)-1)</f>
        <v>#N/A</v>
      </c>
      <c r="E10" s="16" t="e" cm="1">
        <f t="array" ref="E10">INDEX($A$22:$AT$103,MATCH($A$1,$A$22:$A$103,0)+MATCH($A10,$A$22:$A$103,0)-1,MATCH($A$2,$A$23:$AT$23,0)+MATCH(E$2,$A$23:$AT$23,0)-1)</f>
        <v>#N/A</v>
      </c>
      <c r="F10" s="16" t="e" cm="1">
        <f t="array" ref="F10">INDEX($A$22:$AT$103,MATCH($A$1,$A$22:$A$103,0)+MATCH($A10,$A$22:$A$103,0)-1,MATCH($A$2,$A$23:$AT$23,0)+MATCH(F$2,$A$23:$AT$23,0)-1)</f>
        <v>#N/A</v>
      </c>
      <c r="G10" s="16" t="e" cm="1">
        <f t="array" ref="G10">INDEX($A$22:$AT$103,MATCH($A$1,$A$22:$A$103,0)+MATCH($A10,$A$22:$A$103,0)-1,MATCH($A$2,$A$23:$AT$23,0)+MATCH(G$2,$A$23:$AT$23,0)-1)</f>
        <v>#N/A</v>
      </c>
      <c r="H10" s="16" t="e" cm="1">
        <f t="array" ref="H10">INDEX($A$22:$AT$103,MATCH($A$1,$A$22:$A$103,0)+MATCH($A10,$A$22:$A$103,0)-1,MATCH($A$2,$A$23:$AT$23,0)+MATCH(H$2,$A$23:$AT$23,0)-1)</f>
        <v>#N/A</v>
      </c>
      <c r="I10" s="16" t="e" cm="1">
        <f t="array" ref="I10">INDEX($A$22:$AT$103,MATCH($A$1,$A$22:$A$103,0)+MATCH($A10,$A$22:$A$103,0)-1,MATCH($A$2,$A$23:$AT$23,0)+MATCH(I$2,$A$23:$AT$23,0)-1)</f>
        <v>#N/A</v>
      </c>
      <c r="J10" s="16" t="e" cm="1">
        <f t="array" ref="J10">INDEX($A$22:$AT$103,MATCH($A$1,$A$22:$A$103,0)+MATCH($A10,$A$22:$A$103,0)-1,MATCH($A$2,$A$23:$AT$23,0)+MATCH(J$2,$A$23:$AT$23,0)-1)</f>
        <v>#N/A</v>
      </c>
      <c r="K10" s="1" t="e" cm="1">
        <f t="array" ref="K10">INDEX($A$22:$AT$103,MATCH($A$1,$A$22:$A$103,0)+MATCH($A10,$A$22:$A$103,0)-1,MATCH($A$2,$A$23:$AT$23,0)+MATCH(K$2,$A$23:$AT$23,0)-1)</f>
        <v>#N/A</v>
      </c>
      <c r="L10" s="1" t="e" cm="1">
        <f t="array" ref="L10">INDEX($A$22:$AT$103,MATCH($A$1,$A$22:$A$103,0)+MATCH($A10,$A$22:$A$103,0)-1,MATCH($A$2,$A$23:$AT$23,0)+MATCH(L$2,$A$23:$AT$23,0)-1)</f>
        <v>#N/A</v>
      </c>
      <c r="M10" s="197" t="e" cm="1">
        <f t="array" ref="M10">INDEX($A$22:$AT$103,MATCH($A$1,$A$22:$A$103,0)+MATCH($A10,$A$22:$A$103,0)-1,MATCH($A$2,$A$23:$AT$23,0)+MATCH(M$2,$A$23:$AT$23,0)-1)</f>
        <v>#N/A</v>
      </c>
      <c r="N10" s="102"/>
      <c r="R10" s="16"/>
      <c r="Y10" s="102"/>
      <c r="AC10" s="16"/>
      <c r="AJ10" s="102"/>
      <c r="AN10" s="16"/>
    </row>
    <row r="11" spans="1:46">
      <c r="A11" s="196" t="s">
        <v>516</v>
      </c>
      <c r="B11" s="16" t="e" cm="1">
        <f t="array" ref="B11">INDEX($A$22:$AT$103,MATCH($A$1,$A$22:$A$103,0)+MATCH($A11,$A$22:$A$103,0)-1,MATCH($A$2,$A$23:$AT$23,0)+MATCH(B$2,$A$23:$AT$23,0)-1)</f>
        <v>#N/A</v>
      </c>
      <c r="C11" s="1" t="e" cm="1">
        <f t="array" ref="C11">INDEX($A$22:$AT$103,MATCH($A$1,$A$22:$A$103,0)+MATCH($A11,$A$22:$A$103,0)-1,MATCH($A$2,$A$23:$AT$23,0)+MATCH(C$2,$A$23:$AT$23,0)-1)</f>
        <v>#N/A</v>
      </c>
      <c r="D11" s="1" t="e" cm="1">
        <f t="array" ref="D11">INDEX($A$22:$AT$103,MATCH($A$1,$A$22:$A$103,0)+MATCH($A11,$A$22:$A$103,0)-1,MATCH($A$2,$A$23:$AT$23,0)+MATCH(D$2,$A$23:$AT$23,0)-1)</f>
        <v>#N/A</v>
      </c>
      <c r="E11" s="16" t="e" cm="1">
        <f t="array" ref="E11">INDEX($A$22:$AT$103,MATCH($A$1,$A$22:$A$103,0)+MATCH($A11,$A$22:$A$103,0)-1,MATCH($A$2,$A$23:$AT$23,0)+MATCH(E$2,$A$23:$AT$23,0)-1)</f>
        <v>#N/A</v>
      </c>
      <c r="F11" s="16" t="e" cm="1">
        <f t="array" ref="F11">INDEX($A$22:$AT$103,MATCH($A$1,$A$22:$A$103,0)+MATCH($A11,$A$22:$A$103,0)-1,MATCH($A$2,$A$23:$AT$23,0)+MATCH(F$2,$A$23:$AT$23,0)-1)</f>
        <v>#N/A</v>
      </c>
      <c r="G11" s="16" t="e" cm="1">
        <f t="array" ref="G11">INDEX($A$22:$AT$103,MATCH($A$1,$A$22:$A$103,0)+MATCH($A11,$A$22:$A$103,0)-1,MATCH($A$2,$A$23:$AT$23,0)+MATCH(G$2,$A$23:$AT$23,0)-1)</f>
        <v>#N/A</v>
      </c>
      <c r="H11" s="16" t="e" cm="1">
        <f t="array" ref="H11">INDEX($A$22:$AT$103,MATCH($A$1,$A$22:$A$103,0)+MATCH($A11,$A$22:$A$103,0)-1,MATCH($A$2,$A$23:$AT$23,0)+MATCH(H$2,$A$23:$AT$23,0)-1)</f>
        <v>#N/A</v>
      </c>
      <c r="I11" s="16" t="e" cm="1">
        <f t="array" ref="I11">INDEX($A$22:$AT$103,MATCH($A$1,$A$22:$A$103,0)+MATCH($A11,$A$22:$A$103,0)-1,MATCH($A$2,$A$23:$AT$23,0)+MATCH(I$2,$A$23:$AT$23,0)-1)</f>
        <v>#N/A</v>
      </c>
      <c r="J11" s="16" t="e" cm="1">
        <f t="array" ref="J11">INDEX($A$22:$AT$103,MATCH($A$1,$A$22:$A$103,0)+MATCH($A11,$A$22:$A$103,0)-1,MATCH($A$2,$A$23:$AT$23,0)+MATCH(J$2,$A$23:$AT$23,0)-1)</f>
        <v>#N/A</v>
      </c>
      <c r="K11" s="1" t="e" cm="1">
        <f t="array" ref="K11">INDEX($A$22:$AT$103,MATCH($A$1,$A$22:$A$103,0)+MATCH($A11,$A$22:$A$103,0)-1,MATCH($A$2,$A$23:$AT$23,0)+MATCH(K$2,$A$23:$AT$23,0)-1)</f>
        <v>#N/A</v>
      </c>
      <c r="L11" s="1" t="e" cm="1">
        <f t="array" ref="L11">INDEX($A$22:$AT$103,MATCH($A$1,$A$22:$A$103,0)+MATCH($A11,$A$22:$A$103,0)-1,MATCH($A$2,$A$23:$AT$23,0)+MATCH(L$2,$A$23:$AT$23,0)-1)</f>
        <v>#N/A</v>
      </c>
      <c r="M11" s="197" t="e" cm="1">
        <f t="array" ref="M11">INDEX($A$22:$AT$103,MATCH($A$1,$A$22:$A$103,0)+MATCH($A11,$A$22:$A$103,0)-1,MATCH($A$2,$A$23:$AT$23,0)+MATCH(M$2,$A$23:$AT$23,0)-1)</f>
        <v>#N/A</v>
      </c>
      <c r="N11" s="102"/>
      <c r="R11" s="16"/>
      <c r="Y11" s="102"/>
      <c r="AC11" s="16"/>
      <c r="AJ11" s="102"/>
      <c r="AN11" s="16"/>
    </row>
    <row r="12" spans="1:46">
      <c r="A12" s="196" t="s">
        <v>518</v>
      </c>
      <c r="B12" s="16" t="e" cm="1">
        <f t="array" ref="B12">INDEX($A$22:$AT$103,MATCH($A$1,$A$22:$A$103,0)+MATCH($A12,$A$22:$A$103,0)-1,MATCH($A$2,$A$23:$AT$23,0)+MATCH(B$2,$A$23:$AT$23,0)-1)</f>
        <v>#N/A</v>
      </c>
      <c r="C12" s="1" t="e" cm="1">
        <f t="array" ref="C12">INDEX($A$22:$AT$103,MATCH($A$1,$A$22:$A$103,0)+MATCH($A12,$A$22:$A$103,0)-1,MATCH($A$2,$A$23:$AT$23,0)+MATCH(C$2,$A$23:$AT$23,0)-1)</f>
        <v>#N/A</v>
      </c>
      <c r="D12" s="1" t="e" cm="1">
        <f t="array" ref="D12">INDEX($A$22:$AT$103,MATCH($A$1,$A$22:$A$103,0)+MATCH($A12,$A$22:$A$103,0)-1,MATCH($A$2,$A$23:$AT$23,0)+MATCH(D$2,$A$23:$AT$23,0)-1)</f>
        <v>#N/A</v>
      </c>
      <c r="E12" s="16" t="e" cm="1">
        <f t="array" ref="E12">INDEX($A$22:$AT$103,MATCH($A$1,$A$22:$A$103,0)+MATCH($A12,$A$22:$A$103,0)-1,MATCH($A$2,$A$23:$AT$23,0)+MATCH(E$2,$A$23:$AT$23,0)-1)</f>
        <v>#N/A</v>
      </c>
      <c r="F12" s="16" t="e" cm="1">
        <f t="array" ref="F12">INDEX($A$22:$AT$103,MATCH($A$1,$A$22:$A$103,0)+MATCH($A12,$A$22:$A$103,0)-1,MATCH($A$2,$A$23:$AT$23,0)+MATCH(F$2,$A$23:$AT$23,0)-1)</f>
        <v>#N/A</v>
      </c>
      <c r="G12" s="16" t="e" cm="1">
        <f t="array" ref="G12">INDEX($A$22:$AT$103,MATCH($A$1,$A$22:$A$103,0)+MATCH($A12,$A$22:$A$103,0)-1,MATCH($A$2,$A$23:$AT$23,0)+MATCH(G$2,$A$23:$AT$23,0)-1)</f>
        <v>#N/A</v>
      </c>
      <c r="H12" s="16" t="e" cm="1">
        <f t="array" ref="H12">INDEX($A$22:$AT$103,MATCH($A$1,$A$22:$A$103,0)+MATCH($A12,$A$22:$A$103,0)-1,MATCH($A$2,$A$23:$AT$23,0)+MATCH(H$2,$A$23:$AT$23,0)-1)</f>
        <v>#N/A</v>
      </c>
      <c r="I12" s="16" t="e" cm="1">
        <f t="array" ref="I12">INDEX($A$22:$AT$103,MATCH($A$1,$A$22:$A$103,0)+MATCH($A12,$A$22:$A$103,0)-1,MATCH($A$2,$A$23:$AT$23,0)+MATCH(I$2,$A$23:$AT$23,0)-1)</f>
        <v>#N/A</v>
      </c>
      <c r="J12" s="16" t="e" cm="1">
        <f t="array" ref="J12">INDEX($A$22:$AT$103,MATCH($A$1,$A$22:$A$103,0)+MATCH($A12,$A$22:$A$103,0)-1,MATCH($A$2,$A$23:$AT$23,0)+MATCH(J$2,$A$23:$AT$23,0)-1)</f>
        <v>#N/A</v>
      </c>
      <c r="K12" s="1" t="e" cm="1">
        <f t="array" ref="K12">INDEX($A$22:$AT$103,MATCH($A$1,$A$22:$A$103,0)+MATCH($A12,$A$22:$A$103,0)-1,MATCH($A$2,$A$23:$AT$23,0)+MATCH(K$2,$A$23:$AT$23,0)-1)</f>
        <v>#N/A</v>
      </c>
      <c r="L12" s="1" t="e" cm="1">
        <f t="array" ref="L12">INDEX($A$22:$AT$103,MATCH($A$1,$A$22:$A$103,0)+MATCH($A12,$A$22:$A$103,0)-1,MATCH($A$2,$A$23:$AT$23,0)+MATCH(L$2,$A$23:$AT$23,0)-1)</f>
        <v>#N/A</v>
      </c>
      <c r="M12" s="197" t="e" cm="1">
        <f t="array" ref="M12">INDEX($A$22:$AT$103,MATCH($A$1,$A$22:$A$103,0)+MATCH($A12,$A$22:$A$103,0)-1,MATCH($A$2,$A$23:$AT$23,0)+MATCH(M$2,$A$23:$AT$23,0)-1)</f>
        <v>#N/A</v>
      </c>
      <c r="N12" s="102"/>
      <c r="R12" s="16"/>
      <c r="Y12" s="102"/>
      <c r="AC12" s="16"/>
      <c r="AJ12" s="102"/>
      <c r="AN12" s="16"/>
    </row>
    <row r="13" spans="1:46">
      <c r="A13" s="196" t="s">
        <v>520</v>
      </c>
      <c r="B13" s="16" t="e" cm="1">
        <f t="array" ref="B13">INDEX($A$22:$AT$103,MATCH($A$1,$A$22:$A$103,0)+MATCH($A13,$A$22:$A$103,0)-1,MATCH($A$2,$A$23:$AT$23,0)+MATCH(B$2,$A$23:$AT$23,0)-1)</f>
        <v>#N/A</v>
      </c>
      <c r="C13" s="1" t="e" cm="1">
        <f t="array" ref="C13">INDEX($A$22:$AT$103,MATCH($A$1,$A$22:$A$103,0)+MATCH($A13,$A$22:$A$103,0)-1,MATCH($A$2,$A$23:$AT$23,0)+MATCH(C$2,$A$23:$AT$23,0)-1)</f>
        <v>#N/A</v>
      </c>
      <c r="D13" s="1" t="e" cm="1">
        <f t="array" ref="D13">INDEX($A$22:$AT$103,MATCH($A$1,$A$22:$A$103,0)+MATCH($A13,$A$22:$A$103,0)-1,MATCH($A$2,$A$23:$AT$23,0)+MATCH(D$2,$A$23:$AT$23,0)-1)</f>
        <v>#N/A</v>
      </c>
      <c r="E13" s="16" t="e" cm="1">
        <f t="array" ref="E13">INDEX($A$22:$AT$103,MATCH($A$1,$A$22:$A$103,0)+MATCH($A13,$A$22:$A$103,0)-1,MATCH($A$2,$A$23:$AT$23,0)+MATCH(E$2,$A$23:$AT$23,0)-1)</f>
        <v>#N/A</v>
      </c>
      <c r="F13" s="16" t="e" cm="1">
        <f t="array" ref="F13">INDEX($A$22:$AT$103,MATCH($A$1,$A$22:$A$103,0)+MATCH($A13,$A$22:$A$103,0)-1,MATCH($A$2,$A$23:$AT$23,0)+MATCH(F$2,$A$23:$AT$23,0)-1)</f>
        <v>#N/A</v>
      </c>
      <c r="G13" s="16" t="e" cm="1">
        <f t="array" ref="G13">INDEX($A$22:$AT$103,MATCH($A$1,$A$22:$A$103,0)+MATCH($A13,$A$22:$A$103,0)-1,MATCH($A$2,$A$23:$AT$23,0)+MATCH(G$2,$A$23:$AT$23,0)-1)</f>
        <v>#N/A</v>
      </c>
      <c r="H13" s="16" t="e" cm="1">
        <f t="array" ref="H13">INDEX($A$22:$AT$103,MATCH($A$1,$A$22:$A$103,0)+MATCH($A13,$A$22:$A$103,0)-1,MATCH($A$2,$A$23:$AT$23,0)+MATCH(H$2,$A$23:$AT$23,0)-1)</f>
        <v>#N/A</v>
      </c>
      <c r="I13" s="16" t="e" cm="1">
        <f t="array" ref="I13">INDEX($A$22:$AT$103,MATCH($A$1,$A$22:$A$103,0)+MATCH($A13,$A$22:$A$103,0)-1,MATCH($A$2,$A$23:$AT$23,0)+MATCH(I$2,$A$23:$AT$23,0)-1)</f>
        <v>#N/A</v>
      </c>
      <c r="J13" s="16" t="e" cm="1">
        <f t="array" ref="J13">INDEX($A$22:$AT$103,MATCH($A$1,$A$22:$A$103,0)+MATCH($A13,$A$22:$A$103,0)-1,MATCH($A$2,$A$23:$AT$23,0)+MATCH(J$2,$A$23:$AT$23,0)-1)</f>
        <v>#N/A</v>
      </c>
      <c r="K13" s="1" t="e" cm="1">
        <f t="array" ref="K13">INDEX($A$22:$AT$103,MATCH($A$1,$A$22:$A$103,0)+MATCH($A13,$A$22:$A$103,0)-1,MATCH($A$2,$A$23:$AT$23,0)+MATCH(K$2,$A$23:$AT$23,0)-1)</f>
        <v>#N/A</v>
      </c>
      <c r="L13" s="1" t="e" cm="1">
        <f t="array" ref="L13">INDEX($A$22:$AT$103,MATCH($A$1,$A$22:$A$103,0)+MATCH($A13,$A$22:$A$103,0)-1,MATCH($A$2,$A$23:$AT$23,0)+MATCH(L$2,$A$23:$AT$23,0)-1)</f>
        <v>#N/A</v>
      </c>
      <c r="M13" s="197" t="e" cm="1">
        <f t="array" ref="M13">INDEX($A$22:$AT$103,MATCH($A$1,$A$22:$A$103,0)+MATCH($A13,$A$22:$A$103,0)-1,MATCH($A$2,$A$23:$AT$23,0)+MATCH(M$2,$A$23:$AT$23,0)-1)</f>
        <v>#N/A</v>
      </c>
      <c r="N13" s="102"/>
      <c r="R13" s="16"/>
      <c r="Y13" s="102"/>
      <c r="AC13" s="16"/>
      <c r="AJ13" s="102"/>
      <c r="AN13" s="16"/>
    </row>
    <row r="14" spans="1:46">
      <c r="A14" s="196" t="s">
        <v>523</v>
      </c>
      <c r="B14" s="16" t="e" cm="1">
        <f t="array" ref="B14">INDEX($A$22:$AT$103,MATCH($A$1,$A$22:$A$103,0)+MATCH($A14,$A$22:$A$103,0)-1,MATCH($A$2,$A$23:$AT$23,0)+MATCH(B$2,$A$23:$AT$23,0)-1)</f>
        <v>#N/A</v>
      </c>
      <c r="C14" s="1" t="e" cm="1">
        <f t="array" ref="C14">INDEX($A$22:$AT$103,MATCH($A$1,$A$22:$A$103,0)+MATCH($A14,$A$22:$A$103,0)-1,MATCH($A$2,$A$23:$AT$23,0)+MATCH(C$2,$A$23:$AT$23,0)-1)</f>
        <v>#N/A</v>
      </c>
      <c r="D14" s="1" t="e" cm="1">
        <f t="array" ref="D14">INDEX($A$22:$AT$103,MATCH($A$1,$A$22:$A$103,0)+MATCH($A14,$A$22:$A$103,0)-1,MATCH($A$2,$A$23:$AT$23,0)+MATCH(D$2,$A$23:$AT$23,0)-1)</f>
        <v>#N/A</v>
      </c>
      <c r="E14" s="16" t="e" cm="1">
        <f t="array" ref="E14">INDEX($A$22:$AT$103,MATCH($A$1,$A$22:$A$103,0)+MATCH($A14,$A$22:$A$103,0)-1,MATCH($A$2,$A$23:$AT$23,0)+MATCH(E$2,$A$23:$AT$23,0)-1)</f>
        <v>#N/A</v>
      </c>
      <c r="F14" s="16" t="e" cm="1">
        <f t="array" ref="F14">INDEX($A$22:$AT$103,MATCH($A$1,$A$22:$A$103,0)+MATCH($A14,$A$22:$A$103,0)-1,MATCH($A$2,$A$23:$AT$23,0)+MATCH(F$2,$A$23:$AT$23,0)-1)</f>
        <v>#N/A</v>
      </c>
      <c r="G14" s="16" t="e" cm="1">
        <f t="array" ref="G14">INDEX($A$22:$AT$103,MATCH($A$1,$A$22:$A$103,0)+MATCH($A14,$A$22:$A$103,0)-1,MATCH($A$2,$A$23:$AT$23,0)+MATCH(G$2,$A$23:$AT$23,0)-1)</f>
        <v>#N/A</v>
      </c>
      <c r="H14" s="16" t="e" cm="1">
        <f t="array" ref="H14">INDEX($A$22:$AT$103,MATCH($A$1,$A$22:$A$103,0)+MATCH($A14,$A$22:$A$103,0)-1,MATCH($A$2,$A$23:$AT$23,0)+MATCH(H$2,$A$23:$AT$23,0)-1)</f>
        <v>#N/A</v>
      </c>
      <c r="I14" s="16" t="e" cm="1">
        <f t="array" ref="I14">INDEX($A$22:$AT$103,MATCH($A$1,$A$22:$A$103,0)+MATCH($A14,$A$22:$A$103,0)-1,MATCH($A$2,$A$23:$AT$23,0)+MATCH(I$2,$A$23:$AT$23,0)-1)</f>
        <v>#N/A</v>
      </c>
      <c r="J14" s="16" t="e" cm="1">
        <f t="array" ref="J14">INDEX($A$22:$AT$103,MATCH($A$1,$A$22:$A$103,0)+MATCH($A14,$A$22:$A$103,0)-1,MATCH($A$2,$A$23:$AT$23,0)+MATCH(J$2,$A$23:$AT$23,0)-1)</f>
        <v>#N/A</v>
      </c>
      <c r="K14" s="1" t="e" cm="1">
        <f t="array" ref="K14">INDEX($A$22:$AT$103,MATCH($A$1,$A$22:$A$103,0)+MATCH($A14,$A$22:$A$103,0)-1,MATCH($A$2,$A$23:$AT$23,0)+MATCH(K$2,$A$23:$AT$23,0)-1)</f>
        <v>#N/A</v>
      </c>
      <c r="L14" s="1" t="e" cm="1">
        <f t="array" ref="L14">INDEX($A$22:$AT$103,MATCH($A$1,$A$22:$A$103,0)+MATCH($A14,$A$22:$A$103,0)-1,MATCH($A$2,$A$23:$AT$23,0)+MATCH(L$2,$A$23:$AT$23,0)-1)</f>
        <v>#N/A</v>
      </c>
      <c r="M14" s="197" t="e" cm="1">
        <f t="array" ref="M14">INDEX($A$22:$AT$103,MATCH($A$1,$A$22:$A$103,0)+MATCH($A14,$A$22:$A$103,0)-1,MATCH($A$2,$A$23:$AT$23,0)+MATCH(M$2,$A$23:$AT$23,0)-1)</f>
        <v>#N/A</v>
      </c>
      <c r="N14" s="102"/>
      <c r="R14" s="16"/>
      <c r="Y14" s="102"/>
      <c r="AC14" s="16"/>
      <c r="AJ14" s="102"/>
      <c r="AN14" s="16"/>
    </row>
    <row r="15" spans="1:46">
      <c r="A15" s="196" t="s">
        <v>524</v>
      </c>
      <c r="B15" s="16" t="e" cm="1">
        <f t="array" ref="B15">INDEX($A$22:$AT$103,MATCH($A$1,$A$22:$A$103,0)+MATCH($A15,$A$22:$A$103,0)-1,MATCH($A$2,$A$23:$AT$23,0)+MATCH(B$2,$A$23:$AT$23,0)-1)</f>
        <v>#N/A</v>
      </c>
      <c r="C15" s="1" t="e" cm="1">
        <f t="array" ref="C15">INDEX($A$22:$AT$103,MATCH($A$1,$A$22:$A$103,0)+MATCH($A15,$A$22:$A$103,0)-1,MATCH($A$2,$A$23:$AT$23,0)+MATCH(C$2,$A$23:$AT$23,0)-1)</f>
        <v>#N/A</v>
      </c>
      <c r="D15" s="1" t="e" cm="1">
        <f t="array" ref="D15">INDEX($A$22:$AT$103,MATCH($A$1,$A$22:$A$103,0)+MATCH($A15,$A$22:$A$103,0)-1,MATCH($A$2,$A$23:$AT$23,0)+MATCH(D$2,$A$23:$AT$23,0)-1)</f>
        <v>#N/A</v>
      </c>
      <c r="E15" s="16" t="e" cm="1">
        <f t="array" ref="E15">INDEX($A$22:$AT$103,MATCH($A$1,$A$22:$A$103,0)+MATCH($A15,$A$22:$A$103,0)-1,MATCH($A$2,$A$23:$AT$23,0)+MATCH(E$2,$A$23:$AT$23,0)-1)</f>
        <v>#N/A</v>
      </c>
      <c r="F15" s="16" t="e" cm="1">
        <f t="array" ref="F15">INDEX($A$22:$AT$103,MATCH($A$1,$A$22:$A$103,0)+MATCH($A15,$A$22:$A$103,0)-1,MATCH($A$2,$A$23:$AT$23,0)+MATCH(F$2,$A$23:$AT$23,0)-1)</f>
        <v>#N/A</v>
      </c>
      <c r="G15" s="16" t="e" cm="1">
        <f t="array" ref="G15">INDEX($A$22:$AT$103,MATCH($A$1,$A$22:$A$103,0)+MATCH($A15,$A$22:$A$103,0)-1,MATCH($A$2,$A$23:$AT$23,0)+MATCH(G$2,$A$23:$AT$23,0)-1)</f>
        <v>#N/A</v>
      </c>
      <c r="H15" s="16" t="e" cm="1">
        <f t="array" ref="H15">INDEX($A$22:$AT$103,MATCH($A$1,$A$22:$A$103,0)+MATCH($A15,$A$22:$A$103,0)-1,MATCH($A$2,$A$23:$AT$23,0)+MATCH(H$2,$A$23:$AT$23,0)-1)</f>
        <v>#N/A</v>
      </c>
      <c r="I15" s="16" t="e" cm="1">
        <f t="array" ref="I15">INDEX($A$22:$AT$103,MATCH($A$1,$A$22:$A$103,0)+MATCH($A15,$A$22:$A$103,0)-1,MATCH($A$2,$A$23:$AT$23,0)+MATCH(I$2,$A$23:$AT$23,0)-1)</f>
        <v>#N/A</v>
      </c>
      <c r="J15" s="16" t="e" cm="1">
        <f t="array" ref="J15">INDEX($A$22:$AT$103,MATCH($A$1,$A$22:$A$103,0)+MATCH($A15,$A$22:$A$103,0)-1,MATCH($A$2,$A$23:$AT$23,0)+MATCH(J$2,$A$23:$AT$23,0)-1)</f>
        <v>#N/A</v>
      </c>
      <c r="K15" s="1" t="e" cm="1">
        <f t="array" ref="K15">INDEX($A$22:$AT$103,MATCH($A$1,$A$22:$A$103,0)+MATCH($A15,$A$22:$A$103,0)-1,MATCH($A$2,$A$23:$AT$23,0)+MATCH(K$2,$A$23:$AT$23,0)-1)</f>
        <v>#N/A</v>
      </c>
      <c r="L15" s="1" t="e" cm="1">
        <f t="array" ref="L15">INDEX($A$22:$AT$103,MATCH($A$1,$A$22:$A$103,0)+MATCH($A15,$A$22:$A$103,0)-1,MATCH($A$2,$A$23:$AT$23,0)+MATCH(L$2,$A$23:$AT$23,0)-1)</f>
        <v>#N/A</v>
      </c>
      <c r="M15" s="197" t="e" cm="1">
        <f t="array" ref="M15">INDEX($A$22:$AT$103,MATCH($A$1,$A$22:$A$103,0)+MATCH($A15,$A$22:$A$103,0)-1,MATCH($A$2,$A$23:$AT$23,0)+MATCH(M$2,$A$23:$AT$23,0)-1)</f>
        <v>#N/A</v>
      </c>
      <c r="N15" s="102"/>
      <c r="R15" s="16"/>
      <c r="Y15" s="102"/>
      <c r="AC15" s="16"/>
      <c r="AJ15" s="102"/>
      <c r="AN15" s="16"/>
    </row>
    <row r="16" spans="1:46">
      <c r="A16" s="196" t="s">
        <v>526</v>
      </c>
      <c r="B16" s="16" t="e" cm="1">
        <f t="array" ref="B16">INDEX($A$22:$AT$103,MATCH($A$1,$A$22:$A$103,0)+MATCH($A16,$A$22:$A$103,0)-1,MATCH($A$2,$A$23:$AT$23,0)+MATCH(B$2,$A$23:$AT$23,0)-1)</f>
        <v>#N/A</v>
      </c>
      <c r="C16" s="1" t="e" cm="1">
        <f t="array" ref="C16">INDEX($A$22:$AT$103,MATCH($A$1,$A$22:$A$103,0)+MATCH($A16,$A$22:$A$103,0)-1,MATCH($A$2,$A$23:$AT$23,0)+MATCH(C$2,$A$23:$AT$23,0)-1)</f>
        <v>#N/A</v>
      </c>
      <c r="D16" s="1" t="e" cm="1">
        <f t="array" ref="D16">INDEX($A$22:$AT$103,MATCH($A$1,$A$22:$A$103,0)+MATCH($A16,$A$22:$A$103,0)-1,MATCH($A$2,$A$23:$AT$23,0)+MATCH(D$2,$A$23:$AT$23,0)-1)</f>
        <v>#N/A</v>
      </c>
      <c r="E16" s="16" t="e" cm="1">
        <f t="array" ref="E16">INDEX($A$22:$AT$103,MATCH($A$1,$A$22:$A$103,0)+MATCH($A16,$A$22:$A$103,0)-1,MATCH($A$2,$A$23:$AT$23,0)+MATCH(E$2,$A$23:$AT$23,0)-1)</f>
        <v>#N/A</v>
      </c>
      <c r="F16" s="16" t="e" cm="1">
        <f t="array" ref="F16">INDEX($A$22:$AT$103,MATCH($A$1,$A$22:$A$103,0)+MATCH($A16,$A$22:$A$103,0)-1,MATCH($A$2,$A$23:$AT$23,0)+MATCH(F$2,$A$23:$AT$23,0)-1)</f>
        <v>#N/A</v>
      </c>
      <c r="G16" s="16" t="e" cm="1">
        <f t="array" ref="G16">INDEX($A$22:$AT$103,MATCH($A$1,$A$22:$A$103,0)+MATCH($A16,$A$22:$A$103,0)-1,MATCH($A$2,$A$23:$AT$23,0)+MATCH(G$2,$A$23:$AT$23,0)-1)</f>
        <v>#N/A</v>
      </c>
      <c r="H16" s="16" t="e" cm="1">
        <f t="array" ref="H16">INDEX($A$22:$AT$103,MATCH($A$1,$A$22:$A$103,0)+MATCH($A16,$A$22:$A$103,0)-1,MATCH($A$2,$A$23:$AT$23,0)+MATCH(H$2,$A$23:$AT$23,0)-1)</f>
        <v>#N/A</v>
      </c>
      <c r="I16" s="16" t="e" cm="1">
        <f t="array" ref="I16">INDEX($A$22:$AT$103,MATCH($A$1,$A$22:$A$103,0)+MATCH($A16,$A$22:$A$103,0)-1,MATCH($A$2,$A$23:$AT$23,0)+MATCH(I$2,$A$23:$AT$23,0)-1)</f>
        <v>#N/A</v>
      </c>
      <c r="J16" s="16" t="e" cm="1">
        <f t="array" ref="J16">INDEX($A$22:$AT$103,MATCH($A$1,$A$22:$A$103,0)+MATCH($A16,$A$22:$A$103,0)-1,MATCH($A$2,$A$23:$AT$23,0)+MATCH(J$2,$A$23:$AT$23,0)-1)</f>
        <v>#N/A</v>
      </c>
      <c r="K16" s="1" t="e" cm="1">
        <f t="array" ref="K16">INDEX($A$22:$AT$103,MATCH($A$1,$A$22:$A$103,0)+MATCH($A16,$A$22:$A$103,0)-1,MATCH($A$2,$A$23:$AT$23,0)+MATCH(K$2,$A$23:$AT$23,0)-1)</f>
        <v>#N/A</v>
      </c>
      <c r="L16" s="1" t="e" cm="1">
        <f t="array" ref="L16">INDEX($A$22:$AT$103,MATCH($A$1,$A$22:$A$103,0)+MATCH($A16,$A$22:$A$103,0)-1,MATCH($A$2,$A$23:$AT$23,0)+MATCH(L$2,$A$23:$AT$23,0)-1)</f>
        <v>#N/A</v>
      </c>
      <c r="M16" s="197" t="e" cm="1">
        <f t="array" ref="M16">INDEX($A$22:$AT$103,MATCH($A$1,$A$22:$A$103,0)+MATCH($A16,$A$22:$A$103,0)-1,MATCH($A$2,$A$23:$AT$23,0)+MATCH(M$2,$A$23:$AT$23,0)-1)</f>
        <v>#N/A</v>
      </c>
      <c r="N16" s="102"/>
      <c r="R16" s="16"/>
      <c r="Y16" s="102"/>
      <c r="AC16" s="16"/>
      <c r="AJ16" s="102"/>
      <c r="AN16" s="16"/>
    </row>
    <row r="17" spans="1:46">
      <c r="A17" s="196" t="s">
        <v>528</v>
      </c>
      <c r="B17" s="16" t="e" cm="1">
        <f t="array" ref="B17">INDEX($A$22:$AT$103,MATCH($A$1,$A$22:$A$103,0)+MATCH($A17,$A$22:$A$103,0)-1,MATCH($A$2,$A$23:$AT$23,0)+MATCH(B$2,$A$23:$AT$23,0)-1)</f>
        <v>#N/A</v>
      </c>
      <c r="C17" s="1" t="e" cm="1">
        <f t="array" ref="C17">INDEX($A$22:$AT$103,MATCH($A$1,$A$22:$A$103,0)+MATCH($A17,$A$22:$A$103,0)-1,MATCH($A$2,$A$23:$AT$23,0)+MATCH(C$2,$A$23:$AT$23,0)-1)</f>
        <v>#N/A</v>
      </c>
      <c r="D17" s="1" t="e" cm="1">
        <f t="array" ref="D17">INDEX($A$22:$AT$103,MATCH($A$1,$A$22:$A$103,0)+MATCH($A17,$A$22:$A$103,0)-1,MATCH($A$2,$A$23:$AT$23,0)+MATCH(D$2,$A$23:$AT$23,0)-1)</f>
        <v>#N/A</v>
      </c>
      <c r="E17" s="16" t="e" cm="1">
        <f t="array" ref="E17">INDEX($A$22:$AT$103,MATCH($A$1,$A$22:$A$103,0)+MATCH($A17,$A$22:$A$103,0)-1,MATCH($A$2,$A$23:$AT$23,0)+MATCH(E$2,$A$23:$AT$23,0)-1)</f>
        <v>#N/A</v>
      </c>
      <c r="F17" s="16" t="e" cm="1">
        <f t="array" ref="F17">INDEX($A$22:$AT$103,MATCH($A$1,$A$22:$A$103,0)+MATCH($A17,$A$22:$A$103,0)-1,MATCH($A$2,$A$23:$AT$23,0)+MATCH(F$2,$A$23:$AT$23,0)-1)</f>
        <v>#N/A</v>
      </c>
      <c r="G17" s="16" t="e" cm="1">
        <f t="array" ref="G17">INDEX($A$22:$AT$103,MATCH($A$1,$A$22:$A$103,0)+MATCH($A17,$A$22:$A$103,0)-1,MATCH($A$2,$A$23:$AT$23,0)+MATCH(G$2,$A$23:$AT$23,0)-1)</f>
        <v>#N/A</v>
      </c>
      <c r="H17" s="16" t="e" cm="1">
        <f t="array" ref="H17">INDEX($A$22:$AT$103,MATCH($A$1,$A$22:$A$103,0)+MATCH($A17,$A$22:$A$103,0)-1,MATCH($A$2,$A$23:$AT$23,0)+MATCH(H$2,$A$23:$AT$23,0)-1)</f>
        <v>#N/A</v>
      </c>
      <c r="I17" s="16" t="e" cm="1">
        <f t="array" ref="I17">INDEX($A$22:$AT$103,MATCH($A$1,$A$22:$A$103,0)+MATCH($A17,$A$22:$A$103,0)-1,MATCH($A$2,$A$23:$AT$23,0)+MATCH(I$2,$A$23:$AT$23,0)-1)</f>
        <v>#N/A</v>
      </c>
      <c r="J17" s="16" t="e" cm="1">
        <f t="array" ref="J17">INDEX($A$22:$AT$103,MATCH($A$1,$A$22:$A$103,0)+MATCH($A17,$A$22:$A$103,0)-1,MATCH($A$2,$A$23:$AT$23,0)+MATCH(J$2,$A$23:$AT$23,0)-1)</f>
        <v>#N/A</v>
      </c>
      <c r="K17" s="1" t="e" cm="1">
        <f t="array" ref="K17">INDEX($A$22:$AT$103,MATCH($A$1,$A$22:$A$103,0)+MATCH($A17,$A$22:$A$103,0)-1,MATCH($A$2,$A$23:$AT$23,0)+MATCH(K$2,$A$23:$AT$23,0)-1)</f>
        <v>#N/A</v>
      </c>
      <c r="L17" s="1" t="e" cm="1">
        <f t="array" ref="L17">INDEX($A$22:$AT$103,MATCH($A$1,$A$22:$A$103,0)+MATCH($A17,$A$22:$A$103,0)-1,MATCH($A$2,$A$23:$AT$23,0)+MATCH(L$2,$A$23:$AT$23,0)-1)</f>
        <v>#N/A</v>
      </c>
      <c r="M17" s="197" t="e" cm="1">
        <f t="array" ref="M17">INDEX($A$22:$AT$103,MATCH($A$1,$A$22:$A$103,0)+MATCH($A17,$A$22:$A$103,0)-1,MATCH($A$2,$A$23:$AT$23,0)+MATCH(M$2,$A$23:$AT$23,0)-1)</f>
        <v>#N/A</v>
      </c>
      <c r="N17" s="102"/>
      <c r="R17" s="16"/>
      <c r="Y17" s="102"/>
      <c r="AC17" s="16"/>
      <c r="AJ17" s="102"/>
      <c r="AN17" s="16"/>
    </row>
    <row r="18" spans="1:46">
      <c r="A18" s="196" t="s">
        <v>531</v>
      </c>
      <c r="B18" s="16" t="e" cm="1">
        <f t="array" ref="B18">INDEX($A$22:$AT$103,MATCH($A$1,$A$22:$A$103,0)+MATCH($A18,$A$22:$A$103,0)-1,MATCH($A$2,$A$23:$AT$23,0)+MATCH(B$2,$A$23:$AT$23,0)-1)</f>
        <v>#N/A</v>
      </c>
      <c r="C18" s="1" t="e" cm="1">
        <f t="array" ref="C18">INDEX($A$22:$AT$103,MATCH($A$1,$A$22:$A$103,0)+MATCH($A18,$A$22:$A$103,0)-1,MATCH($A$2,$A$23:$AT$23,0)+MATCH(C$2,$A$23:$AT$23,0)-1)</f>
        <v>#N/A</v>
      </c>
      <c r="D18" s="1" t="e" cm="1">
        <f t="array" ref="D18">INDEX($A$22:$AT$103,MATCH($A$1,$A$22:$A$103,0)+MATCH($A18,$A$22:$A$103,0)-1,MATCH($A$2,$A$23:$AT$23,0)+MATCH(D$2,$A$23:$AT$23,0)-1)</f>
        <v>#N/A</v>
      </c>
      <c r="E18" s="16" t="e" cm="1">
        <f t="array" ref="E18">INDEX($A$22:$AT$103,MATCH($A$1,$A$22:$A$103,0)+MATCH($A18,$A$22:$A$103,0)-1,MATCH($A$2,$A$23:$AT$23,0)+MATCH(E$2,$A$23:$AT$23,0)-1)</f>
        <v>#N/A</v>
      </c>
      <c r="F18" s="16" t="e" cm="1">
        <f t="array" ref="F18">INDEX($A$22:$AT$103,MATCH($A$1,$A$22:$A$103,0)+MATCH($A18,$A$22:$A$103,0)-1,MATCH($A$2,$A$23:$AT$23,0)+MATCH(F$2,$A$23:$AT$23,0)-1)</f>
        <v>#N/A</v>
      </c>
      <c r="G18" s="16" t="e" cm="1">
        <f t="array" ref="G18">INDEX($A$22:$AT$103,MATCH($A$1,$A$22:$A$103,0)+MATCH($A18,$A$22:$A$103,0)-1,MATCH($A$2,$A$23:$AT$23,0)+MATCH(G$2,$A$23:$AT$23,0)-1)</f>
        <v>#N/A</v>
      </c>
      <c r="H18" s="16" t="e" cm="1">
        <f t="array" ref="H18">INDEX($A$22:$AT$103,MATCH($A$1,$A$22:$A$103,0)+MATCH($A18,$A$22:$A$103,0)-1,MATCH($A$2,$A$23:$AT$23,0)+MATCH(H$2,$A$23:$AT$23,0)-1)</f>
        <v>#N/A</v>
      </c>
      <c r="I18" s="16" t="e" cm="1">
        <f t="array" ref="I18">INDEX($A$22:$AT$103,MATCH($A$1,$A$22:$A$103,0)+MATCH($A18,$A$22:$A$103,0)-1,MATCH($A$2,$A$23:$AT$23,0)+MATCH(I$2,$A$23:$AT$23,0)-1)</f>
        <v>#N/A</v>
      </c>
      <c r="J18" s="16" t="e" cm="1">
        <f t="array" ref="J18">INDEX($A$22:$AT$103,MATCH($A$1,$A$22:$A$103,0)+MATCH($A18,$A$22:$A$103,0)-1,MATCH($A$2,$A$23:$AT$23,0)+MATCH(J$2,$A$23:$AT$23,0)-1)</f>
        <v>#N/A</v>
      </c>
      <c r="K18" s="1" t="e" cm="1">
        <f t="array" ref="K18">INDEX($A$22:$AT$103,MATCH($A$1,$A$22:$A$103,0)+MATCH($A18,$A$22:$A$103,0)-1,MATCH($A$2,$A$23:$AT$23,0)+MATCH(K$2,$A$23:$AT$23,0)-1)</f>
        <v>#N/A</v>
      </c>
      <c r="L18" s="1" t="e" cm="1">
        <f t="array" ref="L18">INDEX($A$22:$AT$103,MATCH($A$1,$A$22:$A$103,0)+MATCH($A18,$A$22:$A$103,0)-1,MATCH($A$2,$A$23:$AT$23,0)+MATCH(L$2,$A$23:$AT$23,0)-1)</f>
        <v>#N/A</v>
      </c>
      <c r="M18" s="197" t="e" cm="1">
        <f t="array" ref="M18">INDEX($A$22:$AT$103,MATCH($A$1,$A$22:$A$103,0)+MATCH($A18,$A$22:$A$103,0)-1,MATCH($A$2,$A$23:$AT$23,0)+MATCH(M$2,$A$23:$AT$23,0)-1)</f>
        <v>#N/A</v>
      </c>
      <c r="N18" s="102"/>
      <c r="R18" s="16"/>
      <c r="Y18" s="102"/>
      <c r="AC18" s="16"/>
      <c r="AJ18" s="102"/>
      <c r="AN18" s="16"/>
    </row>
    <row r="19" spans="1:46" ht="13" thickBot="1">
      <c r="A19" s="198" t="s">
        <v>534</v>
      </c>
      <c r="B19" s="199" t="e" cm="1">
        <f t="array" ref="B19">INDEX($A$22:$AT$103,MATCH($A$1,$A$22:$A$103,0)+MATCH($A19,$A$22:$A$103,0)-1,MATCH($A$2,$A$23:$AT$23,0)+MATCH(B$2,$A$23:$AT$23,0)-1)</f>
        <v>#N/A</v>
      </c>
      <c r="C19" s="200" t="e" cm="1">
        <f t="array" ref="C19">INDEX($A$22:$AT$103,MATCH($A$1,$A$22:$A$103,0)+MATCH($A19,$A$22:$A$103,0)-1,MATCH($A$2,$A$23:$AT$23,0)+MATCH(C$2,$A$23:$AT$23,0)-1)</f>
        <v>#N/A</v>
      </c>
      <c r="D19" s="200" t="e" cm="1">
        <f t="array" ref="D19">INDEX($A$22:$AT$103,MATCH($A$1,$A$22:$A$103,0)+MATCH($A19,$A$22:$A$103,0)-1,MATCH($A$2,$A$23:$AT$23,0)+MATCH(D$2,$A$23:$AT$23,0)-1)</f>
        <v>#N/A</v>
      </c>
      <c r="E19" s="199" t="e" cm="1">
        <f t="array" ref="E19">INDEX($A$22:$AT$103,MATCH($A$1,$A$22:$A$103,0)+MATCH($A19,$A$22:$A$103,0)-1,MATCH($A$2,$A$23:$AT$23,0)+MATCH(E$2,$A$23:$AT$23,0)-1)</f>
        <v>#N/A</v>
      </c>
      <c r="F19" s="199" t="e" cm="1">
        <f t="array" ref="F19">INDEX($A$22:$AT$103,MATCH($A$1,$A$22:$A$103,0)+MATCH($A19,$A$22:$A$103,0)-1,MATCH($A$2,$A$23:$AT$23,0)+MATCH(F$2,$A$23:$AT$23,0)-1)</f>
        <v>#N/A</v>
      </c>
      <c r="G19" s="199" t="e" cm="1">
        <f t="array" ref="G19">INDEX($A$22:$AT$103,MATCH($A$1,$A$22:$A$103,0)+MATCH($A19,$A$22:$A$103,0)-1,MATCH($A$2,$A$23:$AT$23,0)+MATCH(G$2,$A$23:$AT$23,0)-1)</f>
        <v>#N/A</v>
      </c>
      <c r="H19" s="199" t="e" cm="1">
        <f t="array" ref="H19">INDEX($A$22:$AT$103,MATCH($A$1,$A$22:$A$103,0)+MATCH($A19,$A$22:$A$103,0)-1,MATCH($A$2,$A$23:$AT$23,0)+MATCH(H$2,$A$23:$AT$23,0)-1)</f>
        <v>#N/A</v>
      </c>
      <c r="I19" s="199" t="e" cm="1">
        <f t="array" ref="I19">INDEX($A$22:$AT$103,MATCH($A$1,$A$22:$A$103,0)+MATCH($A19,$A$22:$A$103,0)-1,MATCH($A$2,$A$23:$AT$23,0)+MATCH(I$2,$A$23:$AT$23,0)-1)</f>
        <v>#N/A</v>
      </c>
      <c r="J19" s="199" t="e" cm="1">
        <f t="array" ref="J19">INDEX($A$22:$AT$103,MATCH($A$1,$A$22:$A$103,0)+MATCH($A19,$A$22:$A$103,0)-1,MATCH($A$2,$A$23:$AT$23,0)+MATCH(J$2,$A$23:$AT$23,0)-1)</f>
        <v>#N/A</v>
      </c>
      <c r="K19" s="200" t="e" cm="1">
        <f t="array" ref="K19">INDEX($A$22:$AT$103,MATCH($A$1,$A$22:$A$103,0)+MATCH($A19,$A$22:$A$103,0)-1,MATCH($A$2,$A$23:$AT$23,0)+MATCH(K$2,$A$23:$AT$23,0)-1)</f>
        <v>#N/A</v>
      </c>
      <c r="L19" s="200" t="e" cm="1">
        <f t="array" ref="L19">INDEX($A$22:$AT$103,MATCH($A$1,$A$22:$A$103,0)+MATCH($A19,$A$22:$A$103,0)-1,MATCH($A$2,$A$23:$AT$23,0)+MATCH(L$2,$A$23:$AT$23,0)-1)</f>
        <v>#N/A</v>
      </c>
      <c r="M19" s="201" t="e" cm="1">
        <f t="array" ref="M19">INDEX($A$22:$AT$103,MATCH($A$1,$A$22:$A$103,0)+MATCH($A19,$A$22:$A$103,0)-1,MATCH($A$2,$A$23:$AT$23,0)+MATCH(M$2,$A$23:$AT$23,0)-1)</f>
        <v>#N/A</v>
      </c>
      <c r="N19" s="102"/>
      <c r="R19" s="16"/>
      <c r="Y19" s="102"/>
      <c r="AC19" s="16"/>
      <c r="AJ19" s="102"/>
      <c r="AN19" s="16"/>
    </row>
    <row r="22" spans="1:46">
      <c r="A22" s="103" t="s">
        <v>1303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Y22" s="103"/>
      <c r="AJ22" s="103"/>
    </row>
    <row r="23" spans="1:46" ht="25">
      <c r="A23" s="103" t="s">
        <v>460</v>
      </c>
      <c r="B23" s="56" t="s">
        <v>459</v>
      </c>
      <c r="C23" s="56" t="s">
        <v>154</v>
      </c>
      <c r="D23" s="56" t="s">
        <v>603</v>
      </c>
      <c r="E23" s="56" t="s">
        <v>604</v>
      </c>
      <c r="F23" s="56" t="s">
        <v>162</v>
      </c>
      <c r="G23" s="56" t="s">
        <v>155</v>
      </c>
      <c r="H23" s="56" t="s">
        <v>156</v>
      </c>
      <c r="I23" s="56" t="s">
        <v>157</v>
      </c>
      <c r="J23" s="56" t="s">
        <v>141</v>
      </c>
      <c r="K23" s="56" t="s">
        <v>146</v>
      </c>
      <c r="L23" s="56" t="s">
        <v>149</v>
      </c>
      <c r="M23" s="56" t="s">
        <v>148</v>
      </c>
      <c r="N23" s="103" t="s">
        <v>93</v>
      </c>
      <c r="O23" s="56" t="s">
        <v>459</v>
      </c>
      <c r="P23" s="56" t="s">
        <v>604</v>
      </c>
      <c r="Q23" s="56" t="s">
        <v>162</v>
      </c>
      <c r="R23" s="56" t="s">
        <v>155</v>
      </c>
      <c r="S23" s="56" t="s">
        <v>156</v>
      </c>
      <c r="T23" s="56" t="s">
        <v>157</v>
      </c>
      <c r="U23" s="56" t="s">
        <v>141</v>
      </c>
      <c r="V23" s="56" t="s">
        <v>146</v>
      </c>
      <c r="W23" s="56" t="s">
        <v>149</v>
      </c>
      <c r="X23" s="56" t="s">
        <v>148</v>
      </c>
      <c r="Y23" s="103" t="s">
        <v>483</v>
      </c>
      <c r="Z23" s="56" t="s">
        <v>459</v>
      </c>
      <c r="AA23" s="56" t="s">
        <v>604</v>
      </c>
      <c r="AB23" s="56" t="s">
        <v>162</v>
      </c>
      <c r="AC23" s="56" t="s">
        <v>155</v>
      </c>
      <c r="AD23" s="56" t="s">
        <v>156</v>
      </c>
      <c r="AE23" s="56" t="s">
        <v>157</v>
      </c>
      <c r="AF23" s="56" t="s">
        <v>141</v>
      </c>
      <c r="AG23" s="56" t="s">
        <v>146</v>
      </c>
      <c r="AH23" s="56" t="s">
        <v>149</v>
      </c>
      <c r="AI23" s="56" t="s">
        <v>148</v>
      </c>
      <c r="AJ23" s="103" t="s">
        <v>482</v>
      </c>
      <c r="AK23" s="56" t="s">
        <v>459</v>
      </c>
      <c r="AL23" s="56" t="s">
        <v>604</v>
      </c>
      <c r="AM23" s="56" t="s">
        <v>162</v>
      </c>
      <c r="AN23" s="56" t="s">
        <v>155</v>
      </c>
      <c r="AO23" s="56" t="s">
        <v>156</v>
      </c>
      <c r="AP23" s="56" t="s">
        <v>157</v>
      </c>
      <c r="AQ23" s="56" t="s">
        <v>141</v>
      </c>
      <c r="AR23" s="56" t="s">
        <v>146</v>
      </c>
      <c r="AS23" s="56" t="s">
        <v>149</v>
      </c>
      <c r="AT23" s="56" t="s">
        <v>148</v>
      </c>
    </row>
    <row r="24" spans="1:46">
      <c r="A24" s="102" t="s">
        <v>490</v>
      </c>
      <c r="G24" s="16"/>
      <c r="N24" s="102" t="s">
        <v>490</v>
      </c>
      <c r="R24" s="16"/>
      <c r="Y24" s="102" t="s">
        <v>490</v>
      </c>
      <c r="AC24" s="16"/>
      <c r="AJ24" s="102" t="s">
        <v>490</v>
      </c>
      <c r="AN24" s="16"/>
    </row>
    <row r="25" spans="1:46">
      <c r="A25" s="102" t="s">
        <v>494</v>
      </c>
      <c r="G25" s="16"/>
      <c r="N25" s="102" t="s">
        <v>494</v>
      </c>
      <c r="R25" s="16"/>
      <c r="Y25" s="102" t="s">
        <v>494</v>
      </c>
      <c r="AC25" s="16"/>
      <c r="AJ25" s="102" t="s">
        <v>494</v>
      </c>
      <c r="AN25" s="16"/>
    </row>
    <row r="26" spans="1:46">
      <c r="A26" s="102" t="s">
        <v>498</v>
      </c>
      <c r="G26" s="16"/>
      <c r="N26" s="102" t="s">
        <v>498</v>
      </c>
      <c r="R26" s="16"/>
      <c r="Y26" s="102" t="s">
        <v>498</v>
      </c>
      <c r="AC26" s="16"/>
      <c r="AJ26" s="102" t="s">
        <v>498</v>
      </c>
      <c r="AN26" s="16"/>
    </row>
    <row r="27" spans="1:46">
      <c r="A27" s="102" t="s">
        <v>500</v>
      </c>
      <c r="G27" s="16"/>
      <c r="N27" s="102" t="s">
        <v>500</v>
      </c>
      <c r="R27" s="16"/>
      <c r="Y27" s="102" t="s">
        <v>500</v>
      </c>
      <c r="AC27" s="16"/>
      <c r="AJ27" s="102" t="s">
        <v>500</v>
      </c>
      <c r="AN27" s="16"/>
    </row>
    <row r="28" spans="1:46">
      <c r="A28" s="102" t="s">
        <v>505</v>
      </c>
      <c r="G28" s="16"/>
      <c r="N28" s="102" t="s">
        <v>505</v>
      </c>
      <c r="R28" s="16"/>
      <c r="Y28" s="102" t="s">
        <v>505</v>
      </c>
      <c r="AC28" s="16"/>
      <c r="AJ28" s="102" t="s">
        <v>505</v>
      </c>
      <c r="AN28" s="16"/>
    </row>
    <row r="29" spans="1:46">
      <c r="A29" s="102" t="s">
        <v>509</v>
      </c>
      <c r="G29" s="16"/>
      <c r="N29" s="102" t="s">
        <v>509</v>
      </c>
      <c r="R29" s="16"/>
      <c r="Y29" s="102" t="s">
        <v>509</v>
      </c>
      <c r="AC29" s="16"/>
      <c r="AJ29" s="102" t="s">
        <v>509</v>
      </c>
      <c r="AN29" s="16"/>
    </row>
    <row r="30" spans="1:46">
      <c r="A30" s="102" t="s">
        <v>512</v>
      </c>
      <c r="G30" s="16"/>
      <c r="N30" s="102" t="s">
        <v>512</v>
      </c>
      <c r="R30" s="16"/>
      <c r="Y30" s="102" t="s">
        <v>512</v>
      </c>
      <c r="AC30" s="16"/>
      <c r="AJ30" s="102" t="s">
        <v>512</v>
      </c>
      <c r="AN30" s="16"/>
    </row>
    <row r="31" spans="1:46">
      <c r="A31" s="102" t="s">
        <v>514</v>
      </c>
      <c r="G31" s="16"/>
      <c r="N31" s="102" t="s">
        <v>514</v>
      </c>
      <c r="R31" s="16"/>
      <c r="Y31" s="102" t="s">
        <v>514</v>
      </c>
      <c r="AC31" s="16"/>
      <c r="AJ31" s="102" t="s">
        <v>514</v>
      </c>
      <c r="AN31" s="16"/>
    </row>
    <row r="32" spans="1:46">
      <c r="A32" s="102" t="s">
        <v>516</v>
      </c>
      <c r="G32" s="16"/>
      <c r="N32" s="102" t="s">
        <v>516</v>
      </c>
      <c r="R32" s="16"/>
      <c r="Y32" s="102" t="s">
        <v>516</v>
      </c>
      <c r="AC32" s="16"/>
      <c r="AJ32" s="102" t="s">
        <v>516</v>
      </c>
      <c r="AN32" s="16"/>
    </row>
    <row r="33" spans="1:46">
      <c r="A33" s="102" t="s">
        <v>518</v>
      </c>
      <c r="G33" s="16"/>
      <c r="N33" s="102" t="s">
        <v>518</v>
      </c>
      <c r="R33" s="16"/>
      <c r="Y33" s="102" t="s">
        <v>518</v>
      </c>
      <c r="AC33" s="16"/>
      <c r="AJ33" s="102" t="s">
        <v>518</v>
      </c>
      <c r="AN33" s="16"/>
    </row>
    <row r="34" spans="1:46">
      <c r="A34" s="102" t="s">
        <v>520</v>
      </c>
      <c r="B34" s="214">
        <v>0.61</v>
      </c>
      <c r="C34" s="1">
        <v>0.61</v>
      </c>
      <c r="D34" s="1">
        <v>0.61</v>
      </c>
      <c r="E34" s="214">
        <v>0.61</v>
      </c>
      <c r="F34" s="214">
        <v>0.56999999999999995</v>
      </c>
      <c r="G34" s="214">
        <v>1.21</v>
      </c>
      <c r="H34" s="214">
        <v>1.21</v>
      </c>
      <c r="I34" s="214">
        <v>1.21</v>
      </c>
      <c r="N34" s="102" t="s">
        <v>520</v>
      </c>
      <c r="R34" s="16"/>
      <c r="Y34" s="102" t="s">
        <v>520</v>
      </c>
      <c r="AC34" s="16"/>
      <c r="AJ34" s="102" t="s">
        <v>520</v>
      </c>
      <c r="AN34" s="16"/>
    </row>
    <row r="35" spans="1:46">
      <c r="A35" s="102" t="s">
        <v>523</v>
      </c>
      <c r="G35" s="16"/>
      <c r="N35" s="102" t="s">
        <v>523</v>
      </c>
      <c r="R35" s="16"/>
      <c r="Y35" s="102" t="s">
        <v>523</v>
      </c>
      <c r="AC35" s="16"/>
      <c r="AJ35" s="102" t="s">
        <v>523</v>
      </c>
      <c r="AN35" s="16"/>
    </row>
    <row r="36" spans="1:46">
      <c r="A36" s="102" t="s">
        <v>524</v>
      </c>
      <c r="B36" s="214">
        <v>0.57999999999999996</v>
      </c>
      <c r="C36" s="1">
        <v>0.57999999999999996</v>
      </c>
      <c r="D36" s="1">
        <v>0.57999999999999996</v>
      </c>
      <c r="E36" s="214">
        <v>0.57999999999999996</v>
      </c>
      <c r="F36" s="214">
        <v>0.57999999999999996</v>
      </c>
      <c r="G36" s="214">
        <v>0.99</v>
      </c>
      <c r="H36" s="214">
        <v>0.99</v>
      </c>
      <c r="I36" s="214">
        <v>0.99</v>
      </c>
      <c r="N36" s="102" t="s">
        <v>524</v>
      </c>
      <c r="R36" s="16"/>
      <c r="Y36" s="102" t="s">
        <v>524</v>
      </c>
      <c r="AC36" s="16"/>
      <c r="AJ36" s="102" t="s">
        <v>524</v>
      </c>
      <c r="AN36" s="16"/>
    </row>
    <row r="37" spans="1:46">
      <c r="A37" s="102" t="s">
        <v>526</v>
      </c>
      <c r="G37" s="16"/>
      <c r="N37" s="102" t="s">
        <v>526</v>
      </c>
      <c r="R37" s="16"/>
      <c r="Y37" s="102" t="s">
        <v>526</v>
      </c>
      <c r="AC37" s="16"/>
      <c r="AJ37" s="102" t="s">
        <v>526</v>
      </c>
      <c r="AN37" s="16"/>
    </row>
    <row r="38" spans="1:46">
      <c r="A38" s="102" t="s">
        <v>528</v>
      </c>
      <c r="B38" s="214">
        <v>0.59</v>
      </c>
      <c r="C38" s="1">
        <v>0.59</v>
      </c>
      <c r="D38" s="1">
        <v>0.59</v>
      </c>
      <c r="E38" s="214">
        <v>0.59</v>
      </c>
      <c r="F38" s="214">
        <v>0.48</v>
      </c>
      <c r="G38" s="214">
        <v>2.33</v>
      </c>
      <c r="H38" s="214">
        <v>2.33</v>
      </c>
      <c r="I38" s="214">
        <v>2.33</v>
      </c>
      <c r="N38" s="102" t="s">
        <v>528</v>
      </c>
      <c r="R38" s="16"/>
      <c r="Y38" s="102" t="s">
        <v>528</v>
      </c>
      <c r="AC38" s="16"/>
      <c r="AJ38" s="102" t="s">
        <v>528</v>
      </c>
      <c r="AN38" s="16"/>
    </row>
    <row r="39" spans="1:46">
      <c r="A39" s="102" t="s">
        <v>531</v>
      </c>
      <c r="G39" s="16"/>
      <c r="N39" s="102" t="s">
        <v>531</v>
      </c>
      <c r="R39" s="16"/>
      <c r="Y39" s="102" t="s">
        <v>531</v>
      </c>
      <c r="AC39" s="16"/>
      <c r="AJ39" s="102" t="s">
        <v>531</v>
      </c>
      <c r="AN39" s="16"/>
    </row>
    <row r="40" spans="1:46">
      <c r="A40" s="102" t="s">
        <v>534</v>
      </c>
      <c r="B40" s="214">
        <v>0.54</v>
      </c>
      <c r="C40" s="1">
        <v>0.54</v>
      </c>
      <c r="D40" s="1">
        <v>0.54</v>
      </c>
      <c r="E40" s="214">
        <v>0.54</v>
      </c>
      <c r="F40" s="214">
        <v>0.51</v>
      </c>
      <c r="G40" s="214">
        <v>1.1599999999999999</v>
      </c>
      <c r="H40" s="214">
        <v>1.1599999999999999</v>
      </c>
      <c r="I40" s="214">
        <v>1.1599999999999999</v>
      </c>
      <c r="N40" s="102" t="s">
        <v>534</v>
      </c>
      <c r="R40" s="16"/>
      <c r="Y40" s="102" t="s">
        <v>534</v>
      </c>
      <c r="AC40" s="16"/>
      <c r="AJ40" s="102" t="s">
        <v>534</v>
      </c>
      <c r="AN40" s="16"/>
    </row>
    <row r="43" spans="1:46">
      <c r="A43" s="103" t="s">
        <v>496</v>
      </c>
      <c r="N43" s="103"/>
      <c r="Y43" s="103" t="s">
        <v>496</v>
      </c>
      <c r="AJ43" s="103" t="s">
        <v>496</v>
      </c>
    </row>
    <row r="44" spans="1:46" ht="25">
      <c r="A44" s="103" t="s">
        <v>460</v>
      </c>
      <c r="B44" s="56" t="s">
        <v>459</v>
      </c>
      <c r="C44" s="56" t="s">
        <v>154</v>
      </c>
      <c r="D44" s="56" t="s">
        <v>603</v>
      </c>
      <c r="E44" s="56" t="s">
        <v>604</v>
      </c>
      <c r="F44" s="56" t="s">
        <v>162</v>
      </c>
      <c r="G44" s="56" t="s">
        <v>155</v>
      </c>
      <c r="H44" s="56" t="s">
        <v>156</v>
      </c>
      <c r="I44" s="56" t="s">
        <v>157</v>
      </c>
      <c r="J44" s="56" t="s">
        <v>141</v>
      </c>
      <c r="K44" s="56" t="s">
        <v>146</v>
      </c>
      <c r="L44" s="56" t="s">
        <v>149</v>
      </c>
      <c r="M44" s="56" t="s">
        <v>148</v>
      </c>
      <c r="N44" s="103" t="s">
        <v>93</v>
      </c>
      <c r="O44" s="56" t="s">
        <v>459</v>
      </c>
      <c r="P44" s="56" t="s">
        <v>604</v>
      </c>
      <c r="Q44" s="56" t="s">
        <v>162</v>
      </c>
      <c r="R44" s="56" t="s">
        <v>155</v>
      </c>
      <c r="S44" s="56" t="s">
        <v>156</v>
      </c>
      <c r="T44" s="56" t="s">
        <v>157</v>
      </c>
      <c r="U44" s="56" t="s">
        <v>141</v>
      </c>
      <c r="V44" s="56" t="s">
        <v>146</v>
      </c>
      <c r="W44" s="56" t="s">
        <v>149</v>
      </c>
      <c r="X44" s="56" t="s">
        <v>148</v>
      </c>
      <c r="Y44" s="103" t="s">
        <v>483</v>
      </c>
      <c r="Z44" s="56" t="s">
        <v>459</v>
      </c>
      <c r="AA44" s="56" t="s">
        <v>604</v>
      </c>
      <c r="AB44" s="56" t="s">
        <v>162</v>
      </c>
      <c r="AC44" s="56" t="s">
        <v>155</v>
      </c>
      <c r="AD44" s="56" t="s">
        <v>156</v>
      </c>
      <c r="AE44" s="56" t="s">
        <v>157</v>
      </c>
      <c r="AF44" s="56" t="s">
        <v>141</v>
      </c>
      <c r="AG44" s="56" t="s">
        <v>146</v>
      </c>
      <c r="AH44" s="56" t="s">
        <v>149</v>
      </c>
      <c r="AI44" s="56" t="s">
        <v>148</v>
      </c>
      <c r="AJ44" s="103" t="s">
        <v>482</v>
      </c>
      <c r="AK44" s="56" t="s">
        <v>459</v>
      </c>
      <c r="AL44" s="56" t="s">
        <v>604</v>
      </c>
      <c r="AM44" s="56" t="s">
        <v>162</v>
      </c>
      <c r="AN44" s="56" t="s">
        <v>155</v>
      </c>
      <c r="AO44" s="56" t="s">
        <v>156</v>
      </c>
      <c r="AP44" s="56" t="s">
        <v>157</v>
      </c>
      <c r="AQ44" s="56" t="s">
        <v>141</v>
      </c>
      <c r="AR44" s="56" t="s">
        <v>146</v>
      </c>
      <c r="AS44" s="56" t="s">
        <v>149</v>
      </c>
      <c r="AT44" s="56" t="s">
        <v>148</v>
      </c>
    </row>
    <row r="45" spans="1:46">
      <c r="A45" s="102" t="s">
        <v>490</v>
      </c>
      <c r="B45" s="16">
        <v>0.5</v>
      </c>
      <c r="C45" s="1">
        <v>0.5</v>
      </c>
      <c r="D45" s="1">
        <v>0.5</v>
      </c>
      <c r="E45" s="16">
        <v>0.8</v>
      </c>
      <c r="F45" s="16">
        <v>0.3</v>
      </c>
      <c r="G45" s="16">
        <v>1</v>
      </c>
      <c r="H45" s="16">
        <v>0.3</v>
      </c>
      <c r="I45" s="16">
        <v>0.5</v>
      </c>
      <c r="J45" s="16">
        <v>0.8</v>
      </c>
      <c r="K45" s="1">
        <v>0.8</v>
      </c>
      <c r="L45" s="1">
        <v>0.8</v>
      </c>
      <c r="M45" s="1">
        <v>0.8</v>
      </c>
      <c r="N45" s="102" t="s">
        <v>490</v>
      </c>
      <c r="O45" s="16">
        <v>0.5</v>
      </c>
      <c r="P45" s="16">
        <v>0.8</v>
      </c>
      <c r="Q45" s="16">
        <v>0.3</v>
      </c>
      <c r="R45" s="16">
        <v>1</v>
      </c>
      <c r="S45" s="16">
        <v>0.3</v>
      </c>
      <c r="T45" s="16">
        <v>0.5</v>
      </c>
      <c r="U45" s="16">
        <v>0.8</v>
      </c>
      <c r="V45" s="1">
        <v>0.8</v>
      </c>
      <c r="W45" s="1">
        <v>0.8</v>
      </c>
      <c r="X45" s="1">
        <v>0.8</v>
      </c>
      <c r="Y45" s="102" t="s">
        <v>490</v>
      </c>
      <c r="Z45" s="16">
        <v>0.5</v>
      </c>
      <c r="AA45" s="16">
        <v>0.8</v>
      </c>
      <c r="AB45" s="16">
        <v>0.3</v>
      </c>
      <c r="AC45" s="16">
        <v>1</v>
      </c>
      <c r="AD45" s="16">
        <v>0.3</v>
      </c>
      <c r="AE45" s="16">
        <v>0.5</v>
      </c>
      <c r="AF45" s="16">
        <v>0.8</v>
      </c>
      <c r="AG45" s="1">
        <v>0.8</v>
      </c>
      <c r="AH45" s="1">
        <v>0.8</v>
      </c>
      <c r="AI45" s="1">
        <v>0.8</v>
      </c>
      <c r="AJ45" s="102" t="s">
        <v>490</v>
      </c>
      <c r="AK45" s="16">
        <v>0.5</v>
      </c>
      <c r="AL45" s="16">
        <v>0.8</v>
      </c>
      <c r="AM45" s="16">
        <v>0.3</v>
      </c>
      <c r="AN45" s="16">
        <v>1</v>
      </c>
      <c r="AO45" s="16">
        <v>0.3</v>
      </c>
      <c r="AP45" s="16">
        <v>0.5</v>
      </c>
      <c r="AQ45" s="16">
        <v>0.8</v>
      </c>
      <c r="AR45" s="1">
        <v>0.8</v>
      </c>
      <c r="AS45" s="1">
        <v>0.8</v>
      </c>
      <c r="AT45" s="1">
        <v>0.8</v>
      </c>
    </row>
    <row r="46" spans="1:46">
      <c r="A46" s="102" t="s">
        <v>494</v>
      </c>
      <c r="B46" s="16">
        <v>0.5</v>
      </c>
      <c r="C46" s="1">
        <v>0.5</v>
      </c>
      <c r="D46" s="1">
        <v>0.5</v>
      </c>
      <c r="E46" s="16">
        <v>0.8</v>
      </c>
      <c r="F46" s="16">
        <v>0.3</v>
      </c>
      <c r="G46" s="16">
        <v>0.5</v>
      </c>
      <c r="H46" s="16">
        <v>0.3</v>
      </c>
      <c r="I46" s="16">
        <v>0.5</v>
      </c>
      <c r="J46" s="16">
        <v>0.8</v>
      </c>
      <c r="K46" s="1">
        <v>0.8</v>
      </c>
      <c r="L46" s="1">
        <v>0.8</v>
      </c>
      <c r="M46" s="1">
        <v>0.8</v>
      </c>
      <c r="N46" s="102" t="s">
        <v>494</v>
      </c>
      <c r="O46" s="16">
        <v>0.5</v>
      </c>
      <c r="P46" s="16">
        <v>0.8</v>
      </c>
      <c r="Q46" s="16">
        <v>0.3</v>
      </c>
      <c r="R46" s="16">
        <v>0.5</v>
      </c>
      <c r="S46" s="16">
        <v>0.3</v>
      </c>
      <c r="T46" s="16">
        <v>0.5</v>
      </c>
      <c r="U46" s="16">
        <v>0.8</v>
      </c>
      <c r="V46" s="1">
        <v>0.8</v>
      </c>
      <c r="W46" s="1">
        <v>0.8</v>
      </c>
      <c r="X46" s="1">
        <v>0.8</v>
      </c>
      <c r="Y46" s="102" t="s">
        <v>494</v>
      </c>
      <c r="Z46" s="16">
        <v>0.5</v>
      </c>
      <c r="AA46" s="16">
        <v>0.8</v>
      </c>
      <c r="AB46" s="16">
        <v>0.3</v>
      </c>
      <c r="AC46" s="16">
        <v>0.5</v>
      </c>
      <c r="AD46" s="16">
        <v>0.3</v>
      </c>
      <c r="AE46" s="16">
        <v>0.5</v>
      </c>
      <c r="AF46" s="16">
        <v>0.8</v>
      </c>
      <c r="AG46" s="1">
        <v>0.8</v>
      </c>
      <c r="AH46" s="1">
        <v>0.8</v>
      </c>
      <c r="AI46" s="1">
        <v>0.8</v>
      </c>
      <c r="AJ46" s="102" t="s">
        <v>494</v>
      </c>
      <c r="AK46" s="16">
        <v>0.5</v>
      </c>
      <c r="AL46" s="16">
        <v>0.8</v>
      </c>
      <c r="AM46" s="16">
        <v>0.3</v>
      </c>
      <c r="AN46" s="16">
        <v>0.5</v>
      </c>
      <c r="AO46" s="16">
        <v>0.3</v>
      </c>
      <c r="AP46" s="16">
        <v>0.5</v>
      </c>
      <c r="AQ46" s="16">
        <v>0.8</v>
      </c>
      <c r="AR46" s="1">
        <v>0.8</v>
      </c>
      <c r="AS46" s="1">
        <v>0.8</v>
      </c>
      <c r="AT46" s="1">
        <v>0.8</v>
      </c>
    </row>
    <row r="47" spans="1:46">
      <c r="A47" s="102" t="s">
        <v>498</v>
      </c>
      <c r="B47" s="16">
        <v>0.5</v>
      </c>
      <c r="C47" s="1">
        <v>0.5</v>
      </c>
      <c r="D47" s="1">
        <v>0.5</v>
      </c>
      <c r="E47" s="16">
        <v>0.8</v>
      </c>
      <c r="F47" s="16">
        <v>0.3</v>
      </c>
      <c r="G47" s="16">
        <v>0.5</v>
      </c>
      <c r="H47" s="16">
        <v>0.3</v>
      </c>
      <c r="I47" s="16">
        <v>0.5</v>
      </c>
      <c r="J47" s="16">
        <v>0.8</v>
      </c>
      <c r="K47" s="1">
        <v>0.8</v>
      </c>
      <c r="L47" s="1">
        <v>0.8</v>
      </c>
      <c r="M47" s="1">
        <v>0.8</v>
      </c>
      <c r="N47" s="102" t="s">
        <v>498</v>
      </c>
      <c r="O47" s="16">
        <v>0.5</v>
      </c>
      <c r="P47" s="16">
        <v>0.8</v>
      </c>
      <c r="Q47" s="16">
        <v>0.3</v>
      </c>
      <c r="R47" s="16">
        <v>0.5</v>
      </c>
      <c r="S47" s="16">
        <v>0.3</v>
      </c>
      <c r="T47" s="16">
        <v>0.5</v>
      </c>
      <c r="U47" s="16">
        <v>0.8</v>
      </c>
      <c r="V47" s="1">
        <v>0.8</v>
      </c>
      <c r="W47" s="1">
        <v>0.8</v>
      </c>
      <c r="X47" s="1">
        <v>0.8</v>
      </c>
      <c r="Y47" s="102" t="s">
        <v>498</v>
      </c>
      <c r="Z47" s="16">
        <v>0.5</v>
      </c>
      <c r="AA47" s="16">
        <v>0.8</v>
      </c>
      <c r="AB47" s="16">
        <v>0.3</v>
      </c>
      <c r="AC47" s="16">
        <v>0.5</v>
      </c>
      <c r="AD47" s="16">
        <v>0.3</v>
      </c>
      <c r="AE47" s="16">
        <v>0.5</v>
      </c>
      <c r="AF47" s="16">
        <v>0.8</v>
      </c>
      <c r="AG47" s="1">
        <v>0.8</v>
      </c>
      <c r="AH47" s="1">
        <v>0.8</v>
      </c>
      <c r="AI47" s="1">
        <v>0.8</v>
      </c>
      <c r="AJ47" s="102" t="s">
        <v>498</v>
      </c>
      <c r="AK47" s="16">
        <v>0.5</v>
      </c>
      <c r="AL47" s="16">
        <v>0.8</v>
      </c>
      <c r="AM47" s="16">
        <v>0.3</v>
      </c>
      <c r="AN47" s="16">
        <v>0.5</v>
      </c>
      <c r="AO47" s="16">
        <v>0.3</v>
      </c>
      <c r="AP47" s="16">
        <v>0.5</v>
      </c>
      <c r="AQ47" s="16">
        <v>0.8</v>
      </c>
      <c r="AR47" s="1">
        <v>0.8</v>
      </c>
      <c r="AS47" s="1">
        <v>0.8</v>
      </c>
      <c r="AT47" s="1">
        <v>0.8</v>
      </c>
    </row>
    <row r="48" spans="1:46">
      <c r="A48" s="102" t="s">
        <v>500</v>
      </c>
      <c r="B48" s="16">
        <v>0.5</v>
      </c>
      <c r="C48" s="1">
        <v>0.5</v>
      </c>
      <c r="D48" s="1">
        <v>0.5</v>
      </c>
      <c r="E48" s="16">
        <v>0.8</v>
      </c>
      <c r="F48" s="16">
        <v>0.3</v>
      </c>
      <c r="G48" s="16">
        <v>0.5</v>
      </c>
      <c r="H48" s="16">
        <v>0.3</v>
      </c>
      <c r="I48" s="16">
        <v>0.5</v>
      </c>
      <c r="J48" s="16">
        <v>0.8</v>
      </c>
      <c r="K48" s="1">
        <v>0.8</v>
      </c>
      <c r="L48" s="1">
        <v>0.8</v>
      </c>
      <c r="M48" s="1">
        <v>0.8</v>
      </c>
      <c r="N48" s="102" t="s">
        <v>500</v>
      </c>
      <c r="O48" s="16">
        <v>0.5</v>
      </c>
      <c r="P48" s="16">
        <v>0.8</v>
      </c>
      <c r="Q48" s="16">
        <v>0.3</v>
      </c>
      <c r="R48" s="16">
        <v>0.5</v>
      </c>
      <c r="S48" s="16">
        <v>0.3</v>
      </c>
      <c r="T48" s="16">
        <v>0.5</v>
      </c>
      <c r="U48" s="16">
        <v>0.8</v>
      </c>
      <c r="V48" s="1">
        <v>0.8</v>
      </c>
      <c r="W48" s="1">
        <v>0.8</v>
      </c>
      <c r="X48" s="1">
        <v>0.8</v>
      </c>
      <c r="Y48" s="102" t="s">
        <v>500</v>
      </c>
      <c r="Z48" s="16">
        <v>0.5</v>
      </c>
      <c r="AA48" s="16">
        <v>0.8</v>
      </c>
      <c r="AB48" s="16">
        <v>0.3</v>
      </c>
      <c r="AC48" s="16">
        <v>0.5</v>
      </c>
      <c r="AD48" s="16">
        <v>0.3</v>
      </c>
      <c r="AE48" s="16">
        <v>0.5</v>
      </c>
      <c r="AF48" s="16">
        <v>0.8</v>
      </c>
      <c r="AG48" s="1">
        <v>0.8</v>
      </c>
      <c r="AH48" s="1">
        <v>0.8</v>
      </c>
      <c r="AI48" s="1">
        <v>0.8</v>
      </c>
      <c r="AJ48" s="102" t="s">
        <v>500</v>
      </c>
      <c r="AK48" s="16">
        <v>0.5</v>
      </c>
      <c r="AL48" s="16">
        <v>0.8</v>
      </c>
      <c r="AM48" s="16">
        <v>0.3</v>
      </c>
      <c r="AN48" s="16">
        <v>0.5</v>
      </c>
      <c r="AO48" s="16">
        <v>0.3</v>
      </c>
      <c r="AP48" s="16">
        <v>0.5</v>
      </c>
      <c r="AQ48" s="16">
        <v>0.8</v>
      </c>
      <c r="AR48" s="1">
        <v>0.8</v>
      </c>
      <c r="AS48" s="1">
        <v>0.8</v>
      </c>
      <c r="AT48" s="1">
        <v>0.8</v>
      </c>
    </row>
    <row r="49" spans="1:46">
      <c r="A49" s="102" t="s">
        <v>505</v>
      </c>
      <c r="B49" s="16">
        <v>0.5</v>
      </c>
      <c r="C49" s="1">
        <v>0.5</v>
      </c>
      <c r="D49" s="1">
        <v>0.5</v>
      </c>
      <c r="E49" s="16">
        <v>0.8</v>
      </c>
      <c r="F49" s="16">
        <v>0.3</v>
      </c>
      <c r="G49" s="16">
        <v>0.5</v>
      </c>
      <c r="H49" s="16">
        <v>0.3</v>
      </c>
      <c r="I49" s="16">
        <v>0.5</v>
      </c>
      <c r="J49" s="16">
        <v>0.8</v>
      </c>
      <c r="K49" s="1">
        <v>0.8</v>
      </c>
      <c r="L49" s="1">
        <v>0.8</v>
      </c>
      <c r="M49" s="1">
        <v>0.8</v>
      </c>
      <c r="N49" s="102" t="s">
        <v>505</v>
      </c>
      <c r="O49" s="16">
        <v>0.5</v>
      </c>
      <c r="P49" s="16">
        <v>0.8</v>
      </c>
      <c r="Q49" s="16">
        <v>0.3</v>
      </c>
      <c r="R49" s="16">
        <v>0.5</v>
      </c>
      <c r="S49" s="16">
        <v>0.3</v>
      </c>
      <c r="T49" s="16">
        <v>0.5</v>
      </c>
      <c r="U49" s="16">
        <v>0.8</v>
      </c>
      <c r="V49" s="1">
        <v>0.8</v>
      </c>
      <c r="W49" s="1">
        <v>0.8</v>
      </c>
      <c r="X49" s="1">
        <v>0.8</v>
      </c>
      <c r="Y49" s="102" t="s">
        <v>505</v>
      </c>
      <c r="Z49" s="16">
        <v>0.5</v>
      </c>
      <c r="AA49" s="16">
        <v>0.8</v>
      </c>
      <c r="AB49" s="16">
        <v>0.3</v>
      </c>
      <c r="AC49" s="16">
        <v>0.5</v>
      </c>
      <c r="AD49" s="16">
        <v>0.3</v>
      </c>
      <c r="AE49" s="16">
        <v>0.5</v>
      </c>
      <c r="AF49" s="16">
        <v>0.8</v>
      </c>
      <c r="AG49" s="1">
        <v>0.8</v>
      </c>
      <c r="AH49" s="1">
        <v>0.8</v>
      </c>
      <c r="AI49" s="1">
        <v>0.8</v>
      </c>
      <c r="AJ49" s="102" t="s">
        <v>505</v>
      </c>
      <c r="AK49" s="16">
        <v>0.5</v>
      </c>
      <c r="AL49" s="16">
        <v>0.8</v>
      </c>
      <c r="AM49" s="16">
        <v>0.3</v>
      </c>
      <c r="AN49" s="16">
        <v>0.5</v>
      </c>
      <c r="AO49" s="16">
        <v>0.3</v>
      </c>
      <c r="AP49" s="16">
        <v>0.5</v>
      </c>
      <c r="AQ49" s="16">
        <v>0.8</v>
      </c>
      <c r="AR49" s="1">
        <v>0.8</v>
      </c>
      <c r="AS49" s="1">
        <v>0.8</v>
      </c>
      <c r="AT49" s="1">
        <v>0.8</v>
      </c>
    </row>
    <row r="50" spans="1:46">
      <c r="A50" s="102" t="s">
        <v>509</v>
      </c>
      <c r="B50" s="16">
        <v>0.5</v>
      </c>
      <c r="C50" s="1">
        <v>0.5</v>
      </c>
      <c r="D50" s="1">
        <v>0.5</v>
      </c>
      <c r="E50" s="16">
        <v>0.8</v>
      </c>
      <c r="F50" s="16">
        <v>0.3</v>
      </c>
      <c r="G50" s="16">
        <v>0.5</v>
      </c>
      <c r="H50" s="16">
        <v>0.3</v>
      </c>
      <c r="I50" s="16">
        <v>0.5</v>
      </c>
      <c r="J50" s="16">
        <v>0.8</v>
      </c>
      <c r="K50" s="1">
        <v>0.8</v>
      </c>
      <c r="L50" s="1">
        <v>0.8</v>
      </c>
      <c r="M50" s="1">
        <v>0.8</v>
      </c>
      <c r="N50" s="102" t="s">
        <v>509</v>
      </c>
      <c r="O50" s="16">
        <v>0.5</v>
      </c>
      <c r="P50" s="16">
        <v>0.8</v>
      </c>
      <c r="Q50" s="16">
        <v>0.3</v>
      </c>
      <c r="R50" s="16">
        <v>0.5</v>
      </c>
      <c r="S50" s="16">
        <v>0.3</v>
      </c>
      <c r="T50" s="16">
        <v>0.5</v>
      </c>
      <c r="U50" s="16">
        <v>0.8</v>
      </c>
      <c r="V50" s="1">
        <v>0.8</v>
      </c>
      <c r="W50" s="1">
        <v>0.8</v>
      </c>
      <c r="X50" s="1">
        <v>0.8</v>
      </c>
      <c r="Y50" s="102" t="s">
        <v>509</v>
      </c>
      <c r="Z50" s="16">
        <v>0.5</v>
      </c>
      <c r="AA50" s="16">
        <v>0.8</v>
      </c>
      <c r="AB50" s="16">
        <v>0.3</v>
      </c>
      <c r="AC50" s="16">
        <v>0.5</v>
      </c>
      <c r="AD50" s="16">
        <v>0.3</v>
      </c>
      <c r="AE50" s="16">
        <v>0.5</v>
      </c>
      <c r="AF50" s="16">
        <v>0.8</v>
      </c>
      <c r="AG50" s="1">
        <v>0.8</v>
      </c>
      <c r="AH50" s="1">
        <v>0.8</v>
      </c>
      <c r="AI50" s="1">
        <v>0.8</v>
      </c>
      <c r="AJ50" s="102" t="s">
        <v>509</v>
      </c>
      <c r="AK50" s="16">
        <v>0.5</v>
      </c>
      <c r="AL50" s="16">
        <v>0.8</v>
      </c>
      <c r="AM50" s="16">
        <v>0.3</v>
      </c>
      <c r="AN50" s="16">
        <v>0.5</v>
      </c>
      <c r="AO50" s="16">
        <v>0.3</v>
      </c>
      <c r="AP50" s="16">
        <v>0.5</v>
      </c>
      <c r="AQ50" s="16">
        <v>0.8</v>
      </c>
      <c r="AR50" s="1">
        <v>0.8</v>
      </c>
      <c r="AS50" s="1">
        <v>0.8</v>
      </c>
      <c r="AT50" s="1">
        <v>0.8</v>
      </c>
    </row>
    <row r="51" spans="1:46">
      <c r="A51" s="102" t="s">
        <v>512</v>
      </c>
      <c r="B51" s="16">
        <v>0.5</v>
      </c>
      <c r="C51" s="1">
        <v>0.5</v>
      </c>
      <c r="D51" s="1">
        <v>0.5</v>
      </c>
      <c r="E51" s="16">
        <v>0.8</v>
      </c>
      <c r="F51" s="16">
        <v>0.3</v>
      </c>
      <c r="G51" s="16">
        <v>0.5</v>
      </c>
      <c r="H51" s="16">
        <v>0.3</v>
      </c>
      <c r="I51" s="16">
        <v>0.5</v>
      </c>
      <c r="J51" s="16">
        <v>0.8</v>
      </c>
      <c r="K51" s="1">
        <v>0.8</v>
      </c>
      <c r="L51" s="1">
        <v>0.8</v>
      </c>
      <c r="M51" s="1">
        <v>0.8</v>
      </c>
      <c r="N51" s="102" t="s">
        <v>512</v>
      </c>
      <c r="O51" s="16">
        <v>0.5</v>
      </c>
      <c r="P51" s="16">
        <v>0.8</v>
      </c>
      <c r="Q51" s="16">
        <v>0.3</v>
      </c>
      <c r="R51" s="16">
        <v>0.5</v>
      </c>
      <c r="S51" s="16">
        <v>0.3</v>
      </c>
      <c r="T51" s="16">
        <v>0.5</v>
      </c>
      <c r="U51" s="16">
        <v>0.8</v>
      </c>
      <c r="V51" s="1">
        <v>0.8</v>
      </c>
      <c r="W51" s="1">
        <v>0.8</v>
      </c>
      <c r="X51" s="1">
        <v>0.8</v>
      </c>
      <c r="Y51" s="102" t="s">
        <v>512</v>
      </c>
      <c r="Z51" s="16">
        <v>0.5</v>
      </c>
      <c r="AA51" s="16">
        <v>0.8</v>
      </c>
      <c r="AB51" s="16">
        <v>0.3</v>
      </c>
      <c r="AC51" s="16">
        <v>0.5</v>
      </c>
      <c r="AD51" s="16">
        <v>0.3</v>
      </c>
      <c r="AE51" s="16">
        <v>0.5</v>
      </c>
      <c r="AF51" s="16">
        <v>0.8</v>
      </c>
      <c r="AG51" s="1">
        <v>0.8</v>
      </c>
      <c r="AH51" s="1">
        <v>0.8</v>
      </c>
      <c r="AI51" s="1">
        <v>0.8</v>
      </c>
      <c r="AJ51" s="102" t="s">
        <v>512</v>
      </c>
      <c r="AK51" s="16">
        <v>0.5</v>
      </c>
      <c r="AL51" s="16">
        <v>0.8</v>
      </c>
      <c r="AM51" s="16">
        <v>0.3</v>
      </c>
      <c r="AN51" s="16">
        <v>0.5</v>
      </c>
      <c r="AO51" s="16">
        <v>0.3</v>
      </c>
      <c r="AP51" s="16">
        <v>0.5</v>
      </c>
      <c r="AQ51" s="16">
        <v>0.8</v>
      </c>
      <c r="AR51" s="1">
        <v>0.8</v>
      </c>
      <c r="AS51" s="1">
        <v>0.8</v>
      </c>
      <c r="AT51" s="1">
        <v>0.8</v>
      </c>
    </row>
    <row r="52" spans="1:46">
      <c r="A52" s="102" t="s">
        <v>514</v>
      </c>
      <c r="B52" s="16">
        <v>0.5</v>
      </c>
      <c r="C52" s="1">
        <v>0.5</v>
      </c>
      <c r="D52" s="1">
        <v>0.5</v>
      </c>
      <c r="E52" s="16">
        <v>0.8</v>
      </c>
      <c r="F52" s="16">
        <v>0.3</v>
      </c>
      <c r="G52" s="16">
        <v>0.5</v>
      </c>
      <c r="H52" s="16">
        <v>0.3</v>
      </c>
      <c r="I52" s="16">
        <v>0.5</v>
      </c>
      <c r="J52" s="16">
        <v>0.8</v>
      </c>
      <c r="K52" s="1">
        <v>0.8</v>
      </c>
      <c r="L52" s="1">
        <v>0.8</v>
      </c>
      <c r="M52" s="1">
        <v>0.8</v>
      </c>
      <c r="N52" s="102" t="s">
        <v>514</v>
      </c>
      <c r="O52" s="16">
        <v>0.5</v>
      </c>
      <c r="P52" s="16">
        <v>0.8</v>
      </c>
      <c r="Q52" s="16">
        <v>0.3</v>
      </c>
      <c r="R52" s="16">
        <v>0.5</v>
      </c>
      <c r="S52" s="16">
        <v>0.3</v>
      </c>
      <c r="T52" s="16">
        <v>0.5</v>
      </c>
      <c r="U52" s="16">
        <v>0.8</v>
      </c>
      <c r="V52" s="1">
        <v>0.8</v>
      </c>
      <c r="W52" s="1">
        <v>0.8</v>
      </c>
      <c r="X52" s="1">
        <v>0.8</v>
      </c>
      <c r="Y52" s="102" t="s">
        <v>514</v>
      </c>
      <c r="Z52" s="16">
        <v>0.5</v>
      </c>
      <c r="AA52" s="16">
        <v>0.8</v>
      </c>
      <c r="AB52" s="16">
        <v>0.3</v>
      </c>
      <c r="AC52" s="16">
        <v>0.5</v>
      </c>
      <c r="AD52" s="16">
        <v>0.3</v>
      </c>
      <c r="AE52" s="16">
        <v>0.5</v>
      </c>
      <c r="AF52" s="16">
        <v>0.8</v>
      </c>
      <c r="AG52" s="1">
        <v>0.8</v>
      </c>
      <c r="AH52" s="1">
        <v>0.8</v>
      </c>
      <c r="AI52" s="1">
        <v>0.8</v>
      </c>
      <c r="AJ52" s="102" t="s">
        <v>514</v>
      </c>
      <c r="AK52" s="16">
        <v>0.5</v>
      </c>
      <c r="AL52" s="16">
        <v>0.8</v>
      </c>
      <c r="AM52" s="16">
        <v>0.3</v>
      </c>
      <c r="AN52" s="16">
        <v>0.5</v>
      </c>
      <c r="AO52" s="16">
        <v>0.3</v>
      </c>
      <c r="AP52" s="16">
        <v>0.5</v>
      </c>
      <c r="AQ52" s="16">
        <v>0.8</v>
      </c>
      <c r="AR52" s="1">
        <v>0.8</v>
      </c>
      <c r="AS52" s="1">
        <v>0.8</v>
      </c>
      <c r="AT52" s="1">
        <v>0.8</v>
      </c>
    </row>
    <row r="53" spans="1:46">
      <c r="A53" s="102" t="s">
        <v>516</v>
      </c>
      <c r="B53" s="16">
        <v>0.5</v>
      </c>
      <c r="C53" s="1">
        <v>0.5</v>
      </c>
      <c r="D53" s="1">
        <v>0.5</v>
      </c>
      <c r="E53" s="16">
        <v>0.8</v>
      </c>
      <c r="F53" s="16">
        <v>0.3</v>
      </c>
      <c r="G53" s="16">
        <v>0.5</v>
      </c>
      <c r="H53" s="16">
        <v>0.3</v>
      </c>
      <c r="I53" s="16">
        <v>0.5</v>
      </c>
      <c r="J53" s="16">
        <v>0.8</v>
      </c>
      <c r="K53" s="1">
        <v>0.8</v>
      </c>
      <c r="L53" s="1">
        <v>0.8</v>
      </c>
      <c r="M53" s="1">
        <v>0.8</v>
      </c>
      <c r="N53" s="102" t="s">
        <v>516</v>
      </c>
      <c r="O53" s="16">
        <v>0.5</v>
      </c>
      <c r="P53" s="16">
        <v>0.8</v>
      </c>
      <c r="Q53" s="16">
        <v>0.3</v>
      </c>
      <c r="R53" s="16">
        <v>0.5</v>
      </c>
      <c r="S53" s="16">
        <v>0.3</v>
      </c>
      <c r="T53" s="16">
        <v>0.5</v>
      </c>
      <c r="U53" s="16">
        <v>0.8</v>
      </c>
      <c r="V53" s="1">
        <v>0.8</v>
      </c>
      <c r="W53" s="1">
        <v>0.8</v>
      </c>
      <c r="X53" s="1">
        <v>0.8</v>
      </c>
      <c r="Y53" s="102" t="s">
        <v>516</v>
      </c>
      <c r="Z53" s="16">
        <v>0.5</v>
      </c>
      <c r="AA53" s="16">
        <v>0.8</v>
      </c>
      <c r="AB53" s="16">
        <v>0.3</v>
      </c>
      <c r="AC53" s="16">
        <v>0.5</v>
      </c>
      <c r="AD53" s="16">
        <v>0.3</v>
      </c>
      <c r="AE53" s="16">
        <v>0.5</v>
      </c>
      <c r="AF53" s="16">
        <v>0.8</v>
      </c>
      <c r="AG53" s="1">
        <v>0.8</v>
      </c>
      <c r="AH53" s="1">
        <v>0.8</v>
      </c>
      <c r="AI53" s="1">
        <v>0.8</v>
      </c>
      <c r="AJ53" s="102" t="s">
        <v>516</v>
      </c>
      <c r="AK53" s="16">
        <v>0.5</v>
      </c>
      <c r="AL53" s="16">
        <v>0.8</v>
      </c>
      <c r="AM53" s="16">
        <v>0.3</v>
      </c>
      <c r="AN53" s="16">
        <v>0.5</v>
      </c>
      <c r="AO53" s="16">
        <v>0.3</v>
      </c>
      <c r="AP53" s="16">
        <v>0.5</v>
      </c>
      <c r="AQ53" s="16">
        <v>0.8</v>
      </c>
      <c r="AR53" s="1">
        <v>0.8</v>
      </c>
      <c r="AS53" s="1">
        <v>0.8</v>
      </c>
      <c r="AT53" s="1">
        <v>0.8</v>
      </c>
    </row>
    <row r="54" spans="1:46">
      <c r="A54" s="102" t="s">
        <v>518</v>
      </c>
      <c r="B54" s="16">
        <v>0.5</v>
      </c>
      <c r="C54" s="1">
        <v>0.5</v>
      </c>
      <c r="D54" s="1">
        <v>0.5</v>
      </c>
      <c r="E54" s="16">
        <v>0.8</v>
      </c>
      <c r="F54" s="16">
        <v>0.3</v>
      </c>
      <c r="G54" s="16">
        <v>0.5</v>
      </c>
      <c r="H54" s="16">
        <v>0.3</v>
      </c>
      <c r="I54" s="16">
        <v>0.5</v>
      </c>
      <c r="J54" s="16">
        <v>0.8</v>
      </c>
      <c r="K54" s="1">
        <v>0.8</v>
      </c>
      <c r="L54" s="1">
        <v>0.8</v>
      </c>
      <c r="M54" s="1">
        <v>0.8</v>
      </c>
      <c r="N54" s="102" t="s">
        <v>518</v>
      </c>
      <c r="O54" s="16">
        <v>0.5</v>
      </c>
      <c r="P54" s="16">
        <v>0.8</v>
      </c>
      <c r="Q54" s="16">
        <v>0.3</v>
      </c>
      <c r="R54" s="16">
        <v>0.5</v>
      </c>
      <c r="S54" s="16">
        <v>0.3</v>
      </c>
      <c r="T54" s="16">
        <v>0.5</v>
      </c>
      <c r="U54" s="16">
        <v>0.8</v>
      </c>
      <c r="V54" s="1">
        <v>0.8</v>
      </c>
      <c r="W54" s="1">
        <v>0.8</v>
      </c>
      <c r="X54" s="1">
        <v>0.8</v>
      </c>
      <c r="Y54" s="102" t="s">
        <v>518</v>
      </c>
      <c r="Z54" s="16">
        <v>0.5</v>
      </c>
      <c r="AA54" s="16">
        <v>0.8</v>
      </c>
      <c r="AB54" s="16">
        <v>0.3</v>
      </c>
      <c r="AC54" s="16">
        <v>0.5</v>
      </c>
      <c r="AD54" s="16">
        <v>0.3</v>
      </c>
      <c r="AE54" s="16">
        <v>0.5</v>
      </c>
      <c r="AF54" s="16">
        <v>0.8</v>
      </c>
      <c r="AG54" s="1">
        <v>0.8</v>
      </c>
      <c r="AH54" s="1">
        <v>0.8</v>
      </c>
      <c r="AI54" s="1">
        <v>0.8</v>
      </c>
      <c r="AJ54" s="102" t="s">
        <v>518</v>
      </c>
      <c r="AK54" s="16">
        <v>0.5</v>
      </c>
      <c r="AL54" s="16">
        <v>0.8</v>
      </c>
      <c r="AM54" s="16">
        <v>0.3</v>
      </c>
      <c r="AN54" s="16">
        <v>0.5</v>
      </c>
      <c r="AO54" s="16">
        <v>0.3</v>
      </c>
      <c r="AP54" s="16">
        <v>0.5</v>
      </c>
      <c r="AQ54" s="16">
        <v>0.8</v>
      </c>
      <c r="AR54" s="1">
        <v>0.8</v>
      </c>
      <c r="AS54" s="1">
        <v>0.8</v>
      </c>
      <c r="AT54" s="1">
        <v>0.8</v>
      </c>
    </row>
    <row r="55" spans="1:46">
      <c r="A55" s="102" t="s">
        <v>520</v>
      </c>
      <c r="B55" s="1">
        <v>0.32</v>
      </c>
      <c r="C55" s="1">
        <v>0.32</v>
      </c>
      <c r="D55" s="1">
        <v>0.32</v>
      </c>
      <c r="E55" s="1">
        <v>0.32</v>
      </c>
      <c r="F55" s="1">
        <v>0.3</v>
      </c>
      <c r="G55" s="1">
        <v>0.64</v>
      </c>
      <c r="H55" s="1">
        <v>0.64</v>
      </c>
      <c r="I55" s="1">
        <v>0.64</v>
      </c>
      <c r="J55" s="16">
        <v>0.8</v>
      </c>
      <c r="K55" s="1">
        <v>0.8</v>
      </c>
      <c r="L55" s="1">
        <v>0.8</v>
      </c>
      <c r="M55" s="1">
        <v>0.8</v>
      </c>
      <c r="N55" s="102" t="s">
        <v>520</v>
      </c>
      <c r="O55" s="16">
        <v>0.54</v>
      </c>
      <c r="P55" s="16">
        <v>0.54</v>
      </c>
      <c r="Q55" s="16">
        <v>0.54</v>
      </c>
      <c r="R55" s="16">
        <v>0.54</v>
      </c>
      <c r="S55" s="16">
        <v>0.54</v>
      </c>
      <c r="T55" s="16">
        <v>0.54</v>
      </c>
      <c r="U55" s="16">
        <v>0.8</v>
      </c>
      <c r="V55" s="1">
        <v>0.8</v>
      </c>
      <c r="W55" s="1">
        <v>0.8</v>
      </c>
      <c r="X55" s="1">
        <v>0.8</v>
      </c>
      <c r="Y55" s="102" t="s">
        <v>520</v>
      </c>
      <c r="Z55" s="16">
        <v>0.54</v>
      </c>
      <c r="AA55" s="16">
        <v>0.54</v>
      </c>
      <c r="AB55" s="16">
        <v>0.54</v>
      </c>
      <c r="AC55" s="16">
        <v>0.54</v>
      </c>
      <c r="AD55" s="16">
        <v>0.54</v>
      </c>
      <c r="AE55" s="16">
        <v>0.54</v>
      </c>
      <c r="AF55" s="16">
        <v>0.8</v>
      </c>
      <c r="AG55" s="1">
        <v>0.8</v>
      </c>
      <c r="AH55" s="1">
        <v>0.8</v>
      </c>
      <c r="AI55" s="1">
        <v>0.8</v>
      </c>
      <c r="AJ55" s="102" t="s">
        <v>520</v>
      </c>
      <c r="AK55" s="16">
        <v>0.54</v>
      </c>
      <c r="AL55" s="16">
        <v>0.54</v>
      </c>
      <c r="AM55" s="16">
        <v>0.54</v>
      </c>
      <c r="AN55" s="16">
        <v>0.54</v>
      </c>
      <c r="AO55" s="16">
        <v>0.54</v>
      </c>
      <c r="AP55" s="16">
        <v>0.54</v>
      </c>
      <c r="AQ55" s="16">
        <v>0.8</v>
      </c>
      <c r="AR55" s="1">
        <v>0.8</v>
      </c>
      <c r="AS55" s="1">
        <v>0.8</v>
      </c>
      <c r="AT55" s="1">
        <v>0.8</v>
      </c>
    </row>
    <row r="56" spans="1:46">
      <c r="A56" s="102" t="s">
        <v>523</v>
      </c>
      <c r="B56" s="16">
        <v>0.54</v>
      </c>
      <c r="C56" s="1">
        <v>0.54</v>
      </c>
      <c r="D56" s="1">
        <v>0.54</v>
      </c>
      <c r="E56" s="16">
        <v>0.54</v>
      </c>
      <c r="F56" s="16">
        <v>0.54</v>
      </c>
      <c r="G56" s="16">
        <v>0.54</v>
      </c>
      <c r="H56" s="16">
        <v>0.54</v>
      </c>
      <c r="I56" s="16">
        <v>0.54</v>
      </c>
      <c r="J56" s="16">
        <v>0.8</v>
      </c>
      <c r="K56" s="1">
        <v>0.8</v>
      </c>
      <c r="L56" s="1">
        <v>0.8</v>
      </c>
      <c r="M56" s="1">
        <v>0.8</v>
      </c>
      <c r="N56" s="102" t="s">
        <v>523</v>
      </c>
      <c r="O56" s="16">
        <v>0.54</v>
      </c>
      <c r="P56" s="16">
        <v>0.54</v>
      </c>
      <c r="Q56" s="16">
        <v>0.54</v>
      </c>
      <c r="R56" s="16">
        <v>0.54</v>
      </c>
      <c r="S56" s="16">
        <v>0.54</v>
      </c>
      <c r="T56" s="16">
        <v>0.54</v>
      </c>
      <c r="U56" s="16">
        <v>0.8</v>
      </c>
      <c r="V56" s="1">
        <v>0.8</v>
      </c>
      <c r="W56" s="1">
        <v>0.8</v>
      </c>
      <c r="X56" s="1">
        <v>0.8</v>
      </c>
      <c r="Y56" s="102" t="s">
        <v>523</v>
      </c>
      <c r="Z56" s="16">
        <v>0.54</v>
      </c>
      <c r="AA56" s="16">
        <v>0.54</v>
      </c>
      <c r="AB56" s="16">
        <v>0.54</v>
      </c>
      <c r="AC56" s="16">
        <v>0.54</v>
      </c>
      <c r="AD56" s="16">
        <v>0.54</v>
      </c>
      <c r="AE56" s="16">
        <v>0.54</v>
      </c>
      <c r="AF56" s="16">
        <v>0.8</v>
      </c>
      <c r="AG56" s="1">
        <v>0.8</v>
      </c>
      <c r="AH56" s="1">
        <v>0.8</v>
      </c>
      <c r="AI56" s="1">
        <v>0.8</v>
      </c>
      <c r="AJ56" s="102" t="s">
        <v>523</v>
      </c>
      <c r="AK56" s="16">
        <v>0.54</v>
      </c>
      <c r="AL56" s="16">
        <v>0.54</v>
      </c>
      <c r="AM56" s="16">
        <v>0.54</v>
      </c>
      <c r="AN56" s="16">
        <v>0.54</v>
      </c>
      <c r="AO56" s="16">
        <v>0.54</v>
      </c>
      <c r="AP56" s="16">
        <v>0.54</v>
      </c>
      <c r="AQ56" s="16">
        <v>0.8</v>
      </c>
      <c r="AR56" s="1">
        <v>0.8</v>
      </c>
      <c r="AS56" s="1">
        <v>0.8</v>
      </c>
      <c r="AT56" s="1">
        <v>0.8</v>
      </c>
    </row>
    <row r="57" spans="1:46">
      <c r="A57" s="102" t="s">
        <v>524</v>
      </c>
      <c r="B57" s="1">
        <v>0.31</v>
      </c>
      <c r="C57" s="1">
        <v>0.31</v>
      </c>
      <c r="D57" s="1">
        <v>0.31</v>
      </c>
      <c r="E57" s="1">
        <v>0.31</v>
      </c>
      <c r="F57" s="1">
        <v>0.31</v>
      </c>
      <c r="G57" s="1">
        <v>0.52</v>
      </c>
      <c r="H57" s="1">
        <v>0.52</v>
      </c>
      <c r="I57" s="1">
        <v>0.52</v>
      </c>
      <c r="J57" s="16">
        <v>0.8</v>
      </c>
      <c r="K57" s="1">
        <v>0.8</v>
      </c>
      <c r="L57" s="1">
        <v>0.8</v>
      </c>
      <c r="M57" s="1">
        <v>0.8</v>
      </c>
      <c r="N57" s="102" t="s">
        <v>524</v>
      </c>
      <c r="O57" s="16">
        <v>0.8</v>
      </c>
      <c r="P57" s="16">
        <v>0.8</v>
      </c>
      <c r="Q57" s="16">
        <v>0.8</v>
      </c>
      <c r="R57" s="16">
        <v>0.8</v>
      </c>
      <c r="S57" s="16">
        <v>0.8</v>
      </c>
      <c r="T57" s="16">
        <v>0.8</v>
      </c>
      <c r="U57" s="16">
        <v>0.8</v>
      </c>
      <c r="V57" s="1">
        <v>0.8</v>
      </c>
      <c r="W57" s="1">
        <v>0.8</v>
      </c>
      <c r="X57" s="1">
        <v>0.8</v>
      </c>
      <c r="Y57" s="102" t="s">
        <v>524</v>
      </c>
      <c r="Z57" s="16">
        <v>0.8</v>
      </c>
      <c r="AA57" s="16">
        <v>0.8</v>
      </c>
      <c r="AB57" s="16">
        <v>0.8</v>
      </c>
      <c r="AC57" s="16">
        <v>0.8</v>
      </c>
      <c r="AD57" s="16">
        <v>0.8</v>
      </c>
      <c r="AE57" s="16">
        <v>0.8</v>
      </c>
      <c r="AF57" s="16">
        <v>0.8</v>
      </c>
      <c r="AG57" s="1">
        <v>0.8</v>
      </c>
      <c r="AH57" s="1">
        <v>0.8</v>
      </c>
      <c r="AI57" s="1">
        <v>0.8</v>
      </c>
      <c r="AJ57" s="102" t="s">
        <v>524</v>
      </c>
      <c r="AK57" s="16">
        <v>0.8</v>
      </c>
      <c r="AL57" s="16">
        <v>0.8</v>
      </c>
      <c r="AM57" s="16">
        <v>0.8</v>
      </c>
      <c r="AN57" s="16">
        <v>0.8</v>
      </c>
      <c r="AO57" s="16">
        <v>0.8</v>
      </c>
      <c r="AP57" s="16">
        <v>0.8</v>
      </c>
      <c r="AQ57" s="16">
        <v>0.8</v>
      </c>
      <c r="AR57" s="1">
        <v>0.8</v>
      </c>
      <c r="AS57" s="1">
        <v>0.8</v>
      </c>
      <c r="AT57" s="1">
        <v>0.8</v>
      </c>
    </row>
    <row r="58" spans="1:46">
      <c r="A58" s="102" t="s">
        <v>526</v>
      </c>
      <c r="B58" s="16">
        <v>0.54</v>
      </c>
      <c r="C58" s="1">
        <v>0.54</v>
      </c>
      <c r="D58" s="1">
        <v>0.54</v>
      </c>
      <c r="E58" s="16">
        <v>0.54</v>
      </c>
      <c r="F58" s="16">
        <v>0.54</v>
      </c>
      <c r="G58" s="16">
        <v>0.54</v>
      </c>
      <c r="H58" s="16">
        <v>0.54</v>
      </c>
      <c r="I58" s="16">
        <v>0.54</v>
      </c>
      <c r="J58" s="16">
        <v>0.8</v>
      </c>
      <c r="K58" s="1">
        <v>0.8</v>
      </c>
      <c r="L58" s="1">
        <v>0.8</v>
      </c>
      <c r="M58" s="1">
        <v>0.8</v>
      </c>
      <c r="N58" s="102" t="s">
        <v>526</v>
      </c>
      <c r="O58" s="16">
        <v>0.54</v>
      </c>
      <c r="P58" s="16">
        <v>0.54</v>
      </c>
      <c r="Q58" s="16">
        <v>0.54</v>
      </c>
      <c r="R58" s="16">
        <v>0.54</v>
      </c>
      <c r="S58" s="16">
        <v>0.54</v>
      </c>
      <c r="T58" s="16">
        <v>0.54</v>
      </c>
      <c r="U58" s="16">
        <v>0.8</v>
      </c>
      <c r="V58" s="1">
        <v>0.8</v>
      </c>
      <c r="W58" s="1">
        <v>0.8</v>
      </c>
      <c r="X58" s="1">
        <v>0.8</v>
      </c>
      <c r="Y58" s="102" t="s">
        <v>526</v>
      </c>
      <c r="Z58" s="16">
        <v>0.54</v>
      </c>
      <c r="AA58" s="16">
        <v>0.54</v>
      </c>
      <c r="AB58" s="16">
        <v>0.54</v>
      </c>
      <c r="AC58" s="16">
        <v>0.54</v>
      </c>
      <c r="AD58" s="16">
        <v>0.54</v>
      </c>
      <c r="AE58" s="16">
        <v>0.54</v>
      </c>
      <c r="AF58" s="16">
        <v>0.8</v>
      </c>
      <c r="AG58" s="1">
        <v>0.8</v>
      </c>
      <c r="AH58" s="1">
        <v>0.8</v>
      </c>
      <c r="AI58" s="1">
        <v>0.8</v>
      </c>
      <c r="AJ58" s="102" t="s">
        <v>526</v>
      </c>
      <c r="AK58" s="16">
        <v>0.54</v>
      </c>
      <c r="AL58" s="16">
        <v>0.54</v>
      </c>
      <c r="AM58" s="16">
        <v>0.54</v>
      </c>
      <c r="AN58" s="16">
        <v>0.54</v>
      </c>
      <c r="AO58" s="16">
        <v>0.54</v>
      </c>
      <c r="AP58" s="16">
        <v>0.54</v>
      </c>
      <c r="AQ58" s="16">
        <v>0.8</v>
      </c>
      <c r="AR58" s="1">
        <v>0.8</v>
      </c>
      <c r="AS58" s="1">
        <v>0.8</v>
      </c>
      <c r="AT58" s="1">
        <v>0.8</v>
      </c>
    </row>
    <row r="59" spans="1:46">
      <c r="A59" s="102" t="s">
        <v>528</v>
      </c>
      <c r="B59" s="1">
        <v>0.31</v>
      </c>
      <c r="C59" s="1">
        <v>0.31</v>
      </c>
      <c r="D59" s="1">
        <v>0.31</v>
      </c>
      <c r="E59" s="1">
        <v>0.31</v>
      </c>
      <c r="F59" s="1">
        <v>0.26</v>
      </c>
      <c r="G59" s="1">
        <v>1.24</v>
      </c>
      <c r="H59" s="1">
        <v>1.24</v>
      </c>
      <c r="I59" s="1">
        <v>1.24</v>
      </c>
      <c r="J59" s="16">
        <v>0.8</v>
      </c>
      <c r="K59" s="1">
        <v>0.8</v>
      </c>
      <c r="L59" s="1">
        <v>0.8</v>
      </c>
      <c r="M59" s="1">
        <v>0.8</v>
      </c>
      <c r="N59" s="102" t="s">
        <v>528</v>
      </c>
      <c r="O59" s="16">
        <v>0.54</v>
      </c>
      <c r="P59" s="16">
        <v>0.54</v>
      </c>
      <c r="Q59" s="16">
        <v>0.54</v>
      </c>
      <c r="R59" s="16">
        <v>0.54</v>
      </c>
      <c r="S59" s="16">
        <v>0.54</v>
      </c>
      <c r="T59" s="16">
        <v>0.54</v>
      </c>
      <c r="U59" s="16">
        <v>0.8</v>
      </c>
      <c r="V59" s="1">
        <v>0.8</v>
      </c>
      <c r="W59" s="1">
        <v>0.8</v>
      </c>
      <c r="X59" s="1">
        <v>0.8</v>
      </c>
      <c r="Y59" s="102" t="s">
        <v>528</v>
      </c>
      <c r="Z59" s="16">
        <v>0.54</v>
      </c>
      <c r="AA59" s="16">
        <v>0.54</v>
      </c>
      <c r="AB59" s="16">
        <v>0.54</v>
      </c>
      <c r="AC59" s="16">
        <v>0.54</v>
      </c>
      <c r="AD59" s="16">
        <v>0.54</v>
      </c>
      <c r="AE59" s="16">
        <v>0.54</v>
      </c>
      <c r="AF59" s="16">
        <v>0.8</v>
      </c>
      <c r="AG59" s="1">
        <v>0.8</v>
      </c>
      <c r="AH59" s="1">
        <v>0.8</v>
      </c>
      <c r="AI59" s="1">
        <v>0.8</v>
      </c>
      <c r="AJ59" s="102" t="s">
        <v>528</v>
      </c>
      <c r="AK59" s="16">
        <v>0.54</v>
      </c>
      <c r="AL59" s="16">
        <v>0.54</v>
      </c>
      <c r="AM59" s="16">
        <v>0.54</v>
      </c>
      <c r="AN59" s="16">
        <v>0.54</v>
      </c>
      <c r="AO59" s="16">
        <v>0.54</v>
      </c>
      <c r="AP59" s="16">
        <v>0.54</v>
      </c>
      <c r="AQ59" s="16">
        <v>0.8</v>
      </c>
      <c r="AR59" s="1">
        <v>0.8</v>
      </c>
      <c r="AS59" s="1">
        <v>0.8</v>
      </c>
      <c r="AT59" s="1">
        <v>0.8</v>
      </c>
    </row>
    <row r="60" spans="1:46">
      <c r="A60" s="102" t="s">
        <v>531</v>
      </c>
      <c r="B60" s="16">
        <v>0.54</v>
      </c>
      <c r="C60" s="1">
        <v>0.54</v>
      </c>
      <c r="D60" s="1">
        <v>0.54</v>
      </c>
      <c r="E60" s="16">
        <v>0.54</v>
      </c>
      <c r="F60" s="16">
        <v>0.54</v>
      </c>
      <c r="G60" s="16">
        <v>0.54</v>
      </c>
      <c r="H60" s="16">
        <v>0.54</v>
      </c>
      <c r="I60" s="16">
        <v>0.54</v>
      </c>
      <c r="J60" s="16">
        <v>0.8</v>
      </c>
      <c r="K60" s="1">
        <v>0.8</v>
      </c>
      <c r="L60" s="1">
        <v>0.8</v>
      </c>
      <c r="M60" s="1">
        <v>0.8</v>
      </c>
      <c r="N60" s="102" t="s">
        <v>531</v>
      </c>
      <c r="O60" s="16">
        <v>0.54</v>
      </c>
      <c r="P60" s="16">
        <v>0.54</v>
      </c>
      <c r="Q60" s="16">
        <v>0.54</v>
      </c>
      <c r="R60" s="16">
        <v>0.54</v>
      </c>
      <c r="S60" s="16">
        <v>0.54</v>
      </c>
      <c r="T60" s="16">
        <v>0.54</v>
      </c>
      <c r="U60" s="16">
        <v>0.8</v>
      </c>
      <c r="V60" s="1">
        <v>0.8</v>
      </c>
      <c r="W60" s="1">
        <v>0.8</v>
      </c>
      <c r="X60" s="1">
        <v>0.8</v>
      </c>
      <c r="Y60" s="102" t="s">
        <v>531</v>
      </c>
      <c r="Z60" s="16">
        <v>0.54</v>
      </c>
      <c r="AA60" s="16">
        <v>0.54</v>
      </c>
      <c r="AB60" s="16">
        <v>0.54</v>
      </c>
      <c r="AC60" s="16">
        <v>0.54</v>
      </c>
      <c r="AD60" s="16">
        <v>0.54</v>
      </c>
      <c r="AE60" s="16">
        <v>0.54</v>
      </c>
      <c r="AF60" s="16">
        <v>0.8</v>
      </c>
      <c r="AG60" s="1">
        <v>0.8</v>
      </c>
      <c r="AH60" s="1">
        <v>0.8</v>
      </c>
      <c r="AI60" s="1">
        <v>0.8</v>
      </c>
      <c r="AJ60" s="102" t="s">
        <v>531</v>
      </c>
      <c r="AK60" s="16">
        <v>0.54</v>
      </c>
      <c r="AL60" s="16">
        <v>0.54</v>
      </c>
      <c r="AM60" s="16">
        <v>0.54</v>
      </c>
      <c r="AN60" s="16">
        <v>0.54</v>
      </c>
      <c r="AO60" s="16">
        <v>0.54</v>
      </c>
      <c r="AP60" s="16">
        <v>0.54</v>
      </c>
      <c r="AQ60" s="16">
        <v>0.8</v>
      </c>
      <c r="AR60" s="1">
        <v>0.8</v>
      </c>
      <c r="AS60" s="1">
        <v>0.8</v>
      </c>
      <c r="AT60" s="1">
        <v>0.8</v>
      </c>
    </row>
    <row r="61" spans="1:46">
      <c r="A61" s="102" t="s">
        <v>534</v>
      </c>
      <c r="B61" s="1">
        <v>0.28999999999999998</v>
      </c>
      <c r="C61" s="1">
        <v>0.28999999999999998</v>
      </c>
      <c r="D61" s="1">
        <v>0.28999999999999998</v>
      </c>
      <c r="E61" s="1">
        <v>0.28999999999999998</v>
      </c>
      <c r="F61" s="1">
        <v>0.27</v>
      </c>
      <c r="G61" s="1">
        <v>0.61</v>
      </c>
      <c r="H61" s="1">
        <v>0.61</v>
      </c>
      <c r="I61" s="1">
        <v>0.61</v>
      </c>
      <c r="J61" s="16">
        <v>0.8</v>
      </c>
      <c r="K61" s="1">
        <v>0.8</v>
      </c>
      <c r="L61" s="1">
        <v>0.8</v>
      </c>
      <c r="M61" s="1">
        <v>0.8</v>
      </c>
      <c r="N61" s="102" t="s">
        <v>534</v>
      </c>
      <c r="O61" s="16">
        <v>0.54</v>
      </c>
      <c r="P61" s="16">
        <v>0.54</v>
      </c>
      <c r="Q61" s="16">
        <v>0.54</v>
      </c>
      <c r="R61" s="16">
        <v>0.54</v>
      </c>
      <c r="S61" s="16">
        <v>0.54</v>
      </c>
      <c r="T61" s="16">
        <v>0.54</v>
      </c>
      <c r="U61" s="16">
        <v>0.8</v>
      </c>
      <c r="V61" s="1">
        <v>0.8</v>
      </c>
      <c r="W61" s="1">
        <v>0.8</v>
      </c>
      <c r="X61" s="1">
        <v>0.8</v>
      </c>
      <c r="Y61" s="102" t="s">
        <v>534</v>
      </c>
      <c r="Z61" s="16">
        <v>0.54</v>
      </c>
      <c r="AA61" s="16">
        <v>0.54</v>
      </c>
      <c r="AB61" s="16">
        <v>0.54</v>
      </c>
      <c r="AC61" s="16">
        <v>0.54</v>
      </c>
      <c r="AD61" s="16">
        <v>0.54</v>
      </c>
      <c r="AE61" s="16">
        <v>0.54</v>
      </c>
      <c r="AF61" s="16">
        <v>0.8</v>
      </c>
      <c r="AG61" s="1">
        <v>0.8</v>
      </c>
      <c r="AH61" s="1">
        <v>0.8</v>
      </c>
      <c r="AI61" s="1">
        <v>0.8</v>
      </c>
      <c r="AJ61" s="102" t="s">
        <v>534</v>
      </c>
      <c r="AK61" s="16">
        <v>0.54</v>
      </c>
      <c r="AL61" s="16">
        <v>0.54</v>
      </c>
      <c r="AM61" s="16">
        <v>0.54</v>
      </c>
      <c r="AN61" s="16">
        <v>0.54</v>
      </c>
      <c r="AO61" s="16">
        <v>0.54</v>
      </c>
      <c r="AP61" s="16">
        <v>0.54</v>
      </c>
      <c r="AQ61" s="16">
        <v>0.8</v>
      </c>
      <c r="AR61" s="1">
        <v>0.8</v>
      </c>
      <c r="AS61" s="1">
        <v>0.8</v>
      </c>
      <c r="AT61" s="1">
        <v>0.8</v>
      </c>
    </row>
    <row r="64" spans="1:46">
      <c r="A64" s="103" t="s">
        <v>1306</v>
      </c>
      <c r="N64" s="103"/>
      <c r="Y64" s="103" t="s">
        <v>1334</v>
      </c>
      <c r="AJ64" s="103" t="s">
        <v>1334</v>
      </c>
    </row>
    <row r="65" spans="1:46" ht="25">
      <c r="A65" s="103" t="s">
        <v>460</v>
      </c>
      <c r="B65" s="56" t="s">
        <v>459</v>
      </c>
      <c r="C65" s="56" t="s">
        <v>154</v>
      </c>
      <c r="D65" s="56" t="s">
        <v>603</v>
      </c>
      <c r="E65" s="56" t="s">
        <v>604</v>
      </c>
      <c r="F65" s="56" t="s">
        <v>162</v>
      </c>
      <c r="G65" s="56" t="s">
        <v>155</v>
      </c>
      <c r="H65" s="56" t="s">
        <v>156</v>
      </c>
      <c r="I65" s="56" t="s">
        <v>157</v>
      </c>
      <c r="J65" s="56" t="s">
        <v>141</v>
      </c>
      <c r="K65" s="56" t="s">
        <v>146</v>
      </c>
      <c r="L65" s="56" t="s">
        <v>149</v>
      </c>
      <c r="M65" s="56" t="s">
        <v>148</v>
      </c>
      <c r="N65" s="103" t="s">
        <v>93</v>
      </c>
      <c r="O65" s="56" t="s">
        <v>459</v>
      </c>
      <c r="P65" s="56" t="s">
        <v>604</v>
      </c>
      <c r="Q65" s="56" t="s">
        <v>162</v>
      </c>
      <c r="R65" s="56" t="s">
        <v>155</v>
      </c>
      <c r="S65" s="56" t="s">
        <v>156</v>
      </c>
      <c r="T65" s="56" t="s">
        <v>157</v>
      </c>
      <c r="U65" s="56" t="s">
        <v>141</v>
      </c>
      <c r="V65" s="56" t="s">
        <v>146</v>
      </c>
      <c r="W65" s="56" t="s">
        <v>149</v>
      </c>
      <c r="X65" s="56" t="s">
        <v>148</v>
      </c>
      <c r="Y65" s="103" t="s">
        <v>483</v>
      </c>
      <c r="Z65" s="56" t="s">
        <v>459</v>
      </c>
      <c r="AA65" s="56" t="s">
        <v>604</v>
      </c>
      <c r="AB65" s="56" t="s">
        <v>162</v>
      </c>
      <c r="AC65" s="56" t="s">
        <v>155</v>
      </c>
      <c r="AD65" s="56" t="s">
        <v>156</v>
      </c>
      <c r="AE65" s="56" t="s">
        <v>157</v>
      </c>
      <c r="AF65" s="56" t="s">
        <v>141</v>
      </c>
      <c r="AG65" s="56" t="s">
        <v>146</v>
      </c>
      <c r="AH65" s="56" t="s">
        <v>149</v>
      </c>
      <c r="AI65" s="56" t="s">
        <v>148</v>
      </c>
      <c r="AJ65" s="103" t="s">
        <v>482</v>
      </c>
      <c r="AK65" s="56" t="s">
        <v>459</v>
      </c>
      <c r="AL65" s="56" t="s">
        <v>604</v>
      </c>
      <c r="AM65" s="56" t="s">
        <v>162</v>
      </c>
      <c r="AN65" s="56" t="s">
        <v>155</v>
      </c>
      <c r="AO65" s="56" t="s">
        <v>156</v>
      </c>
      <c r="AP65" s="56" t="s">
        <v>157</v>
      </c>
      <c r="AQ65" s="56" t="s">
        <v>141</v>
      </c>
      <c r="AR65" s="56" t="s">
        <v>146</v>
      </c>
      <c r="AS65" s="56" t="s">
        <v>149</v>
      </c>
      <c r="AT65" s="56" t="s">
        <v>148</v>
      </c>
    </row>
    <row r="66" spans="1:46">
      <c r="A66" s="102" t="s">
        <v>490</v>
      </c>
      <c r="G66" s="16"/>
      <c r="N66" s="102" t="s">
        <v>490</v>
      </c>
      <c r="R66" s="16"/>
      <c r="Y66" s="102" t="s">
        <v>490</v>
      </c>
      <c r="AC66" s="16"/>
      <c r="AJ66" s="102" t="s">
        <v>490</v>
      </c>
      <c r="AN66" s="16"/>
    </row>
    <row r="67" spans="1:46">
      <c r="A67" s="102" t="s">
        <v>494</v>
      </c>
      <c r="G67" s="16"/>
      <c r="N67" s="102" t="s">
        <v>494</v>
      </c>
      <c r="R67" s="16"/>
      <c r="Y67" s="102" t="s">
        <v>494</v>
      </c>
      <c r="AC67" s="16"/>
      <c r="AJ67" s="102" t="s">
        <v>494</v>
      </c>
      <c r="AN67" s="16"/>
    </row>
    <row r="68" spans="1:46">
      <c r="A68" s="102" t="s">
        <v>498</v>
      </c>
      <c r="G68" s="16"/>
      <c r="N68" s="102" t="s">
        <v>498</v>
      </c>
      <c r="R68" s="16"/>
      <c r="Y68" s="102" t="s">
        <v>498</v>
      </c>
      <c r="AC68" s="16"/>
      <c r="AJ68" s="102" t="s">
        <v>498</v>
      </c>
      <c r="AN68" s="16"/>
    </row>
    <row r="69" spans="1:46">
      <c r="A69" s="102" t="s">
        <v>500</v>
      </c>
      <c r="G69" s="16"/>
      <c r="N69" s="102" t="s">
        <v>500</v>
      </c>
      <c r="R69" s="16"/>
      <c r="Y69" s="102" t="s">
        <v>500</v>
      </c>
      <c r="AC69" s="16"/>
      <c r="AJ69" s="102" t="s">
        <v>500</v>
      </c>
      <c r="AN69" s="16"/>
    </row>
    <row r="70" spans="1:46">
      <c r="A70" s="102" t="s">
        <v>505</v>
      </c>
      <c r="G70" s="16"/>
      <c r="N70" s="102" t="s">
        <v>505</v>
      </c>
      <c r="R70" s="16"/>
      <c r="Y70" s="102" t="s">
        <v>505</v>
      </c>
      <c r="AC70" s="16"/>
      <c r="AJ70" s="102" t="s">
        <v>505</v>
      </c>
      <c r="AN70" s="16"/>
    </row>
    <row r="71" spans="1:46">
      <c r="A71" s="102" t="s">
        <v>509</v>
      </c>
      <c r="G71" s="16"/>
      <c r="N71" s="102" t="s">
        <v>509</v>
      </c>
      <c r="R71" s="16"/>
      <c r="Y71" s="102" t="s">
        <v>509</v>
      </c>
      <c r="AC71" s="16"/>
      <c r="AJ71" s="102" t="s">
        <v>509</v>
      </c>
      <c r="AN71" s="16"/>
    </row>
    <row r="72" spans="1:46">
      <c r="A72" s="102" t="s">
        <v>512</v>
      </c>
      <c r="G72" s="16"/>
      <c r="N72" s="102" t="s">
        <v>512</v>
      </c>
      <c r="R72" s="16"/>
      <c r="Y72" s="102" t="s">
        <v>512</v>
      </c>
      <c r="AC72" s="16"/>
      <c r="AJ72" s="102" t="s">
        <v>512</v>
      </c>
      <c r="AN72" s="16"/>
    </row>
    <row r="73" spans="1:46">
      <c r="A73" s="102" t="s">
        <v>514</v>
      </c>
      <c r="G73" s="16"/>
      <c r="N73" s="102" t="s">
        <v>514</v>
      </c>
      <c r="R73" s="16"/>
      <c r="Y73" s="102" t="s">
        <v>514</v>
      </c>
      <c r="AC73" s="16"/>
      <c r="AJ73" s="102" t="s">
        <v>514</v>
      </c>
      <c r="AN73" s="16"/>
    </row>
    <row r="74" spans="1:46">
      <c r="A74" s="102" t="s">
        <v>516</v>
      </c>
      <c r="G74" s="16"/>
      <c r="N74" s="102" t="s">
        <v>516</v>
      </c>
      <c r="R74" s="16"/>
      <c r="Y74" s="102" t="s">
        <v>516</v>
      </c>
      <c r="AC74" s="16"/>
      <c r="AJ74" s="102" t="s">
        <v>516</v>
      </c>
      <c r="AN74" s="16"/>
    </row>
    <row r="75" spans="1:46">
      <c r="A75" s="102" t="s">
        <v>518</v>
      </c>
      <c r="G75" s="16"/>
      <c r="N75" s="102" t="s">
        <v>518</v>
      </c>
      <c r="R75" s="16"/>
      <c r="Y75" s="102" t="s">
        <v>518</v>
      </c>
      <c r="AC75" s="16"/>
      <c r="AJ75" s="102" t="s">
        <v>518</v>
      </c>
      <c r="AN75" s="16"/>
    </row>
    <row r="76" spans="1:46">
      <c r="A76" s="102" t="s">
        <v>520</v>
      </c>
      <c r="B76" s="214">
        <v>0.23</v>
      </c>
      <c r="C76" s="1">
        <v>0.23</v>
      </c>
      <c r="D76" s="1">
        <v>0.23</v>
      </c>
      <c r="E76" s="214">
        <v>0.23</v>
      </c>
      <c r="F76" s="214">
        <v>0.21</v>
      </c>
      <c r="G76" s="214">
        <v>0.45</v>
      </c>
      <c r="H76" s="214">
        <v>0.45</v>
      </c>
      <c r="I76" s="214">
        <v>0.45</v>
      </c>
      <c r="N76" s="102" t="s">
        <v>520</v>
      </c>
      <c r="R76" s="16"/>
      <c r="Y76" s="102" t="s">
        <v>520</v>
      </c>
      <c r="AC76" s="16"/>
      <c r="AJ76" s="102" t="s">
        <v>520</v>
      </c>
      <c r="AN76" s="16"/>
    </row>
    <row r="77" spans="1:46">
      <c r="A77" s="102" t="s">
        <v>523</v>
      </c>
      <c r="G77" s="16"/>
      <c r="N77" s="102" t="s">
        <v>523</v>
      </c>
      <c r="R77" s="16"/>
      <c r="Y77" s="102" t="s">
        <v>523</v>
      </c>
      <c r="AC77" s="16"/>
      <c r="AJ77" s="102" t="s">
        <v>523</v>
      </c>
      <c r="AN77" s="16"/>
    </row>
    <row r="78" spans="1:46">
      <c r="A78" s="102" t="s">
        <v>524</v>
      </c>
      <c r="B78" s="214">
        <v>0.22</v>
      </c>
      <c r="C78" s="1">
        <v>0.22</v>
      </c>
      <c r="D78" s="1">
        <v>0.22</v>
      </c>
      <c r="E78" s="214">
        <v>0.22</v>
      </c>
      <c r="F78" s="214">
        <v>0.21</v>
      </c>
      <c r="G78" s="214">
        <v>0.37</v>
      </c>
      <c r="H78" s="214">
        <v>0.37</v>
      </c>
      <c r="I78" s="214">
        <v>0.37</v>
      </c>
      <c r="N78" s="102" t="s">
        <v>524</v>
      </c>
      <c r="R78" s="16"/>
      <c r="Y78" s="102" t="s">
        <v>524</v>
      </c>
      <c r="AC78" s="16"/>
      <c r="AJ78" s="102" t="s">
        <v>524</v>
      </c>
      <c r="AN78" s="16"/>
    </row>
    <row r="79" spans="1:46">
      <c r="A79" s="102" t="s">
        <v>526</v>
      </c>
      <c r="G79" s="16"/>
      <c r="N79" s="102" t="s">
        <v>526</v>
      </c>
      <c r="R79" s="16"/>
      <c r="Y79" s="102" t="s">
        <v>526</v>
      </c>
      <c r="AC79" s="16"/>
      <c r="AJ79" s="102" t="s">
        <v>526</v>
      </c>
      <c r="AN79" s="16"/>
    </row>
    <row r="80" spans="1:46">
      <c r="A80" s="102" t="s">
        <v>528</v>
      </c>
      <c r="B80" s="214">
        <v>0.22</v>
      </c>
      <c r="C80" s="1">
        <v>0.22</v>
      </c>
      <c r="D80" s="1">
        <v>0.22</v>
      </c>
      <c r="E80" s="214">
        <v>0.22</v>
      </c>
      <c r="F80" s="214">
        <v>0.18</v>
      </c>
      <c r="G80" s="214">
        <v>0.87</v>
      </c>
      <c r="H80" s="214">
        <v>0.87</v>
      </c>
      <c r="I80" s="214">
        <v>0.87</v>
      </c>
      <c r="N80" s="102" t="s">
        <v>528</v>
      </c>
      <c r="R80" s="16"/>
      <c r="Y80" s="102" t="s">
        <v>528</v>
      </c>
      <c r="AC80" s="16"/>
      <c r="AJ80" s="102" t="s">
        <v>528</v>
      </c>
      <c r="AN80" s="16"/>
    </row>
    <row r="81" spans="1:46">
      <c r="A81" s="102" t="s">
        <v>531</v>
      </c>
      <c r="G81" s="16"/>
      <c r="N81" s="102" t="s">
        <v>531</v>
      </c>
      <c r="R81" s="16"/>
      <c r="Y81" s="102" t="s">
        <v>531</v>
      </c>
      <c r="AC81" s="16"/>
      <c r="AJ81" s="102" t="s">
        <v>531</v>
      </c>
      <c r="AN81" s="16"/>
    </row>
    <row r="82" spans="1:46">
      <c r="A82" s="102" t="s">
        <v>534</v>
      </c>
      <c r="B82" s="214">
        <v>0.2</v>
      </c>
      <c r="C82" s="1">
        <v>0.2</v>
      </c>
      <c r="D82" s="1">
        <v>0.2</v>
      </c>
      <c r="E82" s="214">
        <v>0.2</v>
      </c>
      <c r="F82" s="214">
        <v>0.19</v>
      </c>
      <c r="G82" s="214">
        <v>0.43</v>
      </c>
      <c r="H82" s="214">
        <v>0.43</v>
      </c>
      <c r="I82" s="214">
        <v>0.43</v>
      </c>
      <c r="N82" s="102" t="s">
        <v>534</v>
      </c>
      <c r="R82" s="16"/>
      <c r="Y82" s="102" t="s">
        <v>534</v>
      </c>
      <c r="AC82" s="16"/>
      <c r="AJ82" s="102" t="s">
        <v>534</v>
      </c>
      <c r="AN82" s="16"/>
    </row>
    <row r="85" spans="1:46">
      <c r="A85" s="103" t="s">
        <v>503</v>
      </c>
      <c r="N85" s="103"/>
      <c r="Y85" s="103" t="s">
        <v>503</v>
      </c>
      <c r="AJ85" s="103" t="s">
        <v>503</v>
      </c>
    </row>
    <row r="86" spans="1:46" ht="25">
      <c r="A86" s="103" t="s">
        <v>460</v>
      </c>
      <c r="B86" s="56" t="s">
        <v>459</v>
      </c>
      <c r="C86" s="56" t="s">
        <v>154</v>
      </c>
      <c r="D86" s="56" t="s">
        <v>603</v>
      </c>
      <c r="E86" s="56" t="s">
        <v>604</v>
      </c>
      <c r="F86" s="56" t="s">
        <v>162</v>
      </c>
      <c r="G86" s="56" t="s">
        <v>155</v>
      </c>
      <c r="H86" s="56" t="s">
        <v>156</v>
      </c>
      <c r="I86" s="56" t="s">
        <v>157</v>
      </c>
      <c r="J86" s="56" t="s">
        <v>141</v>
      </c>
      <c r="K86" s="56" t="s">
        <v>146</v>
      </c>
      <c r="L86" s="56" t="s">
        <v>149</v>
      </c>
      <c r="M86" s="56" t="s">
        <v>148</v>
      </c>
      <c r="N86" s="103" t="s">
        <v>93</v>
      </c>
      <c r="O86" s="56" t="s">
        <v>459</v>
      </c>
      <c r="P86" s="56" t="s">
        <v>604</v>
      </c>
      <c r="Q86" s="56" t="s">
        <v>162</v>
      </c>
      <c r="R86" s="56" t="s">
        <v>155</v>
      </c>
      <c r="S86" s="56" t="s">
        <v>156</v>
      </c>
      <c r="T86" s="56" t="s">
        <v>157</v>
      </c>
      <c r="U86" s="56" t="s">
        <v>141</v>
      </c>
      <c r="V86" s="56" t="s">
        <v>146</v>
      </c>
      <c r="W86" s="56" t="s">
        <v>149</v>
      </c>
      <c r="X86" s="56" t="s">
        <v>148</v>
      </c>
      <c r="Y86" s="103" t="s">
        <v>483</v>
      </c>
      <c r="Z86" s="56" t="s">
        <v>459</v>
      </c>
      <c r="AA86" s="56" t="s">
        <v>604</v>
      </c>
      <c r="AB86" s="56" t="s">
        <v>162</v>
      </c>
      <c r="AC86" s="56" t="s">
        <v>155</v>
      </c>
      <c r="AD86" s="56" t="s">
        <v>156</v>
      </c>
      <c r="AE86" s="56" t="s">
        <v>157</v>
      </c>
      <c r="AF86" s="56" t="s">
        <v>141</v>
      </c>
      <c r="AG86" s="56" t="s">
        <v>146</v>
      </c>
      <c r="AH86" s="56" t="s">
        <v>149</v>
      </c>
      <c r="AI86" s="56" t="s">
        <v>148</v>
      </c>
      <c r="AJ86" s="103" t="s">
        <v>482</v>
      </c>
      <c r="AK86" s="56" t="s">
        <v>459</v>
      </c>
      <c r="AL86" s="56" t="s">
        <v>604</v>
      </c>
      <c r="AM86" s="56" t="s">
        <v>162</v>
      </c>
      <c r="AN86" s="56" t="s">
        <v>155</v>
      </c>
      <c r="AO86" s="56" t="s">
        <v>156</v>
      </c>
      <c r="AP86" s="56" t="s">
        <v>157</v>
      </c>
      <c r="AQ86" s="56" t="s">
        <v>141</v>
      </c>
      <c r="AR86" s="56" t="s">
        <v>146</v>
      </c>
      <c r="AS86" s="56" t="s">
        <v>149</v>
      </c>
      <c r="AT86" s="56" t="s">
        <v>148</v>
      </c>
    </row>
    <row r="87" spans="1:46">
      <c r="A87" s="102" t="s">
        <v>490</v>
      </c>
      <c r="B87" s="16">
        <v>0.5</v>
      </c>
      <c r="C87" s="1">
        <v>0.5</v>
      </c>
      <c r="D87" s="1">
        <v>0.5</v>
      </c>
      <c r="E87" s="16">
        <v>0.8</v>
      </c>
      <c r="F87" s="16">
        <v>0.3</v>
      </c>
      <c r="G87" s="16">
        <v>0.2</v>
      </c>
      <c r="H87" s="16">
        <v>0.2</v>
      </c>
      <c r="I87" s="16">
        <v>0.8</v>
      </c>
      <c r="J87" s="16">
        <v>0.8</v>
      </c>
      <c r="K87" s="1">
        <v>0.8</v>
      </c>
      <c r="L87" s="1">
        <v>0.8</v>
      </c>
      <c r="M87" s="1">
        <v>0.8</v>
      </c>
      <c r="N87" s="102" t="s">
        <v>490</v>
      </c>
      <c r="O87" s="16">
        <v>0.5</v>
      </c>
      <c r="P87" s="16">
        <v>0.8</v>
      </c>
      <c r="Q87" s="16">
        <v>0.3</v>
      </c>
      <c r="R87" s="16">
        <v>0.2</v>
      </c>
      <c r="S87" s="16">
        <v>0.2</v>
      </c>
      <c r="T87" s="16">
        <v>0.8</v>
      </c>
      <c r="U87" s="16">
        <v>0.8</v>
      </c>
      <c r="V87" s="1">
        <v>0.8</v>
      </c>
      <c r="W87" s="1">
        <v>0.8</v>
      </c>
      <c r="X87" s="1">
        <v>0.8</v>
      </c>
      <c r="Y87" s="102" t="s">
        <v>490</v>
      </c>
      <c r="Z87" s="16">
        <v>0.5</v>
      </c>
      <c r="AA87" s="16">
        <v>0.8</v>
      </c>
      <c r="AB87" s="16">
        <v>0.3</v>
      </c>
      <c r="AC87" s="16">
        <v>0.2</v>
      </c>
      <c r="AD87" s="16">
        <v>0.2</v>
      </c>
      <c r="AE87" s="16">
        <v>0.8</v>
      </c>
      <c r="AF87" s="16">
        <v>0.8</v>
      </c>
      <c r="AG87" s="1">
        <v>0.8</v>
      </c>
      <c r="AH87" s="1">
        <v>0.8</v>
      </c>
      <c r="AI87" s="1">
        <v>0.8</v>
      </c>
      <c r="AJ87" s="102" t="s">
        <v>490</v>
      </c>
      <c r="AK87" s="16">
        <v>0.5</v>
      </c>
      <c r="AL87" s="16">
        <v>0.8</v>
      </c>
      <c r="AM87" s="16">
        <v>0.3</v>
      </c>
      <c r="AN87" s="16">
        <v>0.2</v>
      </c>
      <c r="AO87" s="16">
        <v>0.2</v>
      </c>
      <c r="AP87" s="16">
        <v>0.8</v>
      </c>
      <c r="AQ87" s="16">
        <v>0.8</v>
      </c>
      <c r="AR87" s="1">
        <v>0.8</v>
      </c>
      <c r="AS87" s="1">
        <v>0.8</v>
      </c>
      <c r="AT87" s="1">
        <v>0.8</v>
      </c>
    </row>
    <row r="88" spans="1:46">
      <c r="A88" s="102" t="s">
        <v>494</v>
      </c>
      <c r="B88" s="16">
        <v>0.5</v>
      </c>
      <c r="C88" s="1">
        <v>0.5</v>
      </c>
      <c r="D88" s="1">
        <v>0.5</v>
      </c>
      <c r="E88" s="16">
        <v>0.8</v>
      </c>
      <c r="F88" s="16">
        <v>0.3</v>
      </c>
      <c r="G88" s="16">
        <v>0.2</v>
      </c>
      <c r="H88" s="16">
        <v>0.2</v>
      </c>
      <c r="I88" s="16">
        <v>0.8</v>
      </c>
      <c r="J88" s="16">
        <v>0.8</v>
      </c>
      <c r="K88" s="1">
        <v>0.8</v>
      </c>
      <c r="L88" s="1">
        <v>0.8</v>
      </c>
      <c r="M88" s="1">
        <v>0.8</v>
      </c>
      <c r="N88" s="102" t="s">
        <v>494</v>
      </c>
      <c r="O88" s="16">
        <v>0.5</v>
      </c>
      <c r="P88" s="16">
        <v>0.8</v>
      </c>
      <c r="Q88" s="16">
        <v>0.3</v>
      </c>
      <c r="R88" s="16">
        <v>0.2</v>
      </c>
      <c r="S88" s="16">
        <v>0.2</v>
      </c>
      <c r="T88" s="16">
        <v>0.8</v>
      </c>
      <c r="U88" s="16">
        <v>0.8</v>
      </c>
      <c r="V88" s="1">
        <v>0.8</v>
      </c>
      <c r="W88" s="1">
        <v>0.8</v>
      </c>
      <c r="X88" s="1">
        <v>0.8</v>
      </c>
      <c r="Y88" s="102" t="s">
        <v>494</v>
      </c>
      <c r="Z88" s="16">
        <v>0.5</v>
      </c>
      <c r="AA88" s="16">
        <v>0.8</v>
      </c>
      <c r="AB88" s="16">
        <v>0.3</v>
      </c>
      <c r="AC88" s="16">
        <v>0.2</v>
      </c>
      <c r="AD88" s="16">
        <v>0.2</v>
      </c>
      <c r="AE88" s="16">
        <v>0.8</v>
      </c>
      <c r="AF88" s="16">
        <v>0.8</v>
      </c>
      <c r="AG88" s="1">
        <v>0.8</v>
      </c>
      <c r="AH88" s="1">
        <v>0.8</v>
      </c>
      <c r="AI88" s="1">
        <v>0.8</v>
      </c>
      <c r="AJ88" s="102" t="s">
        <v>494</v>
      </c>
      <c r="AK88" s="16">
        <v>0.5</v>
      </c>
      <c r="AL88" s="16">
        <v>0.8</v>
      </c>
      <c r="AM88" s="16">
        <v>0.3</v>
      </c>
      <c r="AN88" s="16">
        <v>0.2</v>
      </c>
      <c r="AO88" s="16">
        <v>0.2</v>
      </c>
      <c r="AP88" s="16">
        <v>0.8</v>
      </c>
      <c r="AQ88" s="16">
        <v>0.8</v>
      </c>
      <c r="AR88" s="1">
        <v>0.8</v>
      </c>
      <c r="AS88" s="1">
        <v>0.8</v>
      </c>
      <c r="AT88" s="1">
        <v>0.8</v>
      </c>
    </row>
    <row r="89" spans="1:46">
      <c r="A89" s="102" t="s">
        <v>498</v>
      </c>
      <c r="B89" s="16">
        <v>0.5</v>
      </c>
      <c r="C89" s="1">
        <v>0.5</v>
      </c>
      <c r="D89" s="1">
        <v>0.5</v>
      </c>
      <c r="E89" s="16">
        <v>0.8</v>
      </c>
      <c r="F89" s="16">
        <v>0.3</v>
      </c>
      <c r="G89" s="16">
        <v>0.2</v>
      </c>
      <c r="H89" s="16">
        <v>0.2</v>
      </c>
      <c r="I89" s="16">
        <v>0.8</v>
      </c>
      <c r="J89" s="16">
        <v>0.8</v>
      </c>
      <c r="K89" s="1">
        <v>0.8</v>
      </c>
      <c r="L89" s="1">
        <v>0.8</v>
      </c>
      <c r="M89" s="1">
        <v>0.8</v>
      </c>
      <c r="N89" s="102" t="s">
        <v>498</v>
      </c>
      <c r="O89" s="16">
        <v>0.5</v>
      </c>
      <c r="P89" s="16">
        <v>0.8</v>
      </c>
      <c r="Q89" s="16">
        <v>0.3</v>
      </c>
      <c r="R89" s="16">
        <v>0.2</v>
      </c>
      <c r="S89" s="16">
        <v>0.2</v>
      </c>
      <c r="T89" s="16">
        <v>0.8</v>
      </c>
      <c r="U89" s="16">
        <v>0.8</v>
      </c>
      <c r="V89" s="1">
        <v>0.8</v>
      </c>
      <c r="W89" s="1">
        <v>0.8</v>
      </c>
      <c r="X89" s="1">
        <v>0.8</v>
      </c>
      <c r="Y89" s="102" t="s">
        <v>498</v>
      </c>
      <c r="Z89" s="16">
        <v>0.5</v>
      </c>
      <c r="AA89" s="16">
        <v>0.8</v>
      </c>
      <c r="AB89" s="16">
        <v>0.3</v>
      </c>
      <c r="AC89" s="16">
        <v>0.2</v>
      </c>
      <c r="AD89" s="16">
        <v>0.2</v>
      </c>
      <c r="AE89" s="16">
        <v>0.8</v>
      </c>
      <c r="AF89" s="16">
        <v>0.8</v>
      </c>
      <c r="AG89" s="1">
        <v>0.8</v>
      </c>
      <c r="AH89" s="1">
        <v>0.8</v>
      </c>
      <c r="AI89" s="1">
        <v>0.8</v>
      </c>
      <c r="AJ89" s="102" t="s">
        <v>498</v>
      </c>
      <c r="AK89" s="16">
        <v>0.5</v>
      </c>
      <c r="AL89" s="16">
        <v>0.8</v>
      </c>
      <c r="AM89" s="16">
        <v>0.3</v>
      </c>
      <c r="AN89" s="16">
        <v>0.2</v>
      </c>
      <c r="AO89" s="16">
        <v>0.2</v>
      </c>
      <c r="AP89" s="16">
        <v>0.8</v>
      </c>
      <c r="AQ89" s="16">
        <v>0.8</v>
      </c>
      <c r="AR89" s="1">
        <v>0.8</v>
      </c>
      <c r="AS89" s="1">
        <v>0.8</v>
      </c>
      <c r="AT89" s="1">
        <v>0.8</v>
      </c>
    </row>
    <row r="90" spans="1:46">
      <c r="A90" s="102" t="s">
        <v>500</v>
      </c>
      <c r="B90" s="16">
        <v>0.5</v>
      </c>
      <c r="C90" s="1">
        <v>0.5</v>
      </c>
      <c r="D90" s="1">
        <v>0.5</v>
      </c>
      <c r="E90" s="16">
        <v>0.8</v>
      </c>
      <c r="F90" s="16">
        <v>0.3</v>
      </c>
      <c r="G90" s="16">
        <v>0.2</v>
      </c>
      <c r="H90" s="16">
        <v>0.2</v>
      </c>
      <c r="I90" s="16">
        <v>0.8</v>
      </c>
      <c r="J90" s="16">
        <v>0.8</v>
      </c>
      <c r="K90" s="1">
        <v>0.8</v>
      </c>
      <c r="L90" s="1">
        <v>0.8</v>
      </c>
      <c r="M90" s="1">
        <v>0.8</v>
      </c>
      <c r="N90" s="102" t="s">
        <v>500</v>
      </c>
      <c r="O90" s="16">
        <v>0.5</v>
      </c>
      <c r="P90" s="16">
        <v>0.8</v>
      </c>
      <c r="Q90" s="16">
        <v>0.3</v>
      </c>
      <c r="R90" s="16">
        <v>0.2</v>
      </c>
      <c r="S90" s="16">
        <v>0.2</v>
      </c>
      <c r="T90" s="16">
        <v>0.8</v>
      </c>
      <c r="U90" s="16">
        <v>0.8</v>
      </c>
      <c r="V90" s="1">
        <v>0.8</v>
      </c>
      <c r="W90" s="1">
        <v>0.8</v>
      </c>
      <c r="X90" s="1">
        <v>0.8</v>
      </c>
      <c r="Y90" s="102" t="s">
        <v>500</v>
      </c>
      <c r="Z90" s="16">
        <v>0.5</v>
      </c>
      <c r="AA90" s="16">
        <v>0.8</v>
      </c>
      <c r="AB90" s="16">
        <v>0.3</v>
      </c>
      <c r="AC90" s="16">
        <v>0.2</v>
      </c>
      <c r="AD90" s="16">
        <v>0.2</v>
      </c>
      <c r="AE90" s="16">
        <v>0.8</v>
      </c>
      <c r="AF90" s="16">
        <v>0.8</v>
      </c>
      <c r="AG90" s="1">
        <v>0.8</v>
      </c>
      <c r="AH90" s="1">
        <v>0.8</v>
      </c>
      <c r="AI90" s="1">
        <v>0.8</v>
      </c>
      <c r="AJ90" s="102" t="s">
        <v>500</v>
      </c>
      <c r="AK90" s="16">
        <v>0.5</v>
      </c>
      <c r="AL90" s="16">
        <v>0.8</v>
      </c>
      <c r="AM90" s="16">
        <v>0.3</v>
      </c>
      <c r="AN90" s="16">
        <v>0.2</v>
      </c>
      <c r="AO90" s="16">
        <v>0.2</v>
      </c>
      <c r="AP90" s="16">
        <v>0.8</v>
      </c>
      <c r="AQ90" s="16">
        <v>0.8</v>
      </c>
      <c r="AR90" s="1">
        <v>0.8</v>
      </c>
      <c r="AS90" s="1">
        <v>0.8</v>
      </c>
      <c r="AT90" s="1">
        <v>0.8</v>
      </c>
    </row>
    <row r="91" spans="1:46">
      <c r="A91" s="102" t="s">
        <v>505</v>
      </c>
      <c r="B91" s="16">
        <v>0.5</v>
      </c>
      <c r="C91" s="1">
        <v>0.5</v>
      </c>
      <c r="D91" s="1">
        <v>0.5</v>
      </c>
      <c r="E91" s="16">
        <v>0.8</v>
      </c>
      <c r="F91" s="16">
        <v>0.3</v>
      </c>
      <c r="G91" s="16">
        <v>0.2</v>
      </c>
      <c r="H91" s="16">
        <v>0.2</v>
      </c>
      <c r="I91" s="16">
        <v>0.8</v>
      </c>
      <c r="J91" s="16">
        <v>0.8</v>
      </c>
      <c r="K91" s="1">
        <v>0.8</v>
      </c>
      <c r="L91" s="1">
        <v>0.8</v>
      </c>
      <c r="M91" s="1">
        <v>0.8</v>
      </c>
      <c r="N91" s="102" t="s">
        <v>505</v>
      </c>
      <c r="O91" s="16">
        <v>0.5</v>
      </c>
      <c r="P91" s="16">
        <v>0.8</v>
      </c>
      <c r="Q91" s="16">
        <v>0.3</v>
      </c>
      <c r="R91" s="16">
        <v>0.2</v>
      </c>
      <c r="S91" s="16">
        <v>0.2</v>
      </c>
      <c r="T91" s="16">
        <v>0.8</v>
      </c>
      <c r="U91" s="16">
        <v>0.8</v>
      </c>
      <c r="V91" s="1">
        <v>0.8</v>
      </c>
      <c r="W91" s="1">
        <v>0.8</v>
      </c>
      <c r="X91" s="1">
        <v>0.8</v>
      </c>
      <c r="Y91" s="102" t="s">
        <v>505</v>
      </c>
      <c r="Z91" s="16">
        <v>0.5</v>
      </c>
      <c r="AA91" s="16">
        <v>0.8</v>
      </c>
      <c r="AB91" s="16">
        <v>0.3</v>
      </c>
      <c r="AC91" s="16">
        <v>0.2</v>
      </c>
      <c r="AD91" s="16">
        <v>0.2</v>
      </c>
      <c r="AE91" s="16">
        <v>0.8</v>
      </c>
      <c r="AF91" s="16">
        <v>0.8</v>
      </c>
      <c r="AG91" s="1">
        <v>0.8</v>
      </c>
      <c r="AH91" s="1">
        <v>0.8</v>
      </c>
      <c r="AI91" s="1">
        <v>0.8</v>
      </c>
      <c r="AJ91" s="102" t="s">
        <v>505</v>
      </c>
      <c r="AK91" s="16">
        <v>0.5</v>
      </c>
      <c r="AL91" s="16">
        <v>0.8</v>
      </c>
      <c r="AM91" s="16">
        <v>0.3</v>
      </c>
      <c r="AN91" s="16">
        <v>0.2</v>
      </c>
      <c r="AO91" s="16">
        <v>0.2</v>
      </c>
      <c r="AP91" s="16">
        <v>0.8</v>
      </c>
      <c r="AQ91" s="16">
        <v>0.8</v>
      </c>
      <c r="AR91" s="1">
        <v>0.8</v>
      </c>
      <c r="AS91" s="1">
        <v>0.8</v>
      </c>
      <c r="AT91" s="1">
        <v>0.8</v>
      </c>
    </row>
    <row r="92" spans="1:46">
      <c r="A92" s="102" t="s">
        <v>509</v>
      </c>
      <c r="B92" s="16">
        <v>0.5</v>
      </c>
      <c r="C92" s="1">
        <v>0.5</v>
      </c>
      <c r="D92" s="1">
        <v>0.5</v>
      </c>
      <c r="E92" s="16">
        <v>0.8</v>
      </c>
      <c r="F92" s="16">
        <v>0.3</v>
      </c>
      <c r="G92" s="16">
        <v>0.2</v>
      </c>
      <c r="H92" s="16">
        <v>0.2</v>
      </c>
      <c r="I92" s="16">
        <v>0.8</v>
      </c>
      <c r="J92" s="16">
        <v>0.8</v>
      </c>
      <c r="K92" s="1">
        <v>0.8</v>
      </c>
      <c r="L92" s="1">
        <v>0.8</v>
      </c>
      <c r="M92" s="1">
        <v>0.8</v>
      </c>
      <c r="N92" s="102" t="s">
        <v>509</v>
      </c>
      <c r="O92" s="16">
        <v>0.5</v>
      </c>
      <c r="P92" s="16">
        <v>0.8</v>
      </c>
      <c r="Q92" s="16">
        <v>0.3</v>
      </c>
      <c r="R92" s="16">
        <v>0.2</v>
      </c>
      <c r="S92" s="16">
        <v>0.2</v>
      </c>
      <c r="T92" s="16">
        <v>0.8</v>
      </c>
      <c r="U92" s="16">
        <v>0.8</v>
      </c>
      <c r="V92" s="1">
        <v>0.8</v>
      </c>
      <c r="W92" s="1">
        <v>0.8</v>
      </c>
      <c r="X92" s="1">
        <v>0.8</v>
      </c>
      <c r="Y92" s="102" t="s">
        <v>509</v>
      </c>
      <c r="Z92" s="16">
        <v>0.5</v>
      </c>
      <c r="AA92" s="16">
        <v>0.8</v>
      </c>
      <c r="AB92" s="16">
        <v>0.3</v>
      </c>
      <c r="AC92" s="16">
        <v>0.2</v>
      </c>
      <c r="AD92" s="16">
        <v>0.2</v>
      </c>
      <c r="AE92" s="16">
        <v>0.8</v>
      </c>
      <c r="AF92" s="16">
        <v>0.8</v>
      </c>
      <c r="AG92" s="1">
        <v>0.8</v>
      </c>
      <c r="AH92" s="1">
        <v>0.8</v>
      </c>
      <c r="AI92" s="1">
        <v>0.8</v>
      </c>
      <c r="AJ92" s="102" t="s">
        <v>509</v>
      </c>
      <c r="AK92" s="16">
        <v>0.5</v>
      </c>
      <c r="AL92" s="16">
        <v>0.8</v>
      </c>
      <c r="AM92" s="16">
        <v>0.3</v>
      </c>
      <c r="AN92" s="16">
        <v>0.2</v>
      </c>
      <c r="AO92" s="16">
        <v>0.2</v>
      </c>
      <c r="AP92" s="16">
        <v>0.8</v>
      </c>
      <c r="AQ92" s="16">
        <v>0.8</v>
      </c>
      <c r="AR92" s="1">
        <v>0.8</v>
      </c>
      <c r="AS92" s="1">
        <v>0.8</v>
      </c>
      <c r="AT92" s="1">
        <v>0.8</v>
      </c>
    </row>
    <row r="93" spans="1:46">
      <c r="A93" s="102" t="s">
        <v>512</v>
      </c>
      <c r="B93" s="16">
        <v>0.5</v>
      </c>
      <c r="C93" s="1">
        <v>0.5</v>
      </c>
      <c r="D93" s="1">
        <v>0.5</v>
      </c>
      <c r="E93" s="16">
        <v>0.8</v>
      </c>
      <c r="F93" s="16">
        <v>0.3</v>
      </c>
      <c r="G93" s="16">
        <v>0.2</v>
      </c>
      <c r="H93" s="16">
        <v>0.2</v>
      </c>
      <c r="I93" s="16">
        <v>0.8</v>
      </c>
      <c r="J93" s="16">
        <v>0.8</v>
      </c>
      <c r="K93" s="1">
        <v>0.8</v>
      </c>
      <c r="L93" s="1">
        <v>0.8</v>
      </c>
      <c r="M93" s="1">
        <v>0.8</v>
      </c>
      <c r="N93" s="102" t="s">
        <v>512</v>
      </c>
      <c r="O93" s="16">
        <v>0.5</v>
      </c>
      <c r="P93" s="16">
        <v>0.8</v>
      </c>
      <c r="Q93" s="16">
        <v>0.3</v>
      </c>
      <c r="R93" s="16">
        <v>0.2</v>
      </c>
      <c r="S93" s="16">
        <v>0.2</v>
      </c>
      <c r="T93" s="16">
        <v>0.8</v>
      </c>
      <c r="U93" s="16">
        <v>0.8</v>
      </c>
      <c r="V93" s="1">
        <v>0.8</v>
      </c>
      <c r="W93" s="1">
        <v>0.8</v>
      </c>
      <c r="X93" s="1">
        <v>0.8</v>
      </c>
      <c r="Y93" s="102" t="s">
        <v>512</v>
      </c>
      <c r="Z93" s="16">
        <v>0.5</v>
      </c>
      <c r="AA93" s="16">
        <v>0.8</v>
      </c>
      <c r="AB93" s="16">
        <v>0.3</v>
      </c>
      <c r="AC93" s="16">
        <v>0.2</v>
      </c>
      <c r="AD93" s="16">
        <v>0.2</v>
      </c>
      <c r="AE93" s="16">
        <v>0.8</v>
      </c>
      <c r="AF93" s="16">
        <v>0.8</v>
      </c>
      <c r="AG93" s="1">
        <v>0.8</v>
      </c>
      <c r="AH93" s="1">
        <v>0.8</v>
      </c>
      <c r="AI93" s="1">
        <v>0.8</v>
      </c>
      <c r="AJ93" s="102" t="s">
        <v>512</v>
      </c>
      <c r="AK93" s="16">
        <v>0.5</v>
      </c>
      <c r="AL93" s="16">
        <v>0.8</v>
      </c>
      <c r="AM93" s="16">
        <v>0.3</v>
      </c>
      <c r="AN93" s="16">
        <v>0.2</v>
      </c>
      <c r="AO93" s="16">
        <v>0.2</v>
      </c>
      <c r="AP93" s="16">
        <v>0.8</v>
      </c>
      <c r="AQ93" s="16">
        <v>0.8</v>
      </c>
      <c r="AR93" s="1">
        <v>0.8</v>
      </c>
      <c r="AS93" s="1">
        <v>0.8</v>
      </c>
      <c r="AT93" s="1">
        <v>0.8</v>
      </c>
    </row>
    <row r="94" spans="1:46">
      <c r="A94" s="102" t="s">
        <v>514</v>
      </c>
      <c r="B94" s="16">
        <v>0.5</v>
      </c>
      <c r="C94" s="1">
        <v>0.5</v>
      </c>
      <c r="D94" s="1">
        <v>0.5</v>
      </c>
      <c r="E94" s="16">
        <v>0.8</v>
      </c>
      <c r="F94" s="16">
        <v>0.3</v>
      </c>
      <c r="G94" s="16">
        <v>0.2</v>
      </c>
      <c r="H94" s="16">
        <v>0.2</v>
      </c>
      <c r="I94" s="16">
        <v>0.8</v>
      </c>
      <c r="J94" s="16">
        <v>0.8</v>
      </c>
      <c r="K94" s="1">
        <v>0.8</v>
      </c>
      <c r="L94" s="1">
        <v>0.8</v>
      </c>
      <c r="M94" s="1">
        <v>0.8</v>
      </c>
      <c r="N94" s="102" t="s">
        <v>514</v>
      </c>
      <c r="O94" s="16">
        <v>0.5</v>
      </c>
      <c r="P94" s="16">
        <v>0.8</v>
      </c>
      <c r="Q94" s="16">
        <v>0.3</v>
      </c>
      <c r="R94" s="16">
        <v>0.2</v>
      </c>
      <c r="S94" s="16">
        <v>0.2</v>
      </c>
      <c r="T94" s="16">
        <v>0.8</v>
      </c>
      <c r="U94" s="16">
        <v>0.8</v>
      </c>
      <c r="V94" s="1">
        <v>0.8</v>
      </c>
      <c r="W94" s="1">
        <v>0.8</v>
      </c>
      <c r="X94" s="1">
        <v>0.8</v>
      </c>
      <c r="Y94" s="102" t="s">
        <v>514</v>
      </c>
      <c r="Z94" s="16">
        <v>0.5</v>
      </c>
      <c r="AA94" s="16">
        <v>0.8</v>
      </c>
      <c r="AB94" s="16">
        <v>0.3</v>
      </c>
      <c r="AC94" s="16">
        <v>0.2</v>
      </c>
      <c r="AD94" s="16">
        <v>0.2</v>
      </c>
      <c r="AE94" s="16">
        <v>0.8</v>
      </c>
      <c r="AF94" s="16">
        <v>0.8</v>
      </c>
      <c r="AG94" s="1">
        <v>0.8</v>
      </c>
      <c r="AH94" s="1">
        <v>0.8</v>
      </c>
      <c r="AI94" s="1">
        <v>0.8</v>
      </c>
      <c r="AJ94" s="102" t="s">
        <v>514</v>
      </c>
      <c r="AK94" s="16">
        <v>0.5</v>
      </c>
      <c r="AL94" s="16">
        <v>0.8</v>
      </c>
      <c r="AM94" s="16">
        <v>0.3</v>
      </c>
      <c r="AN94" s="16">
        <v>0.2</v>
      </c>
      <c r="AO94" s="16">
        <v>0.2</v>
      </c>
      <c r="AP94" s="16">
        <v>0.8</v>
      </c>
      <c r="AQ94" s="16">
        <v>0.8</v>
      </c>
      <c r="AR94" s="1">
        <v>0.8</v>
      </c>
      <c r="AS94" s="1">
        <v>0.8</v>
      </c>
      <c r="AT94" s="1">
        <v>0.8</v>
      </c>
    </row>
    <row r="95" spans="1:46">
      <c r="A95" s="102" t="s">
        <v>516</v>
      </c>
      <c r="B95" s="16">
        <v>0.5</v>
      </c>
      <c r="C95" s="1">
        <v>0.5</v>
      </c>
      <c r="D95" s="1">
        <v>0.5</v>
      </c>
      <c r="E95" s="16">
        <v>0.8</v>
      </c>
      <c r="F95" s="16">
        <v>0.3</v>
      </c>
      <c r="G95" s="16">
        <v>0.2</v>
      </c>
      <c r="H95" s="16">
        <v>0.2</v>
      </c>
      <c r="I95" s="16">
        <v>0.8</v>
      </c>
      <c r="J95" s="16">
        <v>0.8</v>
      </c>
      <c r="K95" s="1">
        <v>0.8</v>
      </c>
      <c r="L95" s="1">
        <v>0.8</v>
      </c>
      <c r="M95" s="1">
        <v>0.8</v>
      </c>
      <c r="N95" s="102" t="s">
        <v>516</v>
      </c>
      <c r="O95" s="16">
        <v>0.5</v>
      </c>
      <c r="P95" s="16">
        <v>0.8</v>
      </c>
      <c r="Q95" s="16">
        <v>0.3</v>
      </c>
      <c r="R95" s="16">
        <v>0.2</v>
      </c>
      <c r="S95" s="16">
        <v>0.2</v>
      </c>
      <c r="T95" s="16">
        <v>0.8</v>
      </c>
      <c r="U95" s="16">
        <v>0.8</v>
      </c>
      <c r="V95" s="1">
        <v>0.8</v>
      </c>
      <c r="W95" s="1">
        <v>0.8</v>
      </c>
      <c r="X95" s="1">
        <v>0.8</v>
      </c>
      <c r="Y95" s="102" t="s">
        <v>516</v>
      </c>
      <c r="Z95" s="16">
        <v>0.5</v>
      </c>
      <c r="AA95" s="16">
        <v>0.8</v>
      </c>
      <c r="AB95" s="16">
        <v>0.3</v>
      </c>
      <c r="AC95" s="16">
        <v>0.2</v>
      </c>
      <c r="AD95" s="16">
        <v>0.2</v>
      </c>
      <c r="AE95" s="16">
        <v>0.8</v>
      </c>
      <c r="AF95" s="16">
        <v>0.8</v>
      </c>
      <c r="AG95" s="1">
        <v>0.8</v>
      </c>
      <c r="AH95" s="1">
        <v>0.8</v>
      </c>
      <c r="AI95" s="1">
        <v>0.8</v>
      </c>
      <c r="AJ95" s="102" t="s">
        <v>516</v>
      </c>
      <c r="AK95" s="16">
        <v>0.5</v>
      </c>
      <c r="AL95" s="16">
        <v>0.8</v>
      </c>
      <c r="AM95" s="16">
        <v>0.3</v>
      </c>
      <c r="AN95" s="16">
        <v>0.2</v>
      </c>
      <c r="AO95" s="16">
        <v>0.2</v>
      </c>
      <c r="AP95" s="16">
        <v>0.8</v>
      </c>
      <c r="AQ95" s="16">
        <v>0.8</v>
      </c>
      <c r="AR95" s="1">
        <v>0.8</v>
      </c>
      <c r="AS95" s="1">
        <v>0.8</v>
      </c>
      <c r="AT95" s="1">
        <v>0.8</v>
      </c>
    </row>
    <row r="96" spans="1:46">
      <c r="A96" s="102" t="s">
        <v>518</v>
      </c>
      <c r="B96" s="16">
        <v>0.5</v>
      </c>
      <c r="C96" s="1">
        <v>0.5</v>
      </c>
      <c r="D96" s="1">
        <v>0.5</v>
      </c>
      <c r="E96" s="16">
        <v>0.8</v>
      </c>
      <c r="F96" s="16">
        <v>0.3</v>
      </c>
      <c r="G96" s="16">
        <v>0.2</v>
      </c>
      <c r="H96" s="16">
        <v>0.2</v>
      </c>
      <c r="I96" s="16">
        <v>0.8</v>
      </c>
      <c r="J96" s="16">
        <v>0.8</v>
      </c>
      <c r="K96" s="1">
        <v>0.8</v>
      </c>
      <c r="L96" s="1">
        <v>0.8</v>
      </c>
      <c r="M96" s="1">
        <v>0.8</v>
      </c>
      <c r="N96" s="102" t="s">
        <v>518</v>
      </c>
      <c r="O96" s="16">
        <v>0.5</v>
      </c>
      <c r="P96" s="16">
        <v>0.8</v>
      </c>
      <c r="Q96" s="16">
        <v>0.3</v>
      </c>
      <c r="R96" s="16">
        <v>0.2</v>
      </c>
      <c r="S96" s="16">
        <v>0.2</v>
      </c>
      <c r="T96" s="16">
        <v>0.8</v>
      </c>
      <c r="U96" s="16">
        <v>0.8</v>
      </c>
      <c r="V96" s="1">
        <v>0.8</v>
      </c>
      <c r="W96" s="1">
        <v>0.8</v>
      </c>
      <c r="X96" s="1">
        <v>0.8</v>
      </c>
      <c r="Y96" s="102" t="s">
        <v>518</v>
      </c>
      <c r="Z96" s="16">
        <v>0.5</v>
      </c>
      <c r="AA96" s="16">
        <v>0.8</v>
      </c>
      <c r="AB96" s="16">
        <v>0.3</v>
      </c>
      <c r="AC96" s="16">
        <v>0.2</v>
      </c>
      <c r="AD96" s="16">
        <v>0.2</v>
      </c>
      <c r="AE96" s="16">
        <v>0.8</v>
      </c>
      <c r="AF96" s="16">
        <v>0.8</v>
      </c>
      <c r="AG96" s="1">
        <v>0.8</v>
      </c>
      <c r="AH96" s="1">
        <v>0.8</v>
      </c>
      <c r="AI96" s="1">
        <v>0.8</v>
      </c>
      <c r="AJ96" s="102" t="s">
        <v>518</v>
      </c>
      <c r="AK96" s="16">
        <v>0.5</v>
      </c>
      <c r="AL96" s="16">
        <v>0.8</v>
      </c>
      <c r="AM96" s="16">
        <v>0.3</v>
      </c>
      <c r="AN96" s="16">
        <v>0.2</v>
      </c>
      <c r="AO96" s="16">
        <v>0.2</v>
      </c>
      <c r="AP96" s="16">
        <v>0.8</v>
      </c>
      <c r="AQ96" s="16">
        <v>0.8</v>
      </c>
      <c r="AR96" s="1">
        <v>0.8</v>
      </c>
      <c r="AS96" s="1">
        <v>0.8</v>
      </c>
      <c r="AT96" s="1">
        <v>0.8</v>
      </c>
    </row>
    <row r="97" spans="1:46">
      <c r="A97" s="102" t="s">
        <v>520</v>
      </c>
      <c r="B97" s="214">
        <v>0.11</v>
      </c>
      <c r="C97" s="1">
        <v>0.11</v>
      </c>
      <c r="D97" s="1">
        <v>0.11</v>
      </c>
      <c r="E97" s="214">
        <v>0.11</v>
      </c>
      <c r="F97" s="214">
        <v>0.11</v>
      </c>
      <c r="G97" s="214">
        <v>0.22</v>
      </c>
      <c r="H97" s="214">
        <v>0.22</v>
      </c>
      <c r="I97" s="214">
        <v>0.22</v>
      </c>
      <c r="J97" s="16">
        <v>0.8</v>
      </c>
      <c r="K97" s="1">
        <v>0.8</v>
      </c>
      <c r="L97" s="1">
        <v>0.8</v>
      </c>
      <c r="M97" s="1">
        <v>0.8</v>
      </c>
      <c r="N97" s="102" t="s">
        <v>520</v>
      </c>
      <c r="O97" s="16">
        <v>0.27</v>
      </c>
      <c r="P97" s="16">
        <v>0.27</v>
      </c>
      <c r="Q97" s="16">
        <v>0.27</v>
      </c>
      <c r="R97" s="16">
        <v>0.27</v>
      </c>
      <c r="S97" s="16">
        <v>0.27</v>
      </c>
      <c r="T97" s="16">
        <v>0.27</v>
      </c>
      <c r="U97" s="16">
        <v>0.8</v>
      </c>
      <c r="V97" s="1">
        <v>0.8</v>
      </c>
      <c r="W97" s="1">
        <v>0.8</v>
      </c>
      <c r="X97" s="1">
        <v>0.8</v>
      </c>
      <c r="Y97" s="102" t="s">
        <v>520</v>
      </c>
      <c r="Z97" s="16">
        <v>0.27</v>
      </c>
      <c r="AA97" s="16">
        <v>0.27</v>
      </c>
      <c r="AB97" s="16">
        <v>0.27</v>
      </c>
      <c r="AC97" s="16">
        <v>0.27</v>
      </c>
      <c r="AD97" s="16">
        <v>0.27</v>
      </c>
      <c r="AE97" s="16">
        <v>0.27</v>
      </c>
      <c r="AF97" s="16">
        <v>0.8</v>
      </c>
      <c r="AG97" s="1">
        <v>0.8</v>
      </c>
      <c r="AH97" s="1">
        <v>0.8</v>
      </c>
      <c r="AI97" s="1">
        <v>0.8</v>
      </c>
      <c r="AJ97" s="102" t="s">
        <v>520</v>
      </c>
      <c r="AK97" s="16">
        <v>0.27</v>
      </c>
      <c r="AL97" s="16">
        <v>0.27</v>
      </c>
      <c r="AM97" s="16">
        <v>0.27</v>
      </c>
      <c r="AN97" s="16">
        <v>0.27</v>
      </c>
      <c r="AO97" s="16">
        <v>0.27</v>
      </c>
      <c r="AP97" s="16">
        <v>0.27</v>
      </c>
      <c r="AQ97" s="16">
        <v>0.8</v>
      </c>
      <c r="AR97" s="1">
        <v>0.8</v>
      </c>
      <c r="AS97" s="1">
        <v>0.8</v>
      </c>
      <c r="AT97" s="1">
        <v>0.8</v>
      </c>
    </row>
    <row r="98" spans="1:46">
      <c r="A98" s="102" t="s">
        <v>523</v>
      </c>
      <c r="B98" s="16">
        <v>0.27</v>
      </c>
      <c r="C98" s="1">
        <v>0.27</v>
      </c>
      <c r="D98" s="1">
        <v>0.27</v>
      </c>
      <c r="E98" s="16">
        <v>0.27</v>
      </c>
      <c r="F98" s="16">
        <v>0.27</v>
      </c>
      <c r="G98" s="16">
        <v>0.27</v>
      </c>
      <c r="H98" s="16">
        <v>0.27</v>
      </c>
      <c r="I98" s="16">
        <v>0.27</v>
      </c>
      <c r="J98" s="16">
        <v>0.8</v>
      </c>
      <c r="K98" s="1">
        <v>0.8</v>
      </c>
      <c r="L98" s="1">
        <v>0.8</v>
      </c>
      <c r="M98" s="1">
        <v>0.8</v>
      </c>
      <c r="N98" s="102" t="s">
        <v>523</v>
      </c>
      <c r="O98" s="16">
        <v>0.27</v>
      </c>
      <c r="P98" s="16">
        <v>0.27</v>
      </c>
      <c r="Q98" s="16">
        <v>0.27</v>
      </c>
      <c r="R98" s="16">
        <v>0.27</v>
      </c>
      <c r="S98" s="16">
        <v>0.27</v>
      </c>
      <c r="T98" s="16">
        <v>0.27</v>
      </c>
      <c r="U98" s="16">
        <v>0.8</v>
      </c>
      <c r="V98" s="1">
        <v>0.8</v>
      </c>
      <c r="W98" s="1">
        <v>0.8</v>
      </c>
      <c r="X98" s="1">
        <v>0.8</v>
      </c>
      <c r="Y98" s="102" t="s">
        <v>523</v>
      </c>
      <c r="Z98" s="16">
        <v>0.27</v>
      </c>
      <c r="AA98" s="16">
        <v>0.27</v>
      </c>
      <c r="AB98" s="16">
        <v>0.27</v>
      </c>
      <c r="AC98" s="16">
        <v>0.27</v>
      </c>
      <c r="AD98" s="16">
        <v>0.27</v>
      </c>
      <c r="AE98" s="16">
        <v>0.27</v>
      </c>
      <c r="AF98" s="16">
        <v>0.8</v>
      </c>
      <c r="AG98" s="1">
        <v>0.8</v>
      </c>
      <c r="AH98" s="1">
        <v>0.8</v>
      </c>
      <c r="AI98" s="1">
        <v>0.8</v>
      </c>
      <c r="AJ98" s="102" t="s">
        <v>523</v>
      </c>
      <c r="AK98" s="16">
        <v>0.27</v>
      </c>
      <c r="AL98" s="16">
        <v>0.27</v>
      </c>
      <c r="AM98" s="16">
        <v>0.27</v>
      </c>
      <c r="AN98" s="16">
        <v>0.27</v>
      </c>
      <c r="AO98" s="16">
        <v>0.27</v>
      </c>
      <c r="AP98" s="16">
        <v>0.27</v>
      </c>
      <c r="AQ98" s="16">
        <v>0.8</v>
      </c>
      <c r="AR98" s="1">
        <v>0.8</v>
      </c>
      <c r="AS98" s="1">
        <v>0.8</v>
      </c>
      <c r="AT98" s="1">
        <v>0.8</v>
      </c>
    </row>
    <row r="99" spans="1:46">
      <c r="A99" s="102" t="s">
        <v>524</v>
      </c>
      <c r="B99" s="214">
        <v>0.11</v>
      </c>
      <c r="C99" s="1">
        <v>0.11</v>
      </c>
      <c r="D99" s="1">
        <v>0.11</v>
      </c>
      <c r="E99" s="214">
        <v>0.11</v>
      </c>
      <c r="F99" s="214">
        <v>0.11</v>
      </c>
      <c r="G99" s="214">
        <v>0.18</v>
      </c>
      <c r="H99" s="214">
        <v>0.18</v>
      </c>
      <c r="I99" s="214">
        <v>0.18</v>
      </c>
      <c r="J99" s="16">
        <v>0.8</v>
      </c>
      <c r="K99" s="1">
        <v>0.8</v>
      </c>
      <c r="L99" s="1">
        <v>0.8</v>
      </c>
      <c r="M99" s="1">
        <v>0.8</v>
      </c>
      <c r="N99" s="102" t="s">
        <v>524</v>
      </c>
      <c r="O99" s="16">
        <v>0.4</v>
      </c>
      <c r="P99" s="16">
        <v>0.4</v>
      </c>
      <c r="Q99" s="16">
        <v>0.4</v>
      </c>
      <c r="R99" s="16">
        <v>0.4</v>
      </c>
      <c r="S99" s="16">
        <v>0.4</v>
      </c>
      <c r="T99" s="16">
        <v>0.4</v>
      </c>
      <c r="U99" s="16">
        <v>0.8</v>
      </c>
      <c r="V99" s="1">
        <v>0.8</v>
      </c>
      <c r="W99" s="1">
        <v>0.8</v>
      </c>
      <c r="X99" s="1">
        <v>0.8</v>
      </c>
      <c r="Y99" s="102" t="s">
        <v>524</v>
      </c>
      <c r="Z99" s="16">
        <v>0.4</v>
      </c>
      <c r="AA99" s="16">
        <v>0.4</v>
      </c>
      <c r="AB99" s="16">
        <v>0.4</v>
      </c>
      <c r="AC99" s="16">
        <v>0.4</v>
      </c>
      <c r="AD99" s="16">
        <v>0.4</v>
      </c>
      <c r="AE99" s="16">
        <v>0.4</v>
      </c>
      <c r="AF99" s="16">
        <v>0.8</v>
      </c>
      <c r="AG99" s="1">
        <v>0.8</v>
      </c>
      <c r="AH99" s="1">
        <v>0.8</v>
      </c>
      <c r="AI99" s="1">
        <v>0.8</v>
      </c>
      <c r="AJ99" s="102" t="s">
        <v>524</v>
      </c>
      <c r="AK99" s="16">
        <v>0.4</v>
      </c>
      <c r="AL99" s="16">
        <v>0.4</v>
      </c>
      <c r="AM99" s="16">
        <v>0.4</v>
      </c>
      <c r="AN99" s="16">
        <v>0.4</v>
      </c>
      <c r="AO99" s="16">
        <v>0.4</v>
      </c>
      <c r="AP99" s="16">
        <v>0.4</v>
      </c>
      <c r="AQ99" s="16">
        <v>0.8</v>
      </c>
      <c r="AR99" s="1">
        <v>0.8</v>
      </c>
      <c r="AS99" s="1">
        <v>0.8</v>
      </c>
      <c r="AT99" s="1">
        <v>0.8</v>
      </c>
    </row>
    <row r="100" spans="1:46">
      <c r="A100" s="102" t="s">
        <v>526</v>
      </c>
      <c r="B100" s="16">
        <v>0.27</v>
      </c>
      <c r="C100" s="1">
        <v>0.27</v>
      </c>
      <c r="D100" s="1">
        <v>0.27</v>
      </c>
      <c r="E100" s="16">
        <v>0.27</v>
      </c>
      <c r="F100" s="16">
        <v>0.27</v>
      </c>
      <c r="G100" s="16">
        <v>0.27</v>
      </c>
      <c r="H100" s="16">
        <v>0.27</v>
      </c>
      <c r="I100" s="16">
        <v>0.27</v>
      </c>
      <c r="J100" s="16">
        <v>0.8</v>
      </c>
      <c r="K100" s="1">
        <v>0.8</v>
      </c>
      <c r="L100" s="1">
        <v>0.8</v>
      </c>
      <c r="M100" s="1">
        <v>0.8</v>
      </c>
      <c r="N100" s="102" t="s">
        <v>526</v>
      </c>
      <c r="O100" s="16">
        <v>0.27</v>
      </c>
      <c r="P100" s="16">
        <v>0.27</v>
      </c>
      <c r="Q100" s="16">
        <v>0.27</v>
      </c>
      <c r="R100" s="16">
        <v>0.27</v>
      </c>
      <c r="S100" s="16">
        <v>0.27</v>
      </c>
      <c r="T100" s="16">
        <v>0.27</v>
      </c>
      <c r="U100" s="16">
        <v>0.8</v>
      </c>
      <c r="V100" s="1">
        <v>0.8</v>
      </c>
      <c r="W100" s="1">
        <v>0.8</v>
      </c>
      <c r="X100" s="1">
        <v>0.8</v>
      </c>
      <c r="Y100" s="102" t="s">
        <v>526</v>
      </c>
      <c r="Z100" s="16">
        <v>0.27</v>
      </c>
      <c r="AA100" s="16">
        <v>0.27</v>
      </c>
      <c r="AB100" s="16">
        <v>0.27</v>
      </c>
      <c r="AC100" s="16">
        <v>0.27</v>
      </c>
      <c r="AD100" s="16">
        <v>0.27</v>
      </c>
      <c r="AE100" s="16">
        <v>0.27</v>
      </c>
      <c r="AF100" s="16">
        <v>0.8</v>
      </c>
      <c r="AG100" s="1">
        <v>0.8</v>
      </c>
      <c r="AH100" s="1">
        <v>0.8</v>
      </c>
      <c r="AI100" s="1">
        <v>0.8</v>
      </c>
      <c r="AJ100" s="102" t="s">
        <v>526</v>
      </c>
      <c r="AK100" s="16">
        <v>0.27</v>
      </c>
      <c r="AL100" s="16">
        <v>0.27</v>
      </c>
      <c r="AM100" s="16">
        <v>0.27</v>
      </c>
      <c r="AN100" s="16">
        <v>0.27</v>
      </c>
      <c r="AO100" s="16">
        <v>0.27</v>
      </c>
      <c r="AP100" s="16">
        <v>0.27</v>
      </c>
      <c r="AQ100" s="16">
        <v>0.8</v>
      </c>
      <c r="AR100" s="1">
        <v>0.8</v>
      </c>
      <c r="AS100" s="1">
        <v>0.8</v>
      </c>
      <c r="AT100" s="1">
        <v>0.8</v>
      </c>
    </row>
    <row r="101" spans="1:46">
      <c r="A101" s="102" t="s">
        <v>528</v>
      </c>
      <c r="B101" s="214">
        <v>0.11</v>
      </c>
      <c r="C101" s="1">
        <v>0.11</v>
      </c>
      <c r="D101" s="1">
        <v>0.11</v>
      </c>
      <c r="E101" s="214">
        <v>0.11</v>
      </c>
      <c r="F101" s="214">
        <v>0.09</v>
      </c>
      <c r="G101" s="214">
        <v>0.43</v>
      </c>
      <c r="H101" s="214">
        <v>0.43</v>
      </c>
      <c r="I101" s="214">
        <v>0.43</v>
      </c>
      <c r="J101" s="16">
        <v>0.8</v>
      </c>
      <c r="K101" s="1">
        <v>0.8</v>
      </c>
      <c r="L101" s="1">
        <v>0.8</v>
      </c>
      <c r="M101" s="1">
        <v>0.8</v>
      </c>
      <c r="N101" s="102" t="s">
        <v>528</v>
      </c>
      <c r="O101" s="16">
        <v>0.27</v>
      </c>
      <c r="P101" s="16">
        <v>0.27</v>
      </c>
      <c r="Q101" s="16">
        <v>0.27</v>
      </c>
      <c r="R101" s="16">
        <v>0.27</v>
      </c>
      <c r="S101" s="16">
        <v>0.27</v>
      </c>
      <c r="T101" s="16">
        <v>0.27</v>
      </c>
      <c r="U101" s="16">
        <v>0.8</v>
      </c>
      <c r="V101" s="1">
        <v>0.8</v>
      </c>
      <c r="W101" s="1">
        <v>0.8</v>
      </c>
      <c r="X101" s="1">
        <v>0.8</v>
      </c>
      <c r="Y101" s="102" t="s">
        <v>528</v>
      </c>
      <c r="Z101" s="16">
        <v>0.27</v>
      </c>
      <c r="AA101" s="16">
        <v>0.27</v>
      </c>
      <c r="AB101" s="16">
        <v>0.27</v>
      </c>
      <c r="AC101" s="16">
        <v>0.27</v>
      </c>
      <c r="AD101" s="16">
        <v>0.27</v>
      </c>
      <c r="AE101" s="16">
        <v>0.27</v>
      </c>
      <c r="AF101" s="16">
        <v>0.8</v>
      </c>
      <c r="AG101" s="1">
        <v>0.8</v>
      </c>
      <c r="AH101" s="1">
        <v>0.8</v>
      </c>
      <c r="AI101" s="1">
        <v>0.8</v>
      </c>
      <c r="AJ101" s="102" t="s">
        <v>528</v>
      </c>
      <c r="AK101" s="16">
        <v>0.27</v>
      </c>
      <c r="AL101" s="16">
        <v>0.27</v>
      </c>
      <c r="AM101" s="16">
        <v>0.27</v>
      </c>
      <c r="AN101" s="16">
        <v>0.27</v>
      </c>
      <c r="AO101" s="16">
        <v>0.27</v>
      </c>
      <c r="AP101" s="16">
        <v>0.27</v>
      </c>
      <c r="AQ101" s="16">
        <v>0.8</v>
      </c>
      <c r="AR101" s="1">
        <v>0.8</v>
      </c>
      <c r="AS101" s="1">
        <v>0.8</v>
      </c>
      <c r="AT101" s="1">
        <v>0.8</v>
      </c>
    </row>
    <row r="102" spans="1:46">
      <c r="A102" s="102" t="s">
        <v>531</v>
      </c>
      <c r="B102" s="16">
        <v>0.27</v>
      </c>
      <c r="C102" s="1">
        <v>0.27</v>
      </c>
      <c r="D102" s="1">
        <v>0.27</v>
      </c>
      <c r="E102" s="16">
        <v>0.27</v>
      </c>
      <c r="F102" s="16">
        <v>0.27</v>
      </c>
      <c r="G102" s="16">
        <v>0.27</v>
      </c>
      <c r="H102" s="16">
        <v>0.27</v>
      </c>
      <c r="I102" s="16">
        <v>0.27</v>
      </c>
      <c r="J102" s="16">
        <v>0.8</v>
      </c>
      <c r="K102" s="1">
        <v>0.8</v>
      </c>
      <c r="L102" s="1">
        <v>0.8</v>
      </c>
      <c r="M102" s="1">
        <v>0.8</v>
      </c>
      <c r="N102" s="102" t="s">
        <v>531</v>
      </c>
      <c r="O102" s="16">
        <v>0.27</v>
      </c>
      <c r="P102" s="16">
        <v>0.27</v>
      </c>
      <c r="Q102" s="16">
        <v>0.27</v>
      </c>
      <c r="R102" s="16">
        <v>0.27</v>
      </c>
      <c r="S102" s="16">
        <v>0.27</v>
      </c>
      <c r="T102" s="16">
        <v>0.27</v>
      </c>
      <c r="U102" s="16">
        <v>0.8</v>
      </c>
      <c r="V102" s="1">
        <v>0.8</v>
      </c>
      <c r="W102" s="1">
        <v>0.8</v>
      </c>
      <c r="X102" s="1">
        <v>0.8</v>
      </c>
      <c r="Y102" s="102" t="s">
        <v>531</v>
      </c>
      <c r="Z102" s="16">
        <v>0.27</v>
      </c>
      <c r="AA102" s="16">
        <v>0.27</v>
      </c>
      <c r="AB102" s="16">
        <v>0.27</v>
      </c>
      <c r="AC102" s="16">
        <v>0.27</v>
      </c>
      <c r="AD102" s="16">
        <v>0.27</v>
      </c>
      <c r="AE102" s="16">
        <v>0.27</v>
      </c>
      <c r="AF102" s="16">
        <v>0.8</v>
      </c>
      <c r="AG102" s="1">
        <v>0.8</v>
      </c>
      <c r="AH102" s="1">
        <v>0.8</v>
      </c>
      <c r="AI102" s="1">
        <v>0.8</v>
      </c>
      <c r="AJ102" s="102" t="s">
        <v>531</v>
      </c>
      <c r="AK102" s="16">
        <v>0.27</v>
      </c>
      <c r="AL102" s="16">
        <v>0.27</v>
      </c>
      <c r="AM102" s="16">
        <v>0.27</v>
      </c>
      <c r="AN102" s="16">
        <v>0.27</v>
      </c>
      <c r="AO102" s="16">
        <v>0.27</v>
      </c>
      <c r="AP102" s="16">
        <v>0.27</v>
      </c>
      <c r="AQ102" s="16">
        <v>0.8</v>
      </c>
      <c r="AR102" s="1">
        <v>0.8</v>
      </c>
      <c r="AS102" s="1">
        <v>0.8</v>
      </c>
      <c r="AT102" s="1">
        <v>0.8</v>
      </c>
    </row>
    <row r="103" spans="1:46">
      <c r="A103" s="102" t="s">
        <v>534</v>
      </c>
      <c r="B103" s="214">
        <v>0.1</v>
      </c>
      <c r="C103" s="1">
        <v>0.1</v>
      </c>
      <c r="D103" s="1">
        <v>0.1</v>
      </c>
      <c r="E103" s="214">
        <v>0.1</v>
      </c>
      <c r="F103" s="214">
        <v>0.09</v>
      </c>
      <c r="G103" s="214">
        <v>0.21</v>
      </c>
      <c r="H103" s="214">
        <v>0.21</v>
      </c>
      <c r="I103" s="214">
        <v>0.21</v>
      </c>
      <c r="J103" s="16">
        <v>0.8</v>
      </c>
      <c r="K103" s="1">
        <v>0.8</v>
      </c>
      <c r="L103" s="1">
        <v>0.8</v>
      </c>
      <c r="M103" s="1">
        <v>0.8</v>
      </c>
      <c r="N103" s="102" t="s">
        <v>534</v>
      </c>
      <c r="O103" s="16">
        <v>0.27</v>
      </c>
      <c r="P103" s="16">
        <v>0.27</v>
      </c>
      <c r="Q103" s="16">
        <v>0.27</v>
      </c>
      <c r="R103" s="16">
        <v>0.27</v>
      </c>
      <c r="S103" s="16">
        <v>0.27</v>
      </c>
      <c r="T103" s="16">
        <v>0.27</v>
      </c>
      <c r="U103" s="16">
        <v>0.8</v>
      </c>
      <c r="V103" s="1">
        <v>0.8</v>
      </c>
      <c r="W103" s="1">
        <v>0.8</v>
      </c>
      <c r="X103" s="1">
        <v>0.8</v>
      </c>
      <c r="Y103" s="102" t="s">
        <v>534</v>
      </c>
      <c r="Z103" s="16">
        <v>0.27</v>
      </c>
      <c r="AA103" s="16">
        <v>0.27</v>
      </c>
      <c r="AB103" s="16">
        <v>0.27</v>
      </c>
      <c r="AC103" s="16">
        <v>0.27</v>
      </c>
      <c r="AD103" s="16">
        <v>0.27</v>
      </c>
      <c r="AE103" s="16">
        <v>0.27</v>
      </c>
      <c r="AF103" s="16">
        <v>0.8</v>
      </c>
      <c r="AG103" s="1">
        <v>0.8</v>
      </c>
      <c r="AH103" s="1">
        <v>0.8</v>
      </c>
      <c r="AI103" s="1">
        <v>0.8</v>
      </c>
      <c r="AJ103" s="102" t="s">
        <v>534</v>
      </c>
      <c r="AK103" s="16">
        <v>0.27</v>
      </c>
      <c r="AL103" s="16">
        <v>0.27</v>
      </c>
      <c r="AM103" s="16">
        <v>0.27</v>
      </c>
      <c r="AN103" s="16">
        <v>0.27</v>
      </c>
      <c r="AO103" s="16">
        <v>0.27</v>
      </c>
      <c r="AP103" s="16">
        <v>0.27</v>
      </c>
      <c r="AQ103" s="16">
        <v>0.8</v>
      </c>
      <c r="AR103" s="1">
        <v>0.8</v>
      </c>
      <c r="AS103" s="1">
        <v>0.8</v>
      </c>
      <c r="AT103" s="1">
        <v>0.8</v>
      </c>
    </row>
  </sheetData>
  <sortState xmlns:xlrd2="http://schemas.microsoft.com/office/spreadsheetml/2017/richdata2" ref="A3:A12">
    <sortCondition ref="A3"/>
  </sortState>
  <phoneticPr fontId="22" type="noConversion"/>
  <pageMargins left="0.7" right="0.7" top="0.75" bottom="0.75" header="0.3" footer="0.3"/>
  <pageSetup paperSize="9" orientation="portrait" r:id="rId1"/>
  <headerFooter>
    <oddHeader>&amp;R&amp;"Calibri"&amp;8&amp;K808080 INTERNAL &amp; PARTNERS&amp;1#_x000D_</oddHeader>
    <oddFooter>&amp;R_x000D_&amp;1#&amp;"Calibri"&amp;2&amp;KFFFFFF 5acXjzUk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outlinePr summaryBelow="0" summaryRight="0"/>
  </sheetPr>
  <dimension ref="A1:M15"/>
  <sheetViews>
    <sheetView zoomScaleNormal="100" workbookViewId="0">
      <selection activeCell="C19" sqref="C19"/>
    </sheetView>
  </sheetViews>
  <sheetFormatPr defaultColWidth="9.1796875" defaultRowHeight="12.5"/>
  <cols>
    <col min="1" max="1" width="51.453125" style="15" bestFit="1" customWidth="1"/>
    <col min="2" max="5" width="10.54296875" style="16" customWidth="1"/>
    <col min="6" max="11" width="9.1796875" style="16"/>
    <col min="12" max="12" width="9.453125" style="16" bestFit="1" customWidth="1"/>
    <col min="13" max="16384" width="9.1796875" style="16"/>
  </cols>
  <sheetData>
    <row r="1" spans="1:13">
      <c r="A1" s="106"/>
      <c r="B1" s="104" t="s">
        <v>460</v>
      </c>
      <c r="C1" s="104" t="s">
        <v>93</v>
      </c>
      <c r="D1" s="104" t="s">
        <v>483</v>
      </c>
      <c r="E1" s="104" t="s">
        <v>482</v>
      </c>
      <c r="F1" s="104" t="s">
        <v>502</v>
      </c>
      <c r="G1" s="104" t="s">
        <v>507</v>
      </c>
    </row>
    <row r="2" spans="1:13" ht="14">
      <c r="A2" s="15" t="s">
        <v>162</v>
      </c>
      <c r="B2" s="166">
        <v>315</v>
      </c>
      <c r="C2" s="208">
        <v>97502.827437304106</v>
      </c>
      <c r="D2" s="105">
        <v>1350</v>
      </c>
      <c r="E2" s="141">
        <v>13708</v>
      </c>
      <c r="K2"/>
      <c r="L2"/>
    </row>
    <row r="3" spans="1:13" ht="14">
      <c r="A3" s="15" t="s">
        <v>605</v>
      </c>
      <c r="B3" s="166">
        <v>494</v>
      </c>
      <c r="C3" s="208">
        <v>108979.66796701599</v>
      </c>
      <c r="D3" s="105">
        <v>2100</v>
      </c>
      <c r="E3" s="225">
        <v>13708</v>
      </c>
      <c r="K3"/>
      <c r="L3"/>
      <c r="M3" s="16" t="s">
        <v>606</v>
      </c>
    </row>
    <row r="4" spans="1:13" ht="14">
      <c r="A4" s="15" t="s">
        <v>607</v>
      </c>
      <c r="B4" s="166">
        <v>502</v>
      </c>
      <c r="C4" s="208">
        <v>108979.66796701599</v>
      </c>
      <c r="D4" s="105">
        <v>2100</v>
      </c>
      <c r="E4" s="141">
        <v>13708</v>
      </c>
      <c r="K4"/>
      <c r="L4"/>
    </row>
    <row r="5" spans="1:13" ht="14">
      <c r="A5" s="15" t="s">
        <v>608</v>
      </c>
      <c r="B5" s="166">
        <v>502</v>
      </c>
      <c r="C5" s="208">
        <v>108979.66796701599</v>
      </c>
      <c r="D5" s="105">
        <v>2100</v>
      </c>
      <c r="E5" s="141">
        <v>13708</v>
      </c>
      <c r="K5"/>
      <c r="L5"/>
    </row>
    <row r="6" spans="1:13" ht="14">
      <c r="A6" s="15" t="s">
        <v>459</v>
      </c>
      <c r="B6" s="166">
        <v>350</v>
      </c>
      <c r="C6" s="208">
        <v>100109.459064646</v>
      </c>
      <c r="D6" s="105">
        <v>2250</v>
      </c>
      <c r="E6" s="141">
        <v>13708</v>
      </c>
      <c r="K6"/>
      <c r="L6"/>
    </row>
    <row r="7" spans="1:13" ht="14">
      <c r="A7" s="15" t="s">
        <v>154</v>
      </c>
      <c r="B7" s="166">
        <v>435</v>
      </c>
      <c r="C7" s="208">
        <f>B7*'Exchange rate'!B4</f>
        <v>9038.9610389610389</v>
      </c>
      <c r="D7" s="105">
        <v>9724</v>
      </c>
      <c r="E7" s="141">
        <v>13708</v>
      </c>
      <c r="K7"/>
      <c r="L7"/>
    </row>
    <row r="8" spans="1:13" ht="14">
      <c r="A8" s="15" t="s">
        <v>604</v>
      </c>
      <c r="B8" s="166">
        <v>0</v>
      </c>
      <c r="C8" s="208">
        <v>100109.459064646</v>
      </c>
      <c r="D8" s="105">
        <v>2250</v>
      </c>
      <c r="E8" s="141">
        <v>13708</v>
      </c>
      <c r="K8"/>
      <c r="L8"/>
    </row>
    <row r="9" spans="1:13" ht="14">
      <c r="A9" s="15" t="s">
        <v>146</v>
      </c>
      <c r="B9" s="166">
        <v>0</v>
      </c>
      <c r="C9" s="208">
        <v>99592.509696615904</v>
      </c>
      <c r="D9" s="105">
        <v>2360</v>
      </c>
      <c r="E9" s="141">
        <v>14759</v>
      </c>
      <c r="K9"/>
      <c r="L9"/>
      <c r="M9" s="16" t="s">
        <v>606</v>
      </c>
    </row>
    <row r="10" spans="1:13" ht="14">
      <c r="A10" s="15" t="s">
        <v>148</v>
      </c>
      <c r="B10" s="166">
        <v>0</v>
      </c>
      <c r="C10" s="208">
        <v>94470.063577057997</v>
      </c>
      <c r="D10" s="105">
        <v>2360</v>
      </c>
      <c r="E10" s="141">
        <v>14759</v>
      </c>
      <c r="K10"/>
      <c r="L10"/>
    </row>
    <row r="11" spans="1:13" ht="14">
      <c r="A11" s="15" t="s">
        <v>149</v>
      </c>
      <c r="B11" s="166">
        <v>0</v>
      </c>
      <c r="C11" s="208">
        <v>102688.49178452601</v>
      </c>
      <c r="D11" s="105">
        <v>2360</v>
      </c>
      <c r="E11" s="141">
        <v>14759</v>
      </c>
      <c r="K11"/>
      <c r="L11"/>
    </row>
    <row r="12" spans="1:13" ht="14">
      <c r="A12" s="15" t="s">
        <v>1335</v>
      </c>
      <c r="B12" s="166">
        <v>0</v>
      </c>
      <c r="C12" s="208">
        <v>108979.66796701599</v>
      </c>
      <c r="D12" s="105">
        <v>2100</v>
      </c>
      <c r="E12" s="141">
        <v>13708</v>
      </c>
      <c r="K12"/>
      <c r="L12"/>
    </row>
    <row r="13" spans="1:13" ht="14">
      <c r="A13" s="15" t="s">
        <v>141</v>
      </c>
      <c r="B13" s="166">
        <v>0</v>
      </c>
      <c r="C13" s="208">
        <v>114254.33271867799</v>
      </c>
      <c r="D13" s="105">
        <v>2540</v>
      </c>
      <c r="E13" s="141">
        <v>14759</v>
      </c>
      <c r="K13"/>
      <c r="L13"/>
      <c r="M13" s="16" t="s">
        <v>606</v>
      </c>
    </row>
    <row r="14" spans="1:13" ht="14">
      <c r="A14" s="15" t="s">
        <v>609</v>
      </c>
      <c r="B14" s="166">
        <v>502</v>
      </c>
      <c r="C14" s="208">
        <f>B14*'Exchange rate'!B3</f>
        <v>97140.259740259746</v>
      </c>
      <c r="D14" s="105">
        <v>9724</v>
      </c>
      <c r="E14" s="141">
        <v>13708</v>
      </c>
      <c r="K14"/>
      <c r="L14"/>
    </row>
    <row r="15" spans="1:13">
      <c r="B15" s="15"/>
    </row>
  </sheetData>
  <phoneticPr fontId="22" type="noConversion"/>
  <pageMargins left="0.7" right="0.7" top="0.75" bottom="0.75" header="0.3" footer="0.3"/>
  <pageSetup paperSize="9" orientation="portrait" r:id="rId1"/>
  <headerFooter>
    <oddHeader>&amp;R&amp;"Calibri"&amp;8&amp;K808080 INTERNAL &amp; PARTNERS&amp;1#_x000D_</oddHeader>
    <oddFooter>&amp;R_x000D_&amp;1#&amp;"Calibri"&amp;2&amp;KFFFFFF 5acXjzUk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rgb="FF00B050"/>
  </sheetPr>
  <dimension ref="A1:G23"/>
  <sheetViews>
    <sheetView workbookViewId="0">
      <selection activeCell="G23" sqref="G23"/>
    </sheetView>
  </sheetViews>
  <sheetFormatPr defaultColWidth="9.1796875" defaultRowHeight="12.5"/>
  <cols>
    <col min="1" max="1" width="15" style="18" bestFit="1" customWidth="1"/>
    <col min="2" max="7" width="12.54296875" style="16" customWidth="1"/>
    <col min="8" max="16384" width="9.1796875" style="16"/>
  </cols>
  <sheetData>
    <row r="1" spans="1:7" s="18" customFormat="1">
      <c r="B1" s="54" t="s">
        <v>610</v>
      </c>
      <c r="C1" s="18" t="s">
        <v>611</v>
      </c>
      <c r="D1" s="54" t="s">
        <v>612</v>
      </c>
      <c r="E1" s="54" t="s">
        <v>613</v>
      </c>
      <c r="F1" s="54" t="s">
        <v>502</v>
      </c>
      <c r="G1" s="54" t="s">
        <v>614</v>
      </c>
    </row>
    <row r="2" spans="1:7">
      <c r="A2" s="18" t="s">
        <v>610</v>
      </c>
      <c r="B2" s="53">
        <v>1</v>
      </c>
      <c r="C2" s="55">
        <f>INDEX($B$2:$G$7,MATCH($A2,$A$2:$A$7,0),5)/INDEX($B$2:$G$7,MATCH(C$1,$A$2:$A$7,0),5)</f>
        <v>5.1677852348993285E-3</v>
      </c>
      <c r="D2" s="55">
        <f>INDEX($B$2:$G$7,MATCH($A2,$A$2:$A$7,0),5)/INDEX($B$2:$G$7,MATCH(D$1,$A$2:$A$7,0),5)</f>
        <v>4.8125000000000001E-2</v>
      </c>
      <c r="E2" s="55">
        <f>INDEX($B$2:$G$7,MATCH($A2,$A$2:$A$7,0),5)/INDEX($B$2:$G$7,MATCH(E$1,$A$2:$A$7,0),5)</f>
        <v>8.3695652173913046E-2</v>
      </c>
      <c r="F2" s="101">
        <v>7.7</v>
      </c>
      <c r="G2" s="55">
        <f>INDEX($B$2:$G$7,MATCH($A2,$A$2:$A$7,0),5)/INDEX($B$2:$G$7,MATCH(G$1,$A$2:$A$7,0),5)</f>
        <v>7.1296296296296298</v>
      </c>
    </row>
    <row r="3" spans="1:7">
      <c r="A3" s="18" t="s">
        <v>611</v>
      </c>
      <c r="B3" s="55">
        <f>INDEX($B$2:$G$7,MATCH($A3,$A$2:$A$7,0),5)/INDEX($B$2:$G$7,MATCH(B$1,$A$2:$A$7,0),5)</f>
        <v>193.50649350649351</v>
      </c>
      <c r="C3" s="53">
        <v>1</v>
      </c>
      <c r="D3" s="55">
        <f>INDEX($B$2:$G$7,MATCH($A3,$A$2:$A$7,0),5)/INDEX($B$2:$G$7,MATCH(D$1,$A$2:$A$7,0),5)</f>
        <v>9.3125</v>
      </c>
      <c r="E3" s="55">
        <f>INDEX($B$2:$G$7,MATCH($A3,$A$2:$A$7,0),5)/INDEX($B$2:$G$7,MATCH(E$1,$A$2:$A$7,0),5)</f>
        <v>16.195652173913043</v>
      </c>
      <c r="F3" s="101">
        <v>1490</v>
      </c>
      <c r="G3" s="55">
        <f>INDEX($B$2:$G$7,MATCH($A3,$A$2:$A$7,0),5)/INDEX($B$2:$G$7,MATCH(G$1,$A$2:$A$7,0),5)</f>
        <v>1379.6296296296296</v>
      </c>
    </row>
    <row r="4" spans="1:7">
      <c r="A4" s="18" t="s">
        <v>612</v>
      </c>
      <c r="B4" s="55">
        <f>INDEX($B$2:$G$7,MATCH($A4,$A$2:$A$7,0),5)/INDEX($B$2:$G$7,MATCH(B$1,$A$2:$A$7,0),5)</f>
        <v>20.779220779220779</v>
      </c>
      <c r="C4" s="55">
        <f>INDEX($B$2:$G$7,MATCH($A4,$A$2:$A$7,0),5)/INDEX($B$2:$G$7,MATCH(C$1,$A$2:$A$7,0),5)</f>
        <v>0.10738255033557047</v>
      </c>
      <c r="D4" s="53">
        <v>1</v>
      </c>
      <c r="E4" s="55">
        <f>INDEX($B$2:$G$7,MATCH($A4,$A$2:$A$7,0),5)/INDEX($B$2:$G$7,MATCH(E$1,$A$2:$A$7,0),5)</f>
        <v>1.7391304347826086</v>
      </c>
      <c r="F4" s="101">
        <v>160</v>
      </c>
      <c r="G4" s="55">
        <f>INDEX($B$2:$G$7,MATCH($A4,$A$2:$A$7,0),5)/INDEX($B$2:$G$7,MATCH(G$1,$A$2:$A$7,0),5)</f>
        <v>148.14814814814815</v>
      </c>
    </row>
    <row r="5" spans="1:7">
      <c r="A5" s="18" t="s">
        <v>613</v>
      </c>
      <c r="B5" s="55">
        <f>INDEX($B$2:$G$7,MATCH($A5,$A$2:$A$7,0),5)/INDEX($B$2:$G$7,MATCH(B$1,$A$2:$A$7,0),5)</f>
        <v>11.948051948051948</v>
      </c>
      <c r="C5" s="55">
        <f>INDEX($B$2:$G$7,MATCH($A5,$A$2:$A$7,0),5)/INDEX($B$2:$G$7,MATCH(C$1,$A$2:$A$7,0),5)</f>
        <v>6.174496644295302E-2</v>
      </c>
      <c r="D5" s="55">
        <f>INDEX($B$2:$G$7,MATCH($A5,$A$2:$A$7,0),5)/INDEX($B$2:$G$7,MATCH(D$1,$A$2:$A$7,0),5)</f>
        <v>0.57499999999999996</v>
      </c>
      <c r="E5" s="53">
        <v>1</v>
      </c>
      <c r="F5" s="101">
        <v>92</v>
      </c>
      <c r="G5" s="55">
        <f>INDEX($B$2:$G$7,MATCH($A5,$A$2:$A$7,0),5)/INDEX($B$2:$G$7,MATCH(G$1,$A$2:$A$7,0),5)</f>
        <v>85.185185185185176</v>
      </c>
    </row>
    <row r="6" spans="1:7">
      <c r="A6" s="18" t="s">
        <v>502</v>
      </c>
      <c r="B6" s="55">
        <f>INDEX($B$2:$G$7,MATCH($A6,$A$2:$A$7,0),5)/INDEX($B$2:$G$7,MATCH(B$1,$A$2:$A$7,0),5)</f>
        <v>0.12987012987012986</v>
      </c>
      <c r="C6" s="55">
        <f>INDEX($B$2:$G$7,MATCH($A6,$A$2:$A$7,0),5)/INDEX($B$2:$G$7,MATCH(C$1,$A$2:$A$7,0),5)</f>
        <v>6.711409395973154E-4</v>
      </c>
      <c r="D6" s="55">
        <f>INDEX($B$2:$G$7,MATCH($A6,$A$2:$A$7,0),5)/INDEX($B$2:$G$7,MATCH(D$1,$A$2:$A$7,0),5)</f>
        <v>6.2500000000000003E-3</v>
      </c>
      <c r="E6" s="55">
        <f>INDEX($B$2:$G$7,MATCH($A6,$A$2:$A$7,0),5)/INDEX($B$2:$G$7,MATCH(E$1,$A$2:$A$7,0),5)</f>
        <v>1.0869565217391304E-2</v>
      </c>
      <c r="F6" s="53">
        <v>1</v>
      </c>
      <c r="G6" s="55">
        <f>INDEX($B$2:$G$7,MATCH($A6,$A$2:$A$7,0),5)/INDEX($B$2:$G$7,MATCH(G$1,$A$2:$A$7,0),5)</f>
        <v>0.92592592592592582</v>
      </c>
    </row>
    <row r="7" spans="1:7">
      <c r="A7" s="18" t="s">
        <v>614</v>
      </c>
      <c r="B7" s="55">
        <f>INDEX($B$2:$G$7,MATCH($A7,$A$2:$A$7,0),5)/INDEX($B$2:$G$7,MATCH(B$1,$A$2:$A$7,0),5)</f>
        <v>0.14025974025974028</v>
      </c>
      <c r="C7" s="55">
        <f>INDEX($B$2:$G$7,MATCH($A7,$A$2:$A$7,0),5)/INDEX($B$2:$G$7,MATCH(C$1,$A$2:$A$7,0),5)</f>
        <v>7.2483221476510068E-4</v>
      </c>
      <c r="D7" s="55">
        <f>INDEX($B$2:$G$7,MATCH($A7,$A$2:$A$7,0),5)/INDEX($B$2:$G$7,MATCH(D$1,$A$2:$A$7,0),5)</f>
        <v>6.7500000000000008E-3</v>
      </c>
      <c r="E7" s="55">
        <f>INDEX($B$2:$G$7,MATCH($A7,$A$2:$A$7,0),5)/INDEX($B$2:$G$7,MATCH(E$1,$A$2:$A$7,0),5)</f>
        <v>1.173913043478261E-2</v>
      </c>
      <c r="F7" s="101">
        <v>1.08</v>
      </c>
      <c r="G7" s="53">
        <v>1</v>
      </c>
    </row>
    <row r="17" spans="1:7" hidden="1">
      <c r="A17" s="18" t="s">
        <v>615</v>
      </c>
      <c r="B17" s="54" t="s">
        <v>610</v>
      </c>
      <c r="C17" s="18" t="s">
        <v>611</v>
      </c>
      <c r="D17" s="54" t="s">
        <v>612</v>
      </c>
      <c r="E17" s="54" t="s">
        <v>613</v>
      </c>
      <c r="F17" s="54" t="s">
        <v>502</v>
      </c>
      <c r="G17" s="54" t="s">
        <v>614</v>
      </c>
    </row>
    <row r="18" spans="1:7" hidden="1">
      <c r="A18" s="18" t="s">
        <v>610</v>
      </c>
      <c r="B18" s="53">
        <v>1</v>
      </c>
      <c r="C18" s="55">
        <f>INDEX($B$18:$G$23,MATCH($A18,$A$18:$A$23,0),5)/INDEX($B$18:$G$23,MATCH(C$17,$A$18:$A$23,0),5)</f>
        <v>5.3191489361702126E-3</v>
      </c>
      <c r="D18" s="55">
        <f>INDEX($B$18:$G$23,MATCH($A18,$A$18:$A$23,0),5)/INDEX($B$18:$G$23,MATCH(D$17,$A$18:$A$23,0),5)</f>
        <v>5.1724137931034482E-2</v>
      </c>
      <c r="E18" s="55">
        <f>INDEX($B$18:$G$23,MATCH($A18,$A$18:$A$23,0),5)/INDEX($B$18:$G$23,MATCH(E$17,$A$18:$A$23,0),5)</f>
        <v>8.0213903743315509E-2</v>
      </c>
      <c r="F18" s="101">
        <v>7.5</v>
      </c>
      <c r="G18" s="55">
        <f>INDEX($B$18:$G$23,MATCH($A18,$A$18:$A$23,0),5)/INDEX($B$18:$G$23,MATCH(G$17,$A$18:$A$23,0),5)</f>
        <v>6.8181818181818175</v>
      </c>
    </row>
    <row r="19" spans="1:7" hidden="1">
      <c r="A19" s="18" t="s">
        <v>611</v>
      </c>
      <c r="B19" s="55">
        <f>INDEX($B$18:$G$23,MATCH($A19,$A$18:$A$23,0),5)/INDEX($B$18:$G$23,MATCH(B$17,$A$18:$A$23,0),5)</f>
        <v>188</v>
      </c>
      <c r="C19" s="53">
        <v>1</v>
      </c>
      <c r="D19" s="55">
        <f>INDEX($B$18:$G$23,MATCH($A19,$A$18:$A$23,0),5)/INDEX($B$18:$G$23,MATCH(D$17,$A$18:$A$23,0),5)</f>
        <v>9.7241379310344822</v>
      </c>
      <c r="E19" s="55">
        <f>INDEX($B$18:$G$23,MATCH($A19,$A$18:$A$23,0),5)/INDEX($B$18:$G$23,MATCH(E$17,$A$18:$A$23,0),5)</f>
        <v>15.080213903743315</v>
      </c>
      <c r="F19" s="101">
        <v>1410</v>
      </c>
      <c r="G19" s="55">
        <f>INDEX($B$18:$G$23,MATCH($A19,$A$18:$A$23,0),5)/INDEX($B$18:$G$23,MATCH(G$17,$A$18:$A$23,0),5)</f>
        <v>1281.8181818181818</v>
      </c>
    </row>
    <row r="20" spans="1:7" hidden="1">
      <c r="A20" s="18" t="s">
        <v>612</v>
      </c>
      <c r="B20" s="55">
        <f>INDEX($B$18:$G$23,MATCH($A20,$A$18:$A$23,0),5)/INDEX($B$18:$G$23,MATCH(B$17,$A$18:$A$23,0),5)</f>
        <v>19.333333333333332</v>
      </c>
      <c r="C20" s="55">
        <f>INDEX($B$18:$G$23,MATCH($A20,$A$18:$A$23,0),5)/INDEX($B$18:$G$23,MATCH(C$17,$A$18:$A$23,0),5)</f>
        <v>0.10283687943262411</v>
      </c>
      <c r="D20" s="53">
        <v>1</v>
      </c>
      <c r="E20" s="55">
        <f>INDEX($B$18:$G$23,MATCH($A20,$A$18:$A$23,0),5)/INDEX($B$18:$G$23,MATCH(E$17,$A$18:$A$23,0),5)</f>
        <v>1.5508021390374331</v>
      </c>
      <c r="F20" s="101">
        <v>145</v>
      </c>
      <c r="G20" s="55">
        <f>INDEX($B$18:$G$23,MATCH($A20,$A$18:$A$23,0),5)/INDEX($B$18:$G$23,MATCH(G$17,$A$18:$A$23,0),5)</f>
        <v>131.81818181818181</v>
      </c>
    </row>
    <row r="21" spans="1:7" hidden="1">
      <c r="A21" s="18" t="s">
        <v>613</v>
      </c>
      <c r="B21" s="55">
        <f>INDEX($B$18:$G$23,MATCH($A21,$A$18:$A$23,0),5)/INDEX($B$18:$G$23,MATCH(B$17,$A$18:$A$23,0),5)</f>
        <v>12.466666666666667</v>
      </c>
      <c r="C21" s="55">
        <f>INDEX($B$18:$G$23,MATCH($A21,$A$18:$A$23,0),5)/INDEX($B$18:$G$23,MATCH(C$17,$A$18:$A$23,0),5)</f>
        <v>6.6312056737588651E-2</v>
      </c>
      <c r="D21" s="55">
        <f>INDEX($B$18:$G$23,MATCH($A21,$A$18:$A$23,0),5)/INDEX($B$18:$G$23,MATCH(D$17,$A$18:$A$23,0),5)</f>
        <v>0.64482758620689651</v>
      </c>
      <c r="E21" s="53">
        <v>1</v>
      </c>
      <c r="F21" s="101">
        <v>93.5</v>
      </c>
      <c r="G21" s="55">
        <f>INDEX($B$18:$G$23,MATCH($A21,$A$18:$A$23,0),5)/INDEX($B$18:$G$23,MATCH(G$17,$A$18:$A$23,0),5)</f>
        <v>85</v>
      </c>
    </row>
    <row r="22" spans="1:7" hidden="1">
      <c r="A22" s="18" t="s">
        <v>502</v>
      </c>
      <c r="B22" s="55">
        <f>INDEX($B$18:$G$23,MATCH($A22,$A$18:$A$23,0),5)/INDEX($B$18:$G$23,MATCH(B$17,$A$18:$A$23,0),5)</f>
        <v>0.13333333333333333</v>
      </c>
      <c r="C22" s="55">
        <f>INDEX($B$18:$G$23,MATCH($A22,$A$18:$A$23,0),5)/INDEX($B$18:$G$23,MATCH(C$17,$A$18:$A$23,0),5)</f>
        <v>7.0921985815602842E-4</v>
      </c>
      <c r="D22" s="55">
        <f>INDEX($B$18:$G$23,MATCH($A22,$A$18:$A$23,0),5)/INDEX($B$18:$G$23,MATCH(D$17,$A$18:$A$23,0),5)</f>
        <v>6.8965517241379309E-3</v>
      </c>
      <c r="E22" s="55">
        <f>INDEX($B$18:$G$23,MATCH($A22,$A$18:$A$23,0),5)/INDEX($B$18:$G$23,MATCH(E$17,$A$18:$A$23,0),5)</f>
        <v>1.06951871657754E-2</v>
      </c>
      <c r="F22" s="53">
        <v>1</v>
      </c>
      <c r="G22" s="55">
        <f>INDEX($B$18:$G$23,MATCH($A22,$A$18:$A$23,0),5)/INDEX($B$18:$G$23,MATCH(G$17,$A$18:$A$23,0),5)</f>
        <v>0.90909090909090906</v>
      </c>
    </row>
    <row r="23" spans="1:7" hidden="1">
      <c r="A23" s="18" t="s">
        <v>614</v>
      </c>
      <c r="B23" s="55">
        <f>INDEX($B$18:$G$23,MATCH($A23,$A$18:$A$23,0),5)/INDEX($B$18:$G$23,MATCH(B$17,$A$18:$A$23,0),5)</f>
        <v>0.14666666666666667</v>
      </c>
      <c r="C23" s="55">
        <f>INDEX($B$18:$G$23,MATCH($A23,$A$18:$A$23,0),5)/INDEX($B$18:$G$23,MATCH(C$17,$A$18:$A$23,0),5)</f>
        <v>7.8014184397163123E-4</v>
      </c>
      <c r="D23" s="55">
        <f>INDEX($B$18:$G$23,MATCH($A23,$A$18:$A$23,0),5)/INDEX($B$18:$G$23,MATCH(D$17,$A$18:$A$23,0),5)</f>
        <v>7.5862068965517251E-3</v>
      </c>
      <c r="E23" s="55">
        <f>INDEX($B$18:$G$23,MATCH($A23,$A$18:$A$23,0),5)/INDEX($B$18:$G$23,MATCH(E$17,$A$18:$A$23,0),5)</f>
        <v>1.1764705882352943E-2</v>
      </c>
      <c r="F23" s="101">
        <v>1.1000000000000001</v>
      </c>
      <c r="G23" s="53">
        <v>1</v>
      </c>
    </row>
  </sheetData>
  <phoneticPr fontId="22" type="noConversion"/>
  <pageMargins left="0.7" right="0.7" top="0.75" bottom="0.75" header="0.3" footer="0.3"/>
  <pageSetup paperSize="9" orientation="portrait" r:id="rId1"/>
  <headerFooter>
    <oddHeader>&amp;R&amp;"Calibri"&amp;8&amp;K808080 INTERNAL &amp; PARTNERS&amp;1#_x000D_</oddHeader>
    <oddFooter>&amp;R_x000D_&amp;1#&amp;"Calibri"&amp;2&amp;KFFFFFF 5acXjzUk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BE182"/>
  <sheetViews>
    <sheetView zoomScale="85" zoomScaleNormal="85" workbookViewId="0">
      <selection activeCell="AY3" sqref="AY3"/>
    </sheetView>
  </sheetViews>
  <sheetFormatPr defaultColWidth="9.1796875" defaultRowHeight="12.5" outlineLevelCol="1"/>
  <cols>
    <col min="1" max="1" width="30.54296875" style="1" customWidth="1"/>
    <col min="2" max="2" width="15.54296875" style="16" customWidth="1"/>
    <col min="3" max="12" width="12.54296875" style="16" customWidth="1"/>
    <col min="13" max="13" width="30.54296875" style="16" hidden="1" customWidth="1" outlineLevel="1"/>
    <col min="14" max="14" width="15.54296875" style="16" hidden="1" customWidth="1" outlineLevel="1"/>
    <col min="15" max="24" width="12.54296875" style="16" hidden="1" customWidth="1" outlineLevel="1"/>
    <col min="25" max="25" width="30.54296875" style="16" hidden="1" customWidth="1" outlineLevel="1"/>
    <col min="26" max="36" width="12.54296875" style="16" hidden="1" customWidth="1" outlineLevel="1"/>
    <col min="37" max="37" width="30.54296875" style="16" hidden="1" customWidth="1" outlineLevel="1"/>
    <col min="38" max="48" width="12.54296875" style="16" hidden="1" customWidth="1" outlineLevel="1"/>
    <col min="49" max="49" width="9.1796875" style="16" collapsed="1"/>
    <col min="50" max="56" width="9.1796875" style="16"/>
    <col min="57" max="57" width="9.54296875" style="16" bestFit="1" customWidth="1"/>
    <col min="58" max="16384" width="9.1796875" style="16"/>
  </cols>
  <sheetData>
    <row r="1" spans="1:57" s="56" customFormat="1" ht="37.5">
      <c r="A1" s="107" t="s">
        <v>460</v>
      </c>
      <c r="B1" s="108" t="str">
        <f>IF('Project information'!$F$3="PDL","Program Development Leader","Technical Project Leader")</f>
        <v>Program Development Leader</v>
      </c>
      <c r="C1" s="124" t="s">
        <v>120</v>
      </c>
      <c r="D1" s="124" t="s">
        <v>121</v>
      </c>
      <c r="E1" s="124" t="s">
        <v>122</v>
      </c>
      <c r="F1" s="126" t="s">
        <v>123</v>
      </c>
      <c r="G1" s="126" t="s">
        <v>124</v>
      </c>
      <c r="H1" s="127" t="s">
        <v>120</v>
      </c>
      <c r="I1" s="125" t="s">
        <v>121</v>
      </c>
      <c r="J1" s="125" t="s">
        <v>122</v>
      </c>
      <c r="K1" s="127" t="s">
        <v>123</v>
      </c>
      <c r="L1" s="128" t="s">
        <v>124</v>
      </c>
      <c r="M1" s="107" t="s">
        <v>93</v>
      </c>
      <c r="N1" s="108" t="str">
        <f>B1</f>
        <v>Program Development Leader</v>
      </c>
      <c r="O1" s="124" t="s">
        <v>120</v>
      </c>
      <c r="P1" s="124" t="s">
        <v>121</v>
      </c>
      <c r="Q1" s="124" t="s">
        <v>122</v>
      </c>
      <c r="R1" s="126" t="s">
        <v>123</v>
      </c>
      <c r="S1" s="126" t="s">
        <v>124</v>
      </c>
      <c r="T1" s="127" t="s">
        <v>120</v>
      </c>
      <c r="U1" s="125" t="s">
        <v>121</v>
      </c>
      <c r="V1" s="125" t="s">
        <v>122</v>
      </c>
      <c r="W1" s="127" t="s">
        <v>123</v>
      </c>
      <c r="X1" s="128" t="s">
        <v>124</v>
      </c>
      <c r="Y1" s="107" t="s">
        <v>483</v>
      </c>
      <c r="Z1" s="108" t="str">
        <f>N1</f>
        <v>Program Development Leader</v>
      </c>
      <c r="AA1" s="124" t="s">
        <v>120</v>
      </c>
      <c r="AB1" s="124" t="s">
        <v>121</v>
      </c>
      <c r="AC1" s="124" t="s">
        <v>122</v>
      </c>
      <c r="AD1" s="126" t="s">
        <v>123</v>
      </c>
      <c r="AE1" s="126" t="s">
        <v>124</v>
      </c>
      <c r="AF1" s="127" t="s">
        <v>120</v>
      </c>
      <c r="AG1" s="125" t="s">
        <v>121</v>
      </c>
      <c r="AH1" s="125" t="s">
        <v>122</v>
      </c>
      <c r="AI1" s="127" t="s">
        <v>123</v>
      </c>
      <c r="AJ1" s="128" t="s">
        <v>124</v>
      </c>
      <c r="AK1" s="107" t="s">
        <v>482</v>
      </c>
      <c r="AL1" s="108" t="str">
        <f>Z1</f>
        <v>Program Development Leader</v>
      </c>
      <c r="AM1" s="124" t="s">
        <v>120</v>
      </c>
      <c r="AN1" s="124" t="s">
        <v>121</v>
      </c>
      <c r="AO1" s="124" t="s">
        <v>122</v>
      </c>
      <c r="AP1" s="126" t="s">
        <v>123</v>
      </c>
      <c r="AQ1" s="126" t="s">
        <v>124</v>
      </c>
      <c r="AR1" s="127" t="s">
        <v>120</v>
      </c>
      <c r="AS1" s="125" t="s">
        <v>121</v>
      </c>
      <c r="AT1" s="125" t="s">
        <v>122</v>
      </c>
      <c r="AU1" s="127" t="s">
        <v>123</v>
      </c>
      <c r="AV1" s="128" t="s">
        <v>124</v>
      </c>
      <c r="AX1" s="56" t="s">
        <v>1336</v>
      </c>
      <c r="AY1" s="56" t="s">
        <v>1337</v>
      </c>
      <c r="AZ1" s="56" t="s">
        <v>1338</v>
      </c>
      <c r="BA1" s="56" t="s">
        <v>1339</v>
      </c>
      <c r="BE1" s="56" t="s">
        <v>603</v>
      </c>
    </row>
    <row r="2" spans="1:57">
      <c r="A2" s="109" t="s">
        <v>490</v>
      </c>
      <c r="B2" s="223" cm="1">
        <f t="array" ref="B2">IF(INDEX('Dropdown list'!$G$1:$J$94,MATCH('Project information'!$A$4&amp;'Project information'!$B$7,'Dropdown list'!$G$1:$G$94&amp;'Dropdown list'!$I$1:$I$94,0),4)="Y",IF('Project information'!$F$3="PDL",AX2,AZ2),IF('Project information'!$F$3="PDL",AY2,BA2))</f>
        <v>996.79690773067341</v>
      </c>
      <c r="C2" s="33">
        <f t="shared" ref="C2:C16" si="0">ROUND($B2*H2,0)</f>
        <v>121</v>
      </c>
      <c r="D2" s="33">
        <f t="shared" ref="D2:D16" si="1">ROUND($B2*I2,0)</f>
        <v>399</v>
      </c>
      <c r="E2" s="33">
        <f t="shared" ref="E2:E16" si="2">ROUND($B2*J2,0)</f>
        <v>233</v>
      </c>
      <c r="F2" s="33">
        <f t="shared" ref="F2:F16" si="3">ROUND($B2*K2,0)</f>
        <v>199</v>
      </c>
      <c r="G2" s="33">
        <f t="shared" ref="G2:G16" si="4">ROUND($B2*L2,0)</f>
        <v>45</v>
      </c>
      <c r="H2" s="120">
        <v>0.1210087640957859</v>
      </c>
      <c r="I2" s="120">
        <v>0.4</v>
      </c>
      <c r="J2" s="120">
        <v>0.23356106883863809</v>
      </c>
      <c r="K2" s="120">
        <v>0.2</v>
      </c>
      <c r="L2" s="121">
        <v>4.5430167065575913E-2</v>
      </c>
      <c r="M2" s="109" t="str">
        <f t="shared" ref="M2:M18" si="5">$A2</f>
        <v>Cold End Complex</v>
      </c>
      <c r="N2" s="33">
        <v>1220</v>
      </c>
      <c r="O2" s="33">
        <f t="shared" ref="O2:O18" si="6">ROUND($N2*T2,0)</f>
        <v>122</v>
      </c>
      <c r="P2" s="33">
        <f t="shared" ref="P2:P18" si="7">ROUND($N2*U2,0)</f>
        <v>305</v>
      </c>
      <c r="Q2" s="33">
        <f t="shared" ref="Q2:Q18" si="8">ROUND($N2*V2,0)</f>
        <v>488</v>
      </c>
      <c r="R2" s="33">
        <f t="shared" ref="R2:R18" si="9">ROUND($N2*W2,0)</f>
        <v>183</v>
      </c>
      <c r="S2" s="33">
        <f t="shared" ref="S2:S18" si="10">ROUND($N2*X2,0)</f>
        <v>122</v>
      </c>
      <c r="T2" s="120">
        <v>0.1</v>
      </c>
      <c r="U2" s="120">
        <v>0.25</v>
      </c>
      <c r="V2" s="120">
        <v>0.4</v>
      </c>
      <c r="W2" s="120">
        <v>0.15</v>
      </c>
      <c r="X2" s="121">
        <v>0.1</v>
      </c>
      <c r="Y2" s="109" t="str">
        <f t="shared" ref="Y2:Y17" si="11">$A2</f>
        <v>Cold End Complex</v>
      </c>
      <c r="Z2" s="33">
        <v>900</v>
      </c>
      <c r="AA2" s="33">
        <f t="shared" ref="AA2:AA18" si="12">ROUND($Z2*AF2,0)</f>
        <v>225</v>
      </c>
      <c r="AB2" s="33">
        <f t="shared" ref="AB2:AB18" si="13">ROUND($Z2*AG2,0)</f>
        <v>270</v>
      </c>
      <c r="AC2" s="33">
        <f t="shared" ref="AC2:AC18" si="14">ROUND($Z2*AH2,0)</f>
        <v>225</v>
      </c>
      <c r="AD2" s="33">
        <f t="shared" ref="AD2:AD18" si="15">ROUND($Z2*AI2,0)</f>
        <v>162</v>
      </c>
      <c r="AE2" s="33">
        <f t="shared" ref="AE2:AE18" si="16">ROUND($Z2*AJ2,0)</f>
        <v>18</v>
      </c>
      <c r="AF2" s="120">
        <v>0.25</v>
      </c>
      <c r="AG2" s="120">
        <v>0.3</v>
      </c>
      <c r="AH2" s="120">
        <v>0.25</v>
      </c>
      <c r="AI2" s="120">
        <v>0.18</v>
      </c>
      <c r="AJ2" s="121">
        <v>0.02</v>
      </c>
      <c r="AK2" s="109" t="str">
        <f t="shared" ref="AK2:AK17" si="17">$A2</f>
        <v>Cold End Complex</v>
      </c>
      <c r="AL2" s="33"/>
      <c r="AM2" s="33">
        <f t="shared" ref="AM2:AM18" si="18">ROUND($AL2*AR2,0)</f>
        <v>0</v>
      </c>
      <c r="AN2" s="33">
        <f t="shared" ref="AN2:AN18" si="19">ROUND($AL2*AS2,0)</f>
        <v>0</v>
      </c>
      <c r="AO2" s="33">
        <f t="shared" ref="AO2:AO18" si="20">ROUND($AL2*AT2,0)</f>
        <v>0</v>
      </c>
      <c r="AP2" s="33">
        <f t="shared" ref="AP2:AP18" si="21">ROUND($AL2*AU2,0)</f>
        <v>0</v>
      </c>
      <c r="AQ2" s="33">
        <f t="shared" ref="AQ2:AQ18" si="22">ROUND($AL2*AV2,0)</f>
        <v>0</v>
      </c>
      <c r="AR2" s="120"/>
      <c r="AS2" s="120"/>
      <c r="AT2" s="120"/>
      <c r="AU2" s="120"/>
      <c r="AV2" s="121"/>
      <c r="AX2" s="220">
        <v>996.79690773067341</v>
      </c>
      <c r="AY2" s="222">
        <v>909.79468386390636</v>
      </c>
      <c r="AZ2" s="222">
        <v>901.57944837905234</v>
      </c>
      <c r="BA2" s="222">
        <v>822.88797532851163</v>
      </c>
      <c r="BD2" s="221"/>
      <c r="BE2" s="222">
        <f>$BE$3/$AX$3*AX2</f>
        <v>55211.970074812976</v>
      </c>
    </row>
    <row r="3" spans="1:57">
      <c r="A3" s="109" t="s">
        <v>494</v>
      </c>
      <c r="B3" s="223" cm="1">
        <f t="array" ref="B3">IF(INDEX('Dropdown list'!$G$1:$J$94,MATCH('Project information'!$A$4&amp;'Project information'!$B$7,'Dropdown list'!$G$1:$G$94&amp;'Dropdown list'!$I$1:$I$94,0),4)="Y",IF('Project information'!$F$3="PDL",AX3,AZ3),IF('Project information'!$F$3="PDL",AY3,BA3))</f>
        <v>902.7</v>
      </c>
      <c r="C3" s="33">
        <f t="shared" si="0"/>
        <v>109</v>
      </c>
      <c r="D3" s="33">
        <f t="shared" si="1"/>
        <v>361</v>
      </c>
      <c r="E3" s="33">
        <f t="shared" si="2"/>
        <v>211</v>
      </c>
      <c r="F3" s="33">
        <f t="shared" si="3"/>
        <v>181</v>
      </c>
      <c r="G3" s="33">
        <f t="shared" si="4"/>
        <v>41</v>
      </c>
      <c r="H3" s="120">
        <v>0.1210087640957859</v>
      </c>
      <c r="I3" s="120">
        <v>0.4</v>
      </c>
      <c r="J3" s="120">
        <v>0.23356106883863809</v>
      </c>
      <c r="K3" s="120">
        <v>0.2</v>
      </c>
      <c r="L3" s="121">
        <v>4.5430167065575913E-2</v>
      </c>
      <c r="M3" s="109" t="str">
        <f t="shared" si="5"/>
        <v>Cold End Simple</v>
      </c>
      <c r="N3" s="33">
        <v>813</v>
      </c>
      <c r="O3" s="33">
        <f t="shared" si="6"/>
        <v>81</v>
      </c>
      <c r="P3" s="33">
        <f t="shared" si="7"/>
        <v>203</v>
      </c>
      <c r="Q3" s="33">
        <f t="shared" si="8"/>
        <v>325</v>
      </c>
      <c r="R3" s="33">
        <f t="shared" si="9"/>
        <v>122</v>
      </c>
      <c r="S3" s="33">
        <f t="shared" si="10"/>
        <v>81</v>
      </c>
      <c r="T3" s="120">
        <v>0.1</v>
      </c>
      <c r="U3" s="120">
        <v>0.25</v>
      </c>
      <c r="V3" s="120">
        <v>0.4</v>
      </c>
      <c r="W3" s="120">
        <v>0.15</v>
      </c>
      <c r="X3" s="121">
        <v>0.1</v>
      </c>
      <c r="Y3" s="109" t="str">
        <f t="shared" si="11"/>
        <v>Cold End Simple</v>
      </c>
      <c r="Z3" s="33">
        <v>600</v>
      </c>
      <c r="AA3" s="33">
        <f t="shared" si="12"/>
        <v>150</v>
      </c>
      <c r="AB3" s="33">
        <f t="shared" si="13"/>
        <v>180</v>
      </c>
      <c r="AC3" s="33">
        <f t="shared" si="14"/>
        <v>150</v>
      </c>
      <c r="AD3" s="33">
        <f t="shared" si="15"/>
        <v>108</v>
      </c>
      <c r="AE3" s="33">
        <f t="shared" si="16"/>
        <v>12</v>
      </c>
      <c r="AF3" s="120">
        <v>0.25</v>
      </c>
      <c r="AG3" s="120">
        <v>0.3</v>
      </c>
      <c r="AH3" s="120">
        <v>0.25</v>
      </c>
      <c r="AI3" s="120">
        <v>0.18</v>
      </c>
      <c r="AJ3" s="121">
        <v>0.02</v>
      </c>
      <c r="AK3" s="109" t="str">
        <f t="shared" si="17"/>
        <v>Cold End Simple</v>
      </c>
      <c r="AL3" s="33"/>
      <c r="AM3" s="33">
        <f t="shared" si="18"/>
        <v>0</v>
      </c>
      <c r="AN3" s="33">
        <f t="shared" si="19"/>
        <v>0</v>
      </c>
      <c r="AO3" s="33">
        <f t="shared" si="20"/>
        <v>0</v>
      </c>
      <c r="AP3" s="33">
        <f t="shared" si="21"/>
        <v>0</v>
      </c>
      <c r="AQ3" s="33">
        <f t="shared" si="22"/>
        <v>0</v>
      </c>
      <c r="AR3" s="120"/>
      <c r="AS3" s="120"/>
      <c r="AT3" s="120"/>
      <c r="AU3" s="120"/>
      <c r="AV3" s="121"/>
      <c r="AX3" s="204">
        <v>902.7</v>
      </c>
      <c r="AY3" s="204">
        <v>823.91072319201999</v>
      </c>
      <c r="AZ3" s="204">
        <v>816.471</v>
      </c>
      <c r="BA3" s="204">
        <v>745.20794513715714</v>
      </c>
      <c r="BB3" s="204"/>
      <c r="BD3" s="221"/>
      <c r="BE3" s="16">
        <v>50000</v>
      </c>
    </row>
    <row r="4" spans="1:57">
      <c r="A4" s="109" t="s">
        <v>498</v>
      </c>
      <c r="B4" s="223" cm="1">
        <f t="array" ref="B4">IF(INDEX('Dropdown list'!$G$1:$J$94,MATCH('Project information'!$A$4&amp;'Project information'!$B$7,'Dropdown list'!$G$1:$G$94&amp;'Dropdown list'!$I$1:$I$94,0),4)="Y",IF('Project information'!$F$3="PDL",AX4,AZ4),IF('Project information'!$F$3="PDL",AY4,BA4))</f>
        <v>1034.615760598504</v>
      </c>
      <c r="C4" s="33">
        <f t="shared" si="0"/>
        <v>125</v>
      </c>
      <c r="D4" s="33">
        <f t="shared" si="1"/>
        <v>310</v>
      </c>
      <c r="E4" s="33">
        <f t="shared" si="2"/>
        <v>345</v>
      </c>
      <c r="F4" s="33">
        <f t="shared" si="3"/>
        <v>207</v>
      </c>
      <c r="G4" s="33">
        <f t="shared" si="4"/>
        <v>47</v>
      </c>
      <c r="H4" s="120">
        <v>0.1210087640957859</v>
      </c>
      <c r="I4" s="120">
        <v>0.3</v>
      </c>
      <c r="J4" s="120">
        <v>0.33356106883863818</v>
      </c>
      <c r="K4" s="120">
        <v>0.2</v>
      </c>
      <c r="L4" s="121">
        <v>4.5430167065575913E-2</v>
      </c>
      <c r="M4" s="109" t="str">
        <f t="shared" si="5"/>
        <v>Diesel (DOC+DPF)</v>
      </c>
      <c r="N4" s="33">
        <v>575</v>
      </c>
      <c r="O4" s="33">
        <f t="shared" si="6"/>
        <v>58</v>
      </c>
      <c r="P4" s="33">
        <f t="shared" si="7"/>
        <v>144</v>
      </c>
      <c r="Q4" s="33">
        <f t="shared" si="8"/>
        <v>230</v>
      </c>
      <c r="R4" s="33">
        <f t="shared" si="9"/>
        <v>86</v>
      </c>
      <c r="S4" s="33">
        <f t="shared" si="10"/>
        <v>58</v>
      </c>
      <c r="T4" s="120">
        <v>0.1</v>
      </c>
      <c r="U4" s="120">
        <v>0.25</v>
      </c>
      <c r="V4" s="120">
        <v>0.4</v>
      </c>
      <c r="W4" s="120">
        <v>0.15</v>
      </c>
      <c r="X4" s="121">
        <v>0.1</v>
      </c>
      <c r="Y4" s="109" t="str">
        <f t="shared" si="11"/>
        <v>Diesel (DOC+DPF)</v>
      </c>
      <c r="Z4" s="33">
        <v>980</v>
      </c>
      <c r="AA4" s="33">
        <f t="shared" si="12"/>
        <v>245</v>
      </c>
      <c r="AB4" s="33">
        <f t="shared" si="13"/>
        <v>294</v>
      </c>
      <c r="AC4" s="33">
        <f t="shared" si="14"/>
        <v>245</v>
      </c>
      <c r="AD4" s="33">
        <f t="shared" si="15"/>
        <v>176</v>
      </c>
      <c r="AE4" s="33">
        <f t="shared" si="16"/>
        <v>20</v>
      </c>
      <c r="AF4" s="120">
        <v>0.25</v>
      </c>
      <c r="AG4" s="120">
        <v>0.3</v>
      </c>
      <c r="AH4" s="120">
        <v>0.25</v>
      </c>
      <c r="AI4" s="120">
        <v>0.18</v>
      </c>
      <c r="AJ4" s="121">
        <v>0.02</v>
      </c>
      <c r="AK4" s="109" t="str">
        <f t="shared" si="17"/>
        <v>Diesel (DOC+DPF)</v>
      </c>
      <c r="AL4" s="33"/>
      <c r="AM4" s="33">
        <f t="shared" si="18"/>
        <v>0</v>
      </c>
      <c r="AN4" s="33">
        <f t="shared" si="19"/>
        <v>0</v>
      </c>
      <c r="AO4" s="33">
        <f t="shared" si="20"/>
        <v>0</v>
      </c>
      <c r="AP4" s="33">
        <f t="shared" si="21"/>
        <v>0</v>
      </c>
      <c r="AQ4" s="33">
        <f t="shared" si="22"/>
        <v>0</v>
      </c>
      <c r="AR4" s="120"/>
      <c r="AS4" s="120"/>
      <c r="AT4" s="120"/>
      <c r="AU4" s="120"/>
      <c r="AV4" s="121"/>
      <c r="AX4" s="220">
        <v>1034.615760598504</v>
      </c>
      <c r="AY4" s="220">
        <v>944.31263934925789</v>
      </c>
      <c r="AZ4" s="220">
        <v>935.78571471321698</v>
      </c>
      <c r="BA4" s="220">
        <v>854.10865731929528</v>
      </c>
      <c r="BD4" s="221"/>
      <c r="BE4" s="220">
        <f>$BE$3/$AX$3*AX4</f>
        <v>57306.733167082311</v>
      </c>
    </row>
    <row r="5" spans="1:57" ht="37.5">
      <c r="A5" s="109" t="s">
        <v>500</v>
      </c>
      <c r="B5" s="223" cm="1">
        <f t="array" ref="B5">IF(INDEX('Dropdown list'!$G$1:$J$94,MATCH('Project information'!$A$4&amp;'Project information'!$B$7,'Dropdown list'!$G$1:$G$94&amp;'Dropdown list'!$I$1:$I$94,0),4)="Y",IF('Project information'!$F$3="PDL",AX5,AZ5),IF('Project information'!$F$3="PDL",AY5,BA5))</f>
        <v>1382</v>
      </c>
      <c r="C5" s="33">
        <f t="shared" si="0"/>
        <v>167</v>
      </c>
      <c r="D5" s="33">
        <f t="shared" si="1"/>
        <v>415</v>
      </c>
      <c r="E5" s="33">
        <f t="shared" si="2"/>
        <v>461</v>
      </c>
      <c r="F5" s="33">
        <f t="shared" si="3"/>
        <v>276</v>
      </c>
      <c r="G5" s="33">
        <f t="shared" si="4"/>
        <v>63</v>
      </c>
      <c r="H5" s="120">
        <v>0.1210087640957859</v>
      </c>
      <c r="I5" s="120">
        <v>0.3</v>
      </c>
      <c r="J5" s="120">
        <v>0.33356106883863818</v>
      </c>
      <c r="K5" s="120">
        <v>0.2</v>
      </c>
      <c r="L5" s="121">
        <v>4.5430167065575913E-2</v>
      </c>
      <c r="M5" s="109" t="str">
        <f t="shared" si="5"/>
        <v>Diesel (DOC+DPF+SCR) Underfloor (with underfloor mixer &amp; underfloor SCR)</v>
      </c>
      <c r="N5" s="33">
        <v>1200</v>
      </c>
      <c r="O5" s="33">
        <f t="shared" si="6"/>
        <v>120</v>
      </c>
      <c r="P5" s="33">
        <f t="shared" si="7"/>
        <v>300</v>
      </c>
      <c r="Q5" s="33">
        <f t="shared" si="8"/>
        <v>480</v>
      </c>
      <c r="R5" s="33">
        <f t="shared" si="9"/>
        <v>180</v>
      </c>
      <c r="S5" s="33">
        <f t="shared" si="10"/>
        <v>120</v>
      </c>
      <c r="T5" s="120">
        <v>0.1</v>
      </c>
      <c r="U5" s="120">
        <v>0.25</v>
      </c>
      <c r="V5" s="120">
        <v>0.4</v>
      </c>
      <c r="W5" s="120">
        <v>0.15</v>
      </c>
      <c r="X5" s="121">
        <v>0.1</v>
      </c>
      <c r="Y5" s="109" t="str">
        <f t="shared" si="11"/>
        <v>Diesel (DOC+DPF+SCR) Underfloor (with underfloor mixer &amp; underfloor SCR)</v>
      </c>
      <c r="Z5" s="33">
        <v>1200</v>
      </c>
      <c r="AA5" s="33">
        <f t="shared" si="12"/>
        <v>300</v>
      </c>
      <c r="AB5" s="33">
        <f t="shared" si="13"/>
        <v>360</v>
      </c>
      <c r="AC5" s="33">
        <f t="shared" si="14"/>
        <v>300</v>
      </c>
      <c r="AD5" s="33">
        <f t="shared" si="15"/>
        <v>216</v>
      </c>
      <c r="AE5" s="33">
        <f t="shared" si="16"/>
        <v>24</v>
      </c>
      <c r="AF5" s="120">
        <v>0.25</v>
      </c>
      <c r="AG5" s="120">
        <v>0.3</v>
      </c>
      <c r="AH5" s="120">
        <v>0.25</v>
      </c>
      <c r="AI5" s="120">
        <v>0.18</v>
      </c>
      <c r="AJ5" s="121">
        <v>0.02</v>
      </c>
      <c r="AK5" s="109" t="str">
        <f t="shared" si="17"/>
        <v>Diesel (DOC+DPF+SCR) Underfloor (with underfloor mixer &amp; underfloor SCR)</v>
      </c>
      <c r="AL5" s="33"/>
      <c r="AM5" s="33">
        <f t="shared" si="18"/>
        <v>0</v>
      </c>
      <c r="AN5" s="33">
        <f t="shared" si="19"/>
        <v>0</v>
      </c>
      <c r="AO5" s="33">
        <f t="shared" si="20"/>
        <v>0</v>
      </c>
      <c r="AP5" s="33">
        <f t="shared" si="21"/>
        <v>0</v>
      </c>
      <c r="AQ5" s="33">
        <f t="shared" si="22"/>
        <v>0</v>
      </c>
      <c r="AR5" s="120"/>
      <c r="AS5" s="120"/>
      <c r="AT5" s="120"/>
      <c r="AU5" s="120"/>
      <c r="AV5" s="121"/>
      <c r="AX5" s="16">
        <v>1382</v>
      </c>
      <c r="AY5" s="16">
        <v>1294</v>
      </c>
      <c r="AZ5" s="16">
        <v>1382</v>
      </c>
      <c r="BA5" s="16">
        <v>1294</v>
      </c>
      <c r="BD5" s="221"/>
      <c r="BE5" s="220">
        <f>$BE$3/$AX$3*AX5</f>
        <v>76548.133377644845</v>
      </c>
    </row>
    <row r="6" spans="1:57" ht="37.5">
      <c r="A6" s="109" t="s">
        <v>505</v>
      </c>
      <c r="B6" s="223" cm="1">
        <f t="array" ref="B6">IF(INDEX('Dropdown list'!$G$1:$J$94,MATCH('Project information'!$A$4&amp;'Project information'!$B$7,'Dropdown list'!$G$1:$G$94&amp;'Dropdown list'!$I$1:$I$94,0),4)="Y",IF('Project information'!$F$3="PDL",AX6,AZ6),IF('Project information'!$F$3="PDL",AY6,BA6))</f>
        <v>1488</v>
      </c>
      <c r="C6" s="33">
        <f t="shared" si="0"/>
        <v>180</v>
      </c>
      <c r="D6" s="33">
        <f t="shared" si="1"/>
        <v>446</v>
      </c>
      <c r="E6" s="33">
        <f t="shared" si="2"/>
        <v>496</v>
      </c>
      <c r="F6" s="33">
        <f t="shared" si="3"/>
        <v>298</v>
      </c>
      <c r="G6" s="33">
        <f t="shared" si="4"/>
        <v>68</v>
      </c>
      <c r="H6" s="120">
        <v>0.1210087640957859</v>
      </c>
      <c r="I6" s="120">
        <v>0.3</v>
      </c>
      <c r="J6" s="120">
        <v>0.33356106883863818</v>
      </c>
      <c r="K6" s="120">
        <v>0.2</v>
      </c>
      <c r="L6" s="121">
        <v>4.5430167065575913E-2</v>
      </c>
      <c r="M6" s="109" t="str">
        <f t="shared" si="5"/>
        <v>Diesel (DOC+SDPF) Compact (Compact mixer in CCC ex: U shape, Chistera...)</v>
      </c>
      <c r="N6" s="33">
        <v>2300</v>
      </c>
      <c r="O6" s="33">
        <f t="shared" si="6"/>
        <v>230</v>
      </c>
      <c r="P6" s="33">
        <f t="shared" si="7"/>
        <v>575</v>
      </c>
      <c r="Q6" s="33">
        <f t="shared" si="8"/>
        <v>920</v>
      </c>
      <c r="R6" s="33">
        <f t="shared" si="9"/>
        <v>345</v>
      </c>
      <c r="S6" s="33">
        <f t="shared" si="10"/>
        <v>230</v>
      </c>
      <c r="T6" s="120">
        <v>0.1</v>
      </c>
      <c r="U6" s="120">
        <v>0.25</v>
      </c>
      <c r="V6" s="120">
        <v>0.4</v>
      </c>
      <c r="W6" s="120">
        <v>0.15</v>
      </c>
      <c r="X6" s="121">
        <v>0.1</v>
      </c>
      <c r="Y6" s="109" t="str">
        <f t="shared" si="11"/>
        <v>Diesel (DOC+SDPF) Compact (Compact mixer in CCC ex: U shape, Chistera...)</v>
      </c>
      <c r="Z6" s="33">
        <v>1300</v>
      </c>
      <c r="AA6" s="33">
        <f t="shared" si="12"/>
        <v>325</v>
      </c>
      <c r="AB6" s="33">
        <f t="shared" si="13"/>
        <v>390</v>
      </c>
      <c r="AC6" s="33">
        <f t="shared" si="14"/>
        <v>325</v>
      </c>
      <c r="AD6" s="33">
        <f t="shared" si="15"/>
        <v>234</v>
      </c>
      <c r="AE6" s="33">
        <f t="shared" si="16"/>
        <v>26</v>
      </c>
      <c r="AF6" s="120">
        <v>0.25</v>
      </c>
      <c r="AG6" s="120">
        <v>0.3</v>
      </c>
      <c r="AH6" s="120">
        <v>0.25</v>
      </c>
      <c r="AI6" s="120">
        <v>0.18</v>
      </c>
      <c r="AJ6" s="121">
        <v>0.02</v>
      </c>
      <c r="AK6" s="109" t="str">
        <f t="shared" si="17"/>
        <v>Diesel (DOC+SDPF) Compact (Compact mixer in CCC ex: U shape, Chistera...)</v>
      </c>
      <c r="AL6" s="33"/>
      <c r="AM6" s="33">
        <f t="shared" si="18"/>
        <v>0</v>
      </c>
      <c r="AN6" s="33">
        <f t="shared" si="19"/>
        <v>0</v>
      </c>
      <c r="AO6" s="33">
        <f t="shared" si="20"/>
        <v>0</v>
      </c>
      <c r="AP6" s="33">
        <f t="shared" si="21"/>
        <v>0</v>
      </c>
      <c r="AQ6" s="33">
        <f t="shared" si="22"/>
        <v>0</v>
      </c>
      <c r="AR6" s="120"/>
      <c r="AS6" s="120"/>
      <c r="AT6" s="120"/>
      <c r="AU6" s="120"/>
      <c r="AV6" s="121"/>
      <c r="AX6" s="16">
        <v>1488</v>
      </c>
      <c r="AY6" s="16">
        <v>1400</v>
      </c>
      <c r="AZ6" s="16">
        <v>1488</v>
      </c>
      <c r="BA6" s="16">
        <v>1400</v>
      </c>
      <c r="BD6" s="221"/>
      <c r="BE6" s="220">
        <f>$BE$3/$AX$3*AX6</f>
        <v>82419.408441342632</v>
      </c>
    </row>
    <row r="7" spans="1:57">
      <c r="A7" s="109" t="s">
        <v>509</v>
      </c>
      <c r="B7" s="223" cm="1">
        <f t="array" ref="B7">IF(INDEX('Dropdown list'!$G$1:$J$94,MATCH('Project information'!$A$4&amp;'Project information'!$B$7,'Dropdown list'!$G$1:$G$94&amp;'Dropdown list'!$I$1:$I$94,0),4)="Y",IF('Project information'!$F$3="PDL",AX7,AZ7),IF('Project information'!$F$3="PDL",AY7,BA7))</f>
        <v>386.29256857855358</v>
      </c>
      <c r="C7" s="33">
        <f t="shared" si="0"/>
        <v>47</v>
      </c>
      <c r="D7" s="33">
        <f t="shared" si="1"/>
        <v>116</v>
      </c>
      <c r="E7" s="33">
        <f t="shared" si="2"/>
        <v>129</v>
      </c>
      <c r="F7" s="33">
        <f t="shared" si="3"/>
        <v>77</v>
      </c>
      <c r="G7" s="33">
        <f t="shared" si="4"/>
        <v>18</v>
      </c>
      <c r="H7" s="120">
        <v>0.1210087640957859</v>
      </c>
      <c r="I7" s="120">
        <v>0.3</v>
      </c>
      <c r="J7" s="120">
        <v>0.33356106883863818</v>
      </c>
      <c r="K7" s="120">
        <v>0.2</v>
      </c>
      <c r="L7" s="121">
        <v>4.5430167065575913E-2</v>
      </c>
      <c r="M7" s="109" t="str">
        <f t="shared" si="5"/>
        <v>Manifold</v>
      </c>
      <c r="N7" s="33">
        <v>500</v>
      </c>
      <c r="O7" s="33">
        <f t="shared" si="6"/>
        <v>125</v>
      </c>
      <c r="P7" s="33">
        <f t="shared" si="7"/>
        <v>150</v>
      </c>
      <c r="Q7" s="33">
        <f t="shared" si="8"/>
        <v>125</v>
      </c>
      <c r="R7" s="33">
        <f t="shared" si="9"/>
        <v>90</v>
      </c>
      <c r="S7" s="33">
        <f t="shared" si="10"/>
        <v>10</v>
      </c>
      <c r="T7" s="120">
        <v>0.25</v>
      </c>
      <c r="U7" s="120">
        <v>0.3</v>
      </c>
      <c r="V7" s="120">
        <v>0.25</v>
      </c>
      <c r="W7" s="120">
        <v>0.18</v>
      </c>
      <c r="X7" s="121">
        <v>0.02</v>
      </c>
      <c r="Y7" s="109" t="str">
        <f t="shared" si="11"/>
        <v>Manifold</v>
      </c>
      <c r="Z7" s="33">
        <v>600</v>
      </c>
      <c r="AA7" s="33">
        <f t="shared" si="12"/>
        <v>150</v>
      </c>
      <c r="AB7" s="33">
        <f t="shared" si="13"/>
        <v>180</v>
      </c>
      <c r="AC7" s="33">
        <f t="shared" si="14"/>
        <v>150</v>
      </c>
      <c r="AD7" s="33">
        <f t="shared" si="15"/>
        <v>108</v>
      </c>
      <c r="AE7" s="33">
        <f t="shared" si="16"/>
        <v>12</v>
      </c>
      <c r="AF7" s="120">
        <v>0.25</v>
      </c>
      <c r="AG7" s="120">
        <v>0.3</v>
      </c>
      <c r="AH7" s="120">
        <v>0.25</v>
      </c>
      <c r="AI7" s="120">
        <v>0.18</v>
      </c>
      <c r="AJ7" s="121">
        <v>0.02</v>
      </c>
      <c r="AK7" s="109" t="str">
        <f t="shared" si="17"/>
        <v>Manifold</v>
      </c>
      <c r="AL7" s="33"/>
      <c r="AM7" s="33">
        <f t="shared" si="18"/>
        <v>0</v>
      </c>
      <c r="AN7" s="33">
        <f t="shared" si="19"/>
        <v>0</v>
      </c>
      <c r="AO7" s="33">
        <f t="shared" si="20"/>
        <v>0</v>
      </c>
      <c r="AP7" s="33">
        <f t="shared" si="21"/>
        <v>0</v>
      </c>
      <c r="AQ7" s="33">
        <f t="shared" si="22"/>
        <v>0</v>
      </c>
      <c r="AR7" s="120"/>
      <c r="AS7" s="120"/>
      <c r="AT7" s="120"/>
      <c r="AU7" s="120"/>
      <c r="AV7" s="121"/>
      <c r="AX7" s="220">
        <v>386.29256857855358</v>
      </c>
      <c r="AY7" s="220">
        <v>352.57625960037558</v>
      </c>
      <c r="AZ7" s="220">
        <v>349.3925775561097</v>
      </c>
      <c r="BA7" s="220">
        <v>318.89696604871858</v>
      </c>
      <c r="BD7" s="221"/>
      <c r="BE7" s="220">
        <f>$BE$3/$AX$3*AX7</f>
        <v>21396.50872817955</v>
      </c>
    </row>
    <row r="8" spans="1:57">
      <c r="A8" s="109" t="s">
        <v>512</v>
      </c>
      <c r="B8" s="223" cm="1">
        <f t="array" ref="B8">IF(INDEX('Dropdown list'!$G$1:$J$94,MATCH('Project information'!$A$4&amp;'Project information'!$B$7,'Dropdown list'!$G$1:$G$94&amp;'Dropdown list'!$I$1:$I$94,0),4)="Y",IF('Project information'!$F$3="PDL",AX8,AZ8),IF('Project information'!$F$3="PDL",AY8,BA8))</f>
        <v>596.09715710723196</v>
      </c>
      <c r="C8" s="33">
        <f t="shared" si="0"/>
        <v>72</v>
      </c>
      <c r="D8" s="33">
        <f t="shared" si="1"/>
        <v>179</v>
      </c>
      <c r="E8" s="33">
        <f t="shared" si="2"/>
        <v>199</v>
      </c>
      <c r="F8" s="33">
        <f t="shared" si="3"/>
        <v>119</v>
      </c>
      <c r="G8" s="33">
        <f t="shared" si="4"/>
        <v>27</v>
      </c>
      <c r="H8" s="120">
        <v>0.1210087640957859</v>
      </c>
      <c r="I8" s="120">
        <v>0.3</v>
      </c>
      <c r="J8" s="120">
        <v>0.33356106883863818</v>
      </c>
      <c r="K8" s="120">
        <v>0.2</v>
      </c>
      <c r="L8" s="121">
        <v>4.5430167065575913E-2</v>
      </c>
      <c r="M8" s="109" t="str">
        <f t="shared" si="5"/>
        <v xml:space="preserve">Maniverter </v>
      </c>
      <c r="N8" s="33">
        <v>690</v>
      </c>
      <c r="O8" s="33">
        <f t="shared" si="6"/>
        <v>69</v>
      </c>
      <c r="P8" s="33">
        <f t="shared" si="7"/>
        <v>173</v>
      </c>
      <c r="Q8" s="33">
        <f t="shared" si="8"/>
        <v>276</v>
      </c>
      <c r="R8" s="33">
        <f t="shared" si="9"/>
        <v>104</v>
      </c>
      <c r="S8" s="33">
        <f t="shared" si="10"/>
        <v>69</v>
      </c>
      <c r="T8" s="120">
        <v>0.1</v>
      </c>
      <c r="U8" s="120">
        <v>0.25</v>
      </c>
      <c r="V8" s="120">
        <v>0.4</v>
      </c>
      <c r="W8" s="120">
        <v>0.15</v>
      </c>
      <c r="X8" s="121">
        <v>0.1</v>
      </c>
      <c r="Y8" s="109" t="str">
        <f t="shared" si="11"/>
        <v xml:space="preserve">Maniverter </v>
      </c>
      <c r="Z8" s="33">
        <v>700</v>
      </c>
      <c r="AA8" s="33">
        <f t="shared" si="12"/>
        <v>175</v>
      </c>
      <c r="AB8" s="33">
        <f t="shared" si="13"/>
        <v>210</v>
      </c>
      <c r="AC8" s="33">
        <f t="shared" si="14"/>
        <v>175</v>
      </c>
      <c r="AD8" s="33">
        <f t="shared" si="15"/>
        <v>126</v>
      </c>
      <c r="AE8" s="33">
        <f t="shared" si="16"/>
        <v>14</v>
      </c>
      <c r="AF8" s="120">
        <v>0.25</v>
      </c>
      <c r="AG8" s="120">
        <v>0.3</v>
      </c>
      <c r="AH8" s="120">
        <v>0.25</v>
      </c>
      <c r="AI8" s="120">
        <v>0.18</v>
      </c>
      <c r="AJ8" s="121">
        <v>0.02</v>
      </c>
      <c r="AK8" s="109" t="str">
        <f t="shared" si="17"/>
        <v xml:space="preserve">Maniverter </v>
      </c>
      <c r="AL8" s="33"/>
      <c r="AM8" s="33">
        <f t="shared" si="18"/>
        <v>0</v>
      </c>
      <c r="AN8" s="33">
        <f t="shared" si="19"/>
        <v>0</v>
      </c>
      <c r="AO8" s="33">
        <f t="shared" si="20"/>
        <v>0</v>
      </c>
      <c r="AP8" s="33">
        <f t="shared" si="21"/>
        <v>0</v>
      </c>
      <c r="AQ8" s="33">
        <f t="shared" si="22"/>
        <v>0</v>
      </c>
      <c r="AR8" s="120"/>
      <c r="AS8" s="120"/>
      <c r="AT8" s="120"/>
      <c r="AU8" s="120"/>
      <c r="AV8" s="121"/>
      <c r="AX8" s="220">
        <v>596.09715710723196</v>
      </c>
      <c r="AY8" s="220">
        <v>544.06872693577782</v>
      </c>
      <c r="AZ8" s="220">
        <v>539.15591221945135</v>
      </c>
      <c r="BA8" s="220">
        <v>492.09741614044691</v>
      </c>
      <c r="BD8" s="221"/>
      <c r="BE8" s="220">
        <f>$BE$3/$AX$3*AX8</f>
        <v>33017.456359102245</v>
      </c>
    </row>
    <row r="9" spans="1:57">
      <c r="A9" s="109" t="s">
        <v>514</v>
      </c>
      <c r="B9" s="223" cm="1">
        <f t="array" ref="B9">IF(INDEX('Dropdown list'!$G$1:$J$94,MATCH('Project information'!$A$4&amp;'Project information'!$B$7,'Dropdown list'!$G$1:$G$94&amp;'Dropdown list'!$I$1:$I$94,0),4)="Y",IF('Project information'!$F$3="PDL",AX9,AZ9),IF('Project information'!$F$3="PDL",AY9,BA9))</f>
        <v>903.6</v>
      </c>
      <c r="C9" s="33">
        <f t="shared" si="0"/>
        <v>109</v>
      </c>
      <c r="D9" s="33">
        <f t="shared" si="1"/>
        <v>271</v>
      </c>
      <c r="E9" s="33">
        <f t="shared" si="2"/>
        <v>301</v>
      </c>
      <c r="F9" s="33">
        <f t="shared" si="3"/>
        <v>181</v>
      </c>
      <c r="G9" s="33">
        <f t="shared" si="4"/>
        <v>41</v>
      </c>
      <c r="H9" s="120">
        <v>0.1210087640957859</v>
      </c>
      <c r="I9" s="120">
        <v>0.3</v>
      </c>
      <c r="J9" s="120">
        <v>0.33356106883863818</v>
      </c>
      <c r="K9" s="120">
        <v>0.2</v>
      </c>
      <c r="L9" s="121">
        <v>4.5430167065575913E-2</v>
      </c>
      <c r="M9" s="109" t="str">
        <f t="shared" si="5"/>
        <v>Turbo HE</v>
      </c>
      <c r="N9" s="33">
        <v>575</v>
      </c>
      <c r="O9" s="33">
        <f t="shared" si="6"/>
        <v>58</v>
      </c>
      <c r="P9" s="33">
        <f t="shared" si="7"/>
        <v>144</v>
      </c>
      <c r="Q9" s="33">
        <f t="shared" si="8"/>
        <v>230</v>
      </c>
      <c r="R9" s="33">
        <f t="shared" si="9"/>
        <v>86</v>
      </c>
      <c r="S9" s="33">
        <f t="shared" si="10"/>
        <v>58</v>
      </c>
      <c r="T9" s="120">
        <v>0.1</v>
      </c>
      <c r="U9" s="120">
        <v>0.25</v>
      </c>
      <c r="V9" s="120">
        <v>0.4</v>
      </c>
      <c r="W9" s="120">
        <v>0.15</v>
      </c>
      <c r="X9" s="121">
        <v>0.1</v>
      </c>
      <c r="Y9" s="109" t="str">
        <f t="shared" si="11"/>
        <v>Turbo HE</v>
      </c>
      <c r="Z9" s="33">
        <v>650</v>
      </c>
      <c r="AA9" s="33">
        <f t="shared" si="12"/>
        <v>163</v>
      </c>
      <c r="AB9" s="33">
        <f t="shared" si="13"/>
        <v>195</v>
      </c>
      <c r="AC9" s="33">
        <f t="shared" si="14"/>
        <v>163</v>
      </c>
      <c r="AD9" s="33">
        <f t="shared" si="15"/>
        <v>117</v>
      </c>
      <c r="AE9" s="33">
        <f t="shared" si="16"/>
        <v>13</v>
      </c>
      <c r="AF9" s="120">
        <v>0.25</v>
      </c>
      <c r="AG9" s="120">
        <v>0.3</v>
      </c>
      <c r="AH9" s="120">
        <v>0.25</v>
      </c>
      <c r="AI9" s="120">
        <v>0.18</v>
      </c>
      <c r="AJ9" s="121">
        <v>0.02</v>
      </c>
      <c r="AK9" s="109" t="str">
        <f t="shared" si="17"/>
        <v>Turbo HE</v>
      </c>
      <c r="AL9" s="33"/>
      <c r="AM9" s="33">
        <f t="shared" si="18"/>
        <v>0</v>
      </c>
      <c r="AN9" s="33">
        <f t="shared" si="19"/>
        <v>0</v>
      </c>
      <c r="AO9" s="33">
        <f t="shared" si="20"/>
        <v>0</v>
      </c>
      <c r="AP9" s="33">
        <f t="shared" si="21"/>
        <v>0</v>
      </c>
      <c r="AQ9" s="33">
        <f t="shared" si="22"/>
        <v>0</v>
      </c>
      <c r="AR9" s="120"/>
      <c r="AS9" s="120"/>
      <c r="AT9" s="120"/>
      <c r="AU9" s="120"/>
      <c r="AV9" s="121"/>
      <c r="AX9" s="204">
        <v>903.6</v>
      </c>
      <c r="AY9" s="204">
        <v>824.72857712235952</v>
      </c>
      <c r="AZ9" s="204">
        <v>899.38799999999992</v>
      </c>
      <c r="BA9" s="204">
        <v>820.88422479075325</v>
      </c>
      <c r="BB9" s="204"/>
      <c r="BC9" s="204"/>
      <c r="BD9" s="221"/>
      <c r="BE9" s="16">
        <v>30000</v>
      </c>
    </row>
    <row r="10" spans="1:57">
      <c r="A10" s="109" t="s">
        <v>516</v>
      </c>
      <c r="B10" s="223" cm="1">
        <f t="array" ref="B10">IF(INDEX('Dropdown list'!$G$1:$J$94,MATCH('Project information'!$A$4&amp;'Project information'!$B$7,'Dropdown list'!$G$1:$G$94&amp;'Dropdown list'!$I$1:$I$94,0),4)="Y",IF('Project information'!$F$3="PDL",AX10,AZ10),IF('Project information'!$F$3="PDL",AY10,BA10))</f>
        <v>936.37305699481874</v>
      </c>
      <c r="C10" s="33">
        <f t="shared" si="0"/>
        <v>113</v>
      </c>
      <c r="D10" s="33">
        <f t="shared" si="1"/>
        <v>281</v>
      </c>
      <c r="E10" s="33">
        <f t="shared" si="2"/>
        <v>312</v>
      </c>
      <c r="F10" s="33">
        <f t="shared" si="3"/>
        <v>187</v>
      </c>
      <c r="G10" s="33">
        <f t="shared" si="4"/>
        <v>43</v>
      </c>
      <c r="H10" s="120">
        <v>0.1210087640957859</v>
      </c>
      <c r="I10" s="120">
        <v>0.3</v>
      </c>
      <c r="J10" s="120">
        <v>0.33356106883863818</v>
      </c>
      <c r="K10" s="120">
        <v>0.2</v>
      </c>
      <c r="L10" s="121">
        <v>4.5430167065575913E-2</v>
      </c>
      <c r="M10" s="109" t="str">
        <f t="shared" si="5"/>
        <v>Turbo HE + UCC</v>
      </c>
      <c r="N10" s="33">
        <v>863</v>
      </c>
      <c r="O10" s="33">
        <f t="shared" si="6"/>
        <v>86</v>
      </c>
      <c r="P10" s="33">
        <f t="shared" si="7"/>
        <v>216</v>
      </c>
      <c r="Q10" s="33">
        <f t="shared" si="8"/>
        <v>345</v>
      </c>
      <c r="R10" s="33">
        <f t="shared" si="9"/>
        <v>129</v>
      </c>
      <c r="S10" s="33">
        <f t="shared" si="10"/>
        <v>86</v>
      </c>
      <c r="T10" s="120">
        <v>0.1</v>
      </c>
      <c r="U10" s="120">
        <v>0.25</v>
      </c>
      <c r="V10" s="120">
        <v>0.4</v>
      </c>
      <c r="W10" s="120">
        <v>0.15</v>
      </c>
      <c r="X10" s="121">
        <v>0.1</v>
      </c>
      <c r="Y10" s="109" t="str">
        <f t="shared" si="11"/>
        <v>Turbo HE + UCC</v>
      </c>
      <c r="Z10" s="33">
        <v>650</v>
      </c>
      <c r="AA10" s="33">
        <f t="shared" si="12"/>
        <v>163</v>
      </c>
      <c r="AB10" s="33">
        <f t="shared" si="13"/>
        <v>195</v>
      </c>
      <c r="AC10" s="33">
        <f t="shared" si="14"/>
        <v>163</v>
      </c>
      <c r="AD10" s="33">
        <f t="shared" si="15"/>
        <v>117</v>
      </c>
      <c r="AE10" s="33">
        <f t="shared" si="16"/>
        <v>13</v>
      </c>
      <c r="AF10" s="120">
        <v>0.25</v>
      </c>
      <c r="AG10" s="120">
        <v>0.3</v>
      </c>
      <c r="AH10" s="120">
        <v>0.25</v>
      </c>
      <c r="AI10" s="120">
        <v>0.18</v>
      </c>
      <c r="AJ10" s="121">
        <v>0.02</v>
      </c>
      <c r="AK10" s="109" t="str">
        <f t="shared" si="17"/>
        <v>Turbo HE + UCC</v>
      </c>
      <c r="AL10" s="33"/>
      <c r="AM10" s="33">
        <f t="shared" si="18"/>
        <v>0</v>
      </c>
      <c r="AN10" s="33">
        <f t="shared" si="19"/>
        <v>0</v>
      </c>
      <c r="AO10" s="33">
        <f t="shared" si="20"/>
        <v>0</v>
      </c>
      <c r="AP10" s="33">
        <f t="shared" si="21"/>
        <v>0</v>
      </c>
      <c r="AQ10" s="33">
        <f t="shared" si="22"/>
        <v>0</v>
      </c>
      <c r="AR10" s="120"/>
      <c r="AS10" s="120"/>
      <c r="AT10" s="120"/>
      <c r="AU10" s="120"/>
      <c r="AV10" s="121"/>
      <c r="AX10" s="204">
        <v>936.37305699481874</v>
      </c>
      <c r="AY10" s="204">
        <v>854.64101256203071</v>
      </c>
      <c r="AZ10" s="204">
        <v>932.00829015544048</v>
      </c>
      <c r="BA10" s="204">
        <v>850.65722776243877</v>
      </c>
      <c r="BD10" s="221"/>
      <c r="BE10" s="220">
        <f>$BE$9/$AX$9*AX10</f>
        <v>31088.082901554408</v>
      </c>
    </row>
    <row r="11" spans="1:57">
      <c r="A11" s="109" t="s">
        <v>518</v>
      </c>
      <c r="B11" s="223" cm="1">
        <f t="array" ref="B11">IF(INDEX('Dropdown list'!$G$1:$J$94,MATCH('Project information'!$A$4&amp;'Project information'!$B$7,'Dropdown list'!$G$1:$G$94&amp;'Dropdown list'!$I$1:$I$94,0),4)="Y",IF('Project information'!$F$3="PDL",AX11,AZ11),IF('Project information'!$F$3="PDL",AY11,BA11))</f>
        <v>293.51693901952967</v>
      </c>
      <c r="C11" s="33">
        <f t="shared" si="0"/>
        <v>36</v>
      </c>
      <c r="D11" s="33">
        <f t="shared" si="1"/>
        <v>88</v>
      </c>
      <c r="E11" s="33">
        <f t="shared" si="2"/>
        <v>98</v>
      </c>
      <c r="F11" s="33">
        <f t="shared" si="3"/>
        <v>59</v>
      </c>
      <c r="G11" s="33">
        <f t="shared" si="4"/>
        <v>13</v>
      </c>
      <c r="H11" s="120">
        <v>0.1210087640957859</v>
      </c>
      <c r="I11" s="120">
        <v>0.3</v>
      </c>
      <c r="J11" s="120">
        <v>0.33356106883863818</v>
      </c>
      <c r="K11" s="120">
        <v>0.2</v>
      </c>
      <c r="L11" s="121">
        <v>4.5430167065575913E-2</v>
      </c>
      <c r="M11" s="109" t="str">
        <f t="shared" si="5"/>
        <v>UCC</v>
      </c>
      <c r="N11" s="33">
        <v>288</v>
      </c>
      <c r="O11" s="33">
        <f t="shared" si="6"/>
        <v>29</v>
      </c>
      <c r="P11" s="33">
        <f t="shared" si="7"/>
        <v>72</v>
      </c>
      <c r="Q11" s="33">
        <f t="shared" si="8"/>
        <v>115</v>
      </c>
      <c r="R11" s="33">
        <f t="shared" si="9"/>
        <v>43</v>
      </c>
      <c r="S11" s="33">
        <f t="shared" si="10"/>
        <v>29</v>
      </c>
      <c r="T11" s="120">
        <v>0.1</v>
      </c>
      <c r="U11" s="120">
        <v>0.25</v>
      </c>
      <c r="V11" s="120">
        <v>0.4</v>
      </c>
      <c r="W11" s="120">
        <v>0.15</v>
      </c>
      <c r="X11" s="121">
        <v>0.1</v>
      </c>
      <c r="Y11" s="109" t="str">
        <f t="shared" si="11"/>
        <v>UCC</v>
      </c>
      <c r="Z11" s="33">
        <v>425</v>
      </c>
      <c r="AA11" s="33">
        <f t="shared" si="12"/>
        <v>106</v>
      </c>
      <c r="AB11" s="33">
        <f t="shared" si="13"/>
        <v>128</v>
      </c>
      <c r="AC11" s="33">
        <f t="shared" si="14"/>
        <v>106</v>
      </c>
      <c r="AD11" s="33">
        <f t="shared" si="15"/>
        <v>77</v>
      </c>
      <c r="AE11" s="33">
        <f t="shared" si="16"/>
        <v>9</v>
      </c>
      <c r="AF11" s="120">
        <v>0.25</v>
      </c>
      <c r="AG11" s="120">
        <v>0.3</v>
      </c>
      <c r="AH11" s="120">
        <v>0.25</v>
      </c>
      <c r="AI11" s="120">
        <v>0.18</v>
      </c>
      <c r="AJ11" s="121">
        <v>0.02</v>
      </c>
      <c r="AK11" s="109" t="str">
        <f t="shared" si="17"/>
        <v>UCC</v>
      </c>
      <c r="AL11" s="33"/>
      <c r="AM11" s="33">
        <f t="shared" si="18"/>
        <v>0</v>
      </c>
      <c r="AN11" s="33">
        <f t="shared" si="19"/>
        <v>0</v>
      </c>
      <c r="AO11" s="33">
        <f t="shared" si="20"/>
        <v>0</v>
      </c>
      <c r="AP11" s="33">
        <f t="shared" si="21"/>
        <v>0</v>
      </c>
      <c r="AQ11" s="33">
        <f t="shared" si="22"/>
        <v>0</v>
      </c>
      <c r="AR11" s="120"/>
      <c r="AS11" s="120"/>
      <c r="AT11" s="120"/>
      <c r="AU11" s="120"/>
      <c r="AV11" s="121"/>
      <c r="AX11" s="220">
        <v>293.51693901952967</v>
      </c>
      <c r="AY11" s="220">
        <v>267.89708663002108</v>
      </c>
      <c r="AZ11" s="220">
        <v>292.14875249103233</v>
      </c>
      <c r="BA11" s="220">
        <v>266.6483233178414</v>
      </c>
      <c r="BD11" s="221"/>
      <c r="BE11" s="220">
        <f>$BE$9/$AX$9*AX11</f>
        <v>9744.9182941410909</v>
      </c>
    </row>
    <row r="12" spans="1:57">
      <c r="A12" s="109" t="s">
        <v>520</v>
      </c>
      <c r="B12" s="223" cm="1">
        <f t="array" ref="B12">IF(INDEX('Dropdown list'!$G$1:$J$94,MATCH('Project information'!$A$4&amp;'Project information'!$B$7,'Dropdown list'!$G$1:$G$94&amp;'Dropdown list'!$I$1:$I$94,0),4)="Y",IF('Project information'!$F$3="PDL",AX12,AZ12),IF('Project information'!$F$3="PDL",AY12,BA12))</f>
        <v>3670</v>
      </c>
      <c r="C12" s="33">
        <f t="shared" si="0"/>
        <v>184</v>
      </c>
      <c r="D12" s="33">
        <f t="shared" si="1"/>
        <v>1101</v>
      </c>
      <c r="E12" s="33">
        <f t="shared" si="2"/>
        <v>1541</v>
      </c>
      <c r="F12" s="33">
        <f t="shared" si="3"/>
        <v>734</v>
      </c>
      <c r="G12" s="33">
        <f t="shared" si="4"/>
        <v>110</v>
      </c>
      <c r="H12" s="120">
        <v>0.05</v>
      </c>
      <c r="I12" s="120">
        <v>0.3</v>
      </c>
      <c r="J12" s="120">
        <v>0.42</v>
      </c>
      <c r="K12" s="120">
        <v>0.2</v>
      </c>
      <c r="L12" s="121">
        <v>0.03</v>
      </c>
      <c r="M12" s="109" t="str">
        <f t="shared" si="5"/>
        <v>Box</v>
      </c>
      <c r="N12" s="33">
        <v>3464</v>
      </c>
      <c r="O12" s="33">
        <f t="shared" si="6"/>
        <v>173</v>
      </c>
      <c r="P12" s="33">
        <f t="shared" si="7"/>
        <v>1039</v>
      </c>
      <c r="Q12" s="33">
        <f t="shared" si="8"/>
        <v>1455</v>
      </c>
      <c r="R12" s="33">
        <f t="shared" si="9"/>
        <v>693</v>
      </c>
      <c r="S12" s="33">
        <f t="shared" si="10"/>
        <v>104</v>
      </c>
      <c r="T12" s="120">
        <v>0.05</v>
      </c>
      <c r="U12" s="120">
        <v>0.3</v>
      </c>
      <c r="V12" s="120">
        <v>0.42</v>
      </c>
      <c r="W12" s="120">
        <v>0.2</v>
      </c>
      <c r="X12" s="121">
        <v>0.03</v>
      </c>
      <c r="Y12" s="109" t="str">
        <f t="shared" si="11"/>
        <v>Box</v>
      </c>
      <c r="Z12" s="33">
        <v>3464</v>
      </c>
      <c r="AA12" s="33">
        <f t="shared" si="12"/>
        <v>173</v>
      </c>
      <c r="AB12" s="33">
        <f t="shared" si="13"/>
        <v>1039</v>
      </c>
      <c r="AC12" s="33">
        <f t="shared" si="14"/>
        <v>1455</v>
      </c>
      <c r="AD12" s="33">
        <f t="shared" si="15"/>
        <v>693</v>
      </c>
      <c r="AE12" s="33">
        <f t="shared" si="16"/>
        <v>104</v>
      </c>
      <c r="AF12" s="120">
        <v>0.05</v>
      </c>
      <c r="AG12" s="120">
        <v>0.3</v>
      </c>
      <c r="AH12" s="120">
        <v>0.42</v>
      </c>
      <c r="AI12" s="120">
        <v>0.2</v>
      </c>
      <c r="AJ12" s="121">
        <v>0.03</v>
      </c>
      <c r="AK12" s="109" t="str">
        <f t="shared" si="17"/>
        <v>Box</v>
      </c>
      <c r="AL12" s="33">
        <v>3464</v>
      </c>
      <c r="AM12" s="33">
        <f t="shared" si="18"/>
        <v>173</v>
      </c>
      <c r="AN12" s="33">
        <f t="shared" si="19"/>
        <v>1039</v>
      </c>
      <c r="AO12" s="33">
        <f t="shared" si="20"/>
        <v>1455</v>
      </c>
      <c r="AP12" s="33">
        <f t="shared" si="21"/>
        <v>693</v>
      </c>
      <c r="AQ12" s="33">
        <f t="shared" si="22"/>
        <v>104</v>
      </c>
      <c r="AR12" s="120">
        <v>0.05</v>
      </c>
      <c r="AS12" s="120">
        <v>0.3</v>
      </c>
      <c r="AT12" s="120">
        <v>0.42</v>
      </c>
      <c r="AU12" s="120">
        <v>0.2</v>
      </c>
      <c r="AV12" s="121">
        <v>0.03</v>
      </c>
      <c r="AX12" s="16">
        <v>3670</v>
      </c>
      <c r="AY12" s="16">
        <v>3670</v>
      </c>
      <c r="AZ12" s="16">
        <v>3670</v>
      </c>
      <c r="BA12" s="16">
        <v>3670</v>
      </c>
    </row>
    <row r="13" spans="1:57">
      <c r="A13" s="109" t="s">
        <v>523</v>
      </c>
      <c r="B13" s="223" cm="1">
        <f t="array" ref="B13">IF(INDEX('Dropdown list'!$G$1:$J$94,MATCH('Project information'!$A$4&amp;'Project information'!$B$7,'Dropdown list'!$G$1:$G$94&amp;'Dropdown list'!$I$1:$I$94,0),4)="Y",IF('Project information'!$F$3="PDL",AX13,AZ13),IF('Project information'!$F$3="PDL",AY13,BA13))</f>
        <v>943.00000000000011</v>
      </c>
      <c r="C13" s="33">
        <f t="shared" si="0"/>
        <v>47</v>
      </c>
      <c r="D13" s="33">
        <f t="shared" si="1"/>
        <v>283</v>
      </c>
      <c r="E13" s="33">
        <f t="shared" si="2"/>
        <v>396</v>
      </c>
      <c r="F13" s="33">
        <f t="shared" si="3"/>
        <v>189</v>
      </c>
      <c r="G13" s="33">
        <f t="shared" si="4"/>
        <v>28</v>
      </c>
      <c r="H13" s="120">
        <v>0.05</v>
      </c>
      <c r="I13" s="120">
        <v>0.3</v>
      </c>
      <c r="J13" s="120">
        <v>0.42</v>
      </c>
      <c r="K13" s="120">
        <v>0.2</v>
      </c>
      <c r="L13" s="121">
        <v>0.03</v>
      </c>
      <c r="M13" s="109" t="str">
        <f t="shared" si="5"/>
        <v>Decomposition pipe</v>
      </c>
      <c r="N13" s="33">
        <v>866</v>
      </c>
      <c r="O13" s="33">
        <f t="shared" si="6"/>
        <v>43</v>
      </c>
      <c r="P13" s="33">
        <f t="shared" si="7"/>
        <v>260</v>
      </c>
      <c r="Q13" s="33">
        <f t="shared" si="8"/>
        <v>364</v>
      </c>
      <c r="R13" s="33">
        <f t="shared" si="9"/>
        <v>173</v>
      </c>
      <c r="S13" s="33">
        <f t="shared" si="10"/>
        <v>26</v>
      </c>
      <c r="T13" s="120">
        <v>0.05</v>
      </c>
      <c r="U13" s="120">
        <v>0.3</v>
      </c>
      <c r="V13" s="120">
        <v>0.42</v>
      </c>
      <c r="W13" s="120">
        <v>0.2</v>
      </c>
      <c r="X13" s="121">
        <v>0.03</v>
      </c>
      <c r="Y13" s="109" t="str">
        <f t="shared" si="11"/>
        <v>Decomposition pipe</v>
      </c>
      <c r="Z13" s="33">
        <v>866</v>
      </c>
      <c r="AA13" s="33">
        <f t="shared" si="12"/>
        <v>43</v>
      </c>
      <c r="AB13" s="33">
        <f t="shared" si="13"/>
        <v>260</v>
      </c>
      <c r="AC13" s="33">
        <f t="shared" si="14"/>
        <v>364</v>
      </c>
      <c r="AD13" s="33">
        <f t="shared" si="15"/>
        <v>173</v>
      </c>
      <c r="AE13" s="33">
        <f t="shared" si="16"/>
        <v>26</v>
      </c>
      <c r="AF13" s="120">
        <v>0.05</v>
      </c>
      <c r="AG13" s="120">
        <v>0.3</v>
      </c>
      <c r="AH13" s="120">
        <v>0.42</v>
      </c>
      <c r="AI13" s="120">
        <v>0.2</v>
      </c>
      <c r="AJ13" s="121">
        <v>0.03</v>
      </c>
      <c r="AK13" s="109" t="str">
        <f t="shared" si="17"/>
        <v>Decomposition pipe</v>
      </c>
      <c r="AL13" s="33">
        <v>866</v>
      </c>
      <c r="AM13" s="33">
        <f t="shared" si="18"/>
        <v>43</v>
      </c>
      <c r="AN13" s="33">
        <f t="shared" si="19"/>
        <v>260</v>
      </c>
      <c r="AO13" s="33">
        <f t="shared" si="20"/>
        <v>364</v>
      </c>
      <c r="AP13" s="33">
        <f t="shared" si="21"/>
        <v>173</v>
      </c>
      <c r="AQ13" s="33">
        <f t="shared" si="22"/>
        <v>26</v>
      </c>
      <c r="AR13" s="120">
        <v>0.05</v>
      </c>
      <c r="AS13" s="120">
        <v>0.3</v>
      </c>
      <c r="AT13" s="120">
        <v>0.42</v>
      </c>
      <c r="AU13" s="120">
        <v>0.2</v>
      </c>
      <c r="AV13" s="121">
        <v>0.03</v>
      </c>
      <c r="AX13" s="16">
        <v>943.00000000000011</v>
      </c>
      <c r="AY13" s="16">
        <v>943.00000000000011</v>
      </c>
      <c r="AZ13" s="16">
        <v>943.00000000000011</v>
      </c>
      <c r="BA13" s="16">
        <v>943.00000000000011</v>
      </c>
    </row>
    <row r="14" spans="1:57">
      <c r="A14" s="109" t="s">
        <v>524</v>
      </c>
      <c r="B14" s="223" cm="1">
        <f t="array" ref="B14">IF(INDEX('Dropdown list'!$G$1:$J$94,MATCH('Project information'!$A$4&amp;'Project information'!$B$7,'Dropdown list'!$G$1:$G$94&amp;'Dropdown list'!$I$1:$I$94,0),4)="Y",IF('Project information'!$F$3="PDL",AX14,AZ14),IF('Project information'!$F$3="PDL",AY14,BA14))</f>
        <v>1902</v>
      </c>
      <c r="C14" s="33">
        <f t="shared" si="0"/>
        <v>95</v>
      </c>
      <c r="D14" s="33">
        <f t="shared" si="1"/>
        <v>571</v>
      </c>
      <c r="E14" s="33">
        <f t="shared" si="2"/>
        <v>799</v>
      </c>
      <c r="F14" s="33">
        <f t="shared" si="3"/>
        <v>380</v>
      </c>
      <c r="G14" s="33">
        <f t="shared" si="4"/>
        <v>57</v>
      </c>
      <c r="H14" s="120">
        <v>0.05</v>
      </c>
      <c r="I14" s="120">
        <v>0.3</v>
      </c>
      <c r="J14" s="120">
        <v>0.42</v>
      </c>
      <c r="K14" s="120">
        <v>0.2</v>
      </c>
      <c r="L14" s="121">
        <v>0.03</v>
      </c>
      <c r="M14" s="109" t="str">
        <f t="shared" si="5"/>
        <v>Inline</v>
      </c>
      <c r="N14" s="33">
        <v>1781</v>
      </c>
      <c r="O14" s="33">
        <f t="shared" si="6"/>
        <v>89</v>
      </c>
      <c r="P14" s="33">
        <f t="shared" si="7"/>
        <v>534</v>
      </c>
      <c r="Q14" s="33">
        <f t="shared" si="8"/>
        <v>748</v>
      </c>
      <c r="R14" s="33">
        <f t="shared" si="9"/>
        <v>356</v>
      </c>
      <c r="S14" s="33">
        <f t="shared" si="10"/>
        <v>53</v>
      </c>
      <c r="T14" s="120">
        <v>0.05</v>
      </c>
      <c r="U14" s="120">
        <v>0.3</v>
      </c>
      <c r="V14" s="120">
        <v>0.42</v>
      </c>
      <c r="W14" s="120">
        <v>0.2</v>
      </c>
      <c r="X14" s="121">
        <v>0.03</v>
      </c>
      <c r="Y14" s="109" t="str">
        <f t="shared" si="11"/>
        <v>Inline</v>
      </c>
      <c r="Z14" s="33">
        <v>1781</v>
      </c>
      <c r="AA14" s="33">
        <f t="shared" si="12"/>
        <v>89</v>
      </c>
      <c r="AB14" s="33">
        <f t="shared" si="13"/>
        <v>534</v>
      </c>
      <c r="AC14" s="33">
        <f t="shared" si="14"/>
        <v>748</v>
      </c>
      <c r="AD14" s="33">
        <f t="shared" si="15"/>
        <v>356</v>
      </c>
      <c r="AE14" s="33">
        <f t="shared" si="16"/>
        <v>53</v>
      </c>
      <c r="AF14" s="120">
        <v>0.05</v>
      </c>
      <c r="AG14" s="120">
        <v>0.3</v>
      </c>
      <c r="AH14" s="120">
        <v>0.42</v>
      </c>
      <c r="AI14" s="120">
        <v>0.2</v>
      </c>
      <c r="AJ14" s="121">
        <v>0.03</v>
      </c>
      <c r="AK14" s="109" t="str">
        <f t="shared" si="17"/>
        <v>Inline</v>
      </c>
      <c r="AL14" s="33">
        <v>1781</v>
      </c>
      <c r="AM14" s="33">
        <f t="shared" si="18"/>
        <v>89</v>
      </c>
      <c r="AN14" s="33">
        <f t="shared" si="19"/>
        <v>534</v>
      </c>
      <c r="AO14" s="33">
        <f t="shared" si="20"/>
        <v>748</v>
      </c>
      <c r="AP14" s="33">
        <f t="shared" si="21"/>
        <v>356</v>
      </c>
      <c r="AQ14" s="33">
        <f t="shared" si="22"/>
        <v>53</v>
      </c>
      <c r="AR14" s="120">
        <v>0.05</v>
      </c>
      <c r="AS14" s="120">
        <v>0.3</v>
      </c>
      <c r="AT14" s="120">
        <v>0.42</v>
      </c>
      <c r="AU14" s="120">
        <v>0.2</v>
      </c>
      <c r="AV14" s="121">
        <v>0.03</v>
      </c>
      <c r="AX14" s="16">
        <v>1902</v>
      </c>
      <c r="AY14" s="16">
        <v>1902</v>
      </c>
      <c r="AZ14" s="16">
        <v>1902</v>
      </c>
      <c r="BA14" s="16">
        <v>1902</v>
      </c>
    </row>
    <row r="15" spans="1:57">
      <c r="A15" s="109" t="s">
        <v>526</v>
      </c>
      <c r="B15" s="223" cm="1">
        <f t="array" ref="B15">IF(INDEX('Dropdown list'!$G$1:$J$94,MATCH('Project information'!$A$4&amp;'Project information'!$B$7,'Dropdown list'!$G$1:$G$94&amp;'Dropdown list'!$I$1:$I$94,0),4)="Y",IF('Project information'!$F$3="PDL",AX15,AZ15),IF('Project information'!$F$3="PDL",AY15,BA15))</f>
        <v>1035</v>
      </c>
      <c r="C15" s="33">
        <f t="shared" si="0"/>
        <v>52</v>
      </c>
      <c r="D15" s="33">
        <f t="shared" si="1"/>
        <v>311</v>
      </c>
      <c r="E15" s="33">
        <f t="shared" si="2"/>
        <v>435</v>
      </c>
      <c r="F15" s="33">
        <f t="shared" si="3"/>
        <v>207</v>
      </c>
      <c r="G15" s="33">
        <f t="shared" si="4"/>
        <v>31</v>
      </c>
      <c r="H15" s="120">
        <v>0.05</v>
      </c>
      <c r="I15" s="120">
        <v>0.3</v>
      </c>
      <c r="J15" s="120">
        <v>0.42</v>
      </c>
      <c r="K15" s="120">
        <v>0.2</v>
      </c>
      <c r="L15" s="121">
        <v>0.03</v>
      </c>
      <c r="M15" s="109" t="str">
        <f t="shared" si="5"/>
        <v>Compact Mixer</v>
      </c>
      <c r="N15" s="33">
        <v>940</v>
      </c>
      <c r="O15" s="33">
        <f t="shared" si="6"/>
        <v>47</v>
      </c>
      <c r="P15" s="33">
        <f t="shared" si="7"/>
        <v>282</v>
      </c>
      <c r="Q15" s="33">
        <f t="shared" si="8"/>
        <v>395</v>
      </c>
      <c r="R15" s="33">
        <f t="shared" si="9"/>
        <v>188</v>
      </c>
      <c r="S15" s="33">
        <f t="shared" si="10"/>
        <v>28</v>
      </c>
      <c r="T15" s="120">
        <v>0.05</v>
      </c>
      <c r="U15" s="120">
        <v>0.3</v>
      </c>
      <c r="V15" s="120">
        <v>0.42</v>
      </c>
      <c r="W15" s="120">
        <v>0.2</v>
      </c>
      <c r="X15" s="121">
        <v>0.03</v>
      </c>
      <c r="Y15" s="109" t="str">
        <f t="shared" si="11"/>
        <v>Compact Mixer</v>
      </c>
      <c r="Z15" s="33">
        <v>940</v>
      </c>
      <c r="AA15" s="33">
        <f t="shared" si="12"/>
        <v>47</v>
      </c>
      <c r="AB15" s="33">
        <f t="shared" si="13"/>
        <v>282</v>
      </c>
      <c r="AC15" s="33">
        <f t="shared" si="14"/>
        <v>395</v>
      </c>
      <c r="AD15" s="33">
        <f t="shared" si="15"/>
        <v>188</v>
      </c>
      <c r="AE15" s="33">
        <f t="shared" si="16"/>
        <v>28</v>
      </c>
      <c r="AF15" s="120">
        <v>0.05</v>
      </c>
      <c r="AG15" s="120">
        <v>0.3</v>
      </c>
      <c r="AH15" s="120">
        <v>0.42</v>
      </c>
      <c r="AI15" s="120">
        <v>0.2</v>
      </c>
      <c r="AJ15" s="121">
        <v>0.03</v>
      </c>
      <c r="AK15" s="109" t="str">
        <f t="shared" si="17"/>
        <v>Compact Mixer</v>
      </c>
      <c r="AL15" s="33">
        <v>940</v>
      </c>
      <c r="AM15" s="33">
        <f t="shared" si="18"/>
        <v>47</v>
      </c>
      <c r="AN15" s="33">
        <f t="shared" si="19"/>
        <v>282</v>
      </c>
      <c r="AO15" s="33">
        <f t="shared" si="20"/>
        <v>395</v>
      </c>
      <c r="AP15" s="33">
        <f t="shared" si="21"/>
        <v>188</v>
      </c>
      <c r="AQ15" s="33">
        <f t="shared" si="22"/>
        <v>28</v>
      </c>
      <c r="AR15" s="120">
        <v>0.05</v>
      </c>
      <c r="AS15" s="120">
        <v>0.3</v>
      </c>
      <c r="AT15" s="120">
        <v>0.42</v>
      </c>
      <c r="AU15" s="120">
        <v>0.2</v>
      </c>
      <c r="AV15" s="121">
        <v>0.03</v>
      </c>
      <c r="AX15" s="16">
        <v>1035</v>
      </c>
      <c r="AY15" s="16">
        <v>1035</v>
      </c>
      <c r="AZ15" s="16">
        <v>1035</v>
      </c>
      <c r="BA15" s="16">
        <v>1035</v>
      </c>
    </row>
    <row r="16" spans="1:57">
      <c r="A16" s="109" t="s">
        <v>528</v>
      </c>
      <c r="B16" s="223" cm="1">
        <f t="array" ref="B16">IF(INDEX('Dropdown list'!$G$1:$J$94,MATCH('Project information'!$A$4&amp;'Project information'!$B$7,'Dropdown list'!$G$1:$G$94&amp;'Dropdown list'!$I$1:$I$94,0),4)="Y",IF('Project information'!$F$3="PDL",AX16,AZ16),IF('Project information'!$F$3="PDL",AY16,BA16))</f>
        <v>2945</v>
      </c>
      <c r="C16" s="33">
        <f t="shared" si="0"/>
        <v>147</v>
      </c>
      <c r="D16" s="33">
        <f t="shared" si="1"/>
        <v>884</v>
      </c>
      <c r="E16" s="33">
        <f t="shared" si="2"/>
        <v>1237</v>
      </c>
      <c r="F16" s="33">
        <f t="shared" si="3"/>
        <v>589</v>
      </c>
      <c r="G16" s="33">
        <f t="shared" si="4"/>
        <v>88</v>
      </c>
      <c r="H16" s="120">
        <v>0.05</v>
      </c>
      <c r="I16" s="120">
        <v>0.3</v>
      </c>
      <c r="J16" s="120">
        <v>0.42</v>
      </c>
      <c r="K16" s="120">
        <v>0.2</v>
      </c>
      <c r="L16" s="121">
        <v>0.03</v>
      </c>
      <c r="M16" s="109" t="str">
        <f t="shared" si="5"/>
        <v>Switch back</v>
      </c>
      <c r="N16" s="33">
        <v>2770</v>
      </c>
      <c r="O16" s="33">
        <f t="shared" si="6"/>
        <v>139</v>
      </c>
      <c r="P16" s="33">
        <f t="shared" si="7"/>
        <v>831</v>
      </c>
      <c r="Q16" s="33">
        <f t="shared" si="8"/>
        <v>1163</v>
      </c>
      <c r="R16" s="33">
        <f t="shared" si="9"/>
        <v>554</v>
      </c>
      <c r="S16" s="33">
        <f t="shared" si="10"/>
        <v>83</v>
      </c>
      <c r="T16" s="120">
        <v>0.05</v>
      </c>
      <c r="U16" s="120">
        <v>0.3</v>
      </c>
      <c r="V16" s="120">
        <v>0.42</v>
      </c>
      <c r="W16" s="120">
        <v>0.2</v>
      </c>
      <c r="X16" s="121">
        <v>0.03</v>
      </c>
      <c r="Y16" s="109" t="str">
        <f t="shared" si="11"/>
        <v>Switch back</v>
      </c>
      <c r="Z16" s="33">
        <v>2770</v>
      </c>
      <c r="AA16" s="33">
        <f t="shared" si="12"/>
        <v>139</v>
      </c>
      <c r="AB16" s="33">
        <f t="shared" si="13"/>
        <v>831</v>
      </c>
      <c r="AC16" s="33">
        <f t="shared" si="14"/>
        <v>1163</v>
      </c>
      <c r="AD16" s="33">
        <f t="shared" si="15"/>
        <v>554</v>
      </c>
      <c r="AE16" s="33">
        <f t="shared" si="16"/>
        <v>83</v>
      </c>
      <c r="AF16" s="120">
        <v>0.05</v>
      </c>
      <c r="AG16" s="120">
        <v>0.3</v>
      </c>
      <c r="AH16" s="120">
        <v>0.42</v>
      </c>
      <c r="AI16" s="120">
        <v>0.2</v>
      </c>
      <c r="AJ16" s="121">
        <v>0.03</v>
      </c>
      <c r="AK16" s="109" t="str">
        <f t="shared" si="17"/>
        <v>Switch back</v>
      </c>
      <c r="AL16" s="33">
        <v>2770</v>
      </c>
      <c r="AM16" s="33">
        <f t="shared" si="18"/>
        <v>139</v>
      </c>
      <c r="AN16" s="33">
        <f t="shared" si="19"/>
        <v>831</v>
      </c>
      <c r="AO16" s="33">
        <f t="shared" si="20"/>
        <v>1163</v>
      </c>
      <c r="AP16" s="33">
        <f t="shared" si="21"/>
        <v>554</v>
      </c>
      <c r="AQ16" s="33">
        <f t="shared" si="22"/>
        <v>83</v>
      </c>
      <c r="AR16" s="120">
        <v>0.05</v>
      </c>
      <c r="AS16" s="120">
        <v>0.3</v>
      </c>
      <c r="AT16" s="120">
        <v>0.42</v>
      </c>
      <c r="AU16" s="120">
        <v>0.2</v>
      </c>
      <c r="AV16" s="121">
        <v>0.03</v>
      </c>
      <c r="AX16" s="16">
        <v>2945</v>
      </c>
      <c r="AY16" s="16">
        <v>2945</v>
      </c>
      <c r="AZ16" s="16">
        <v>2945</v>
      </c>
      <c r="BA16" s="16">
        <v>2945</v>
      </c>
    </row>
    <row r="17" spans="1:53">
      <c r="A17" s="109" t="s">
        <v>531</v>
      </c>
      <c r="B17" s="223" cm="1">
        <f t="array" ref="B17">IF(INDEX('Dropdown list'!$G$1:$J$94,MATCH('Project information'!$A$4&amp;'Project information'!$B$7,'Dropdown list'!$G$1:$G$94&amp;'Dropdown list'!$I$1:$I$94,0),4)="Y",IF('Project information'!$F$3="PDL",AX17,AZ17),IF('Project information'!$F$3="PDL",AY17,BA17))</f>
        <v>1083</v>
      </c>
      <c r="C17" s="33">
        <f t="shared" ref="C17:F18" si="23">ROUND($B17*H17,0)</f>
        <v>54</v>
      </c>
      <c r="D17" s="33">
        <f t="shared" si="23"/>
        <v>325</v>
      </c>
      <c r="E17" s="33">
        <f t="shared" si="23"/>
        <v>455</v>
      </c>
      <c r="F17" s="33">
        <f t="shared" si="23"/>
        <v>217</v>
      </c>
      <c r="G17" s="33" t="str" cm="1">
        <f t="array" ref="G17">INDEX('Dropdown list'!G1:J94,MATCH('Project information'!A4&amp;'Project information'!B7,'Dropdown list'!G1:G94&amp;'Dropdown list'!I1:I94,0),4)</f>
        <v>Y</v>
      </c>
      <c r="H17" s="120">
        <v>0.05</v>
      </c>
      <c r="I17" s="120">
        <v>0.3</v>
      </c>
      <c r="J17" s="120">
        <v>0.42</v>
      </c>
      <c r="K17" s="120">
        <v>0.2</v>
      </c>
      <c r="L17" s="121">
        <v>0.03</v>
      </c>
      <c r="M17" s="109" t="str">
        <f t="shared" si="5"/>
        <v>U-Mixer</v>
      </c>
      <c r="N17" s="33">
        <v>989</v>
      </c>
      <c r="O17" s="33">
        <f t="shared" si="6"/>
        <v>49</v>
      </c>
      <c r="P17" s="33">
        <f t="shared" si="7"/>
        <v>297</v>
      </c>
      <c r="Q17" s="33">
        <f t="shared" si="8"/>
        <v>415</v>
      </c>
      <c r="R17" s="33">
        <f t="shared" si="9"/>
        <v>198</v>
      </c>
      <c r="S17" s="33">
        <f t="shared" si="10"/>
        <v>30</v>
      </c>
      <c r="T17" s="120">
        <v>0.05</v>
      </c>
      <c r="U17" s="120">
        <v>0.3</v>
      </c>
      <c r="V17" s="120">
        <v>0.42</v>
      </c>
      <c r="W17" s="120">
        <v>0.2</v>
      </c>
      <c r="X17" s="121">
        <v>0.03</v>
      </c>
      <c r="Y17" s="109" t="str">
        <f t="shared" si="11"/>
        <v>U-Mixer</v>
      </c>
      <c r="Z17" s="33">
        <v>989</v>
      </c>
      <c r="AA17" s="33">
        <f t="shared" si="12"/>
        <v>49</v>
      </c>
      <c r="AB17" s="33">
        <f t="shared" si="13"/>
        <v>297</v>
      </c>
      <c r="AC17" s="33">
        <f t="shared" si="14"/>
        <v>415</v>
      </c>
      <c r="AD17" s="33">
        <f t="shared" si="15"/>
        <v>198</v>
      </c>
      <c r="AE17" s="33">
        <f t="shared" si="16"/>
        <v>30</v>
      </c>
      <c r="AF17" s="120">
        <v>0.05</v>
      </c>
      <c r="AG17" s="120">
        <v>0.3</v>
      </c>
      <c r="AH17" s="120">
        <v>0.42</v>
      </c>
      <c r="AI17" s="120">
        <v>0.2</v>
      </c>
      <c r="AJ17" s="121">
        <v>0.03</v>
      </c>
      <c r="AK17" s="109" t="str">
        <f t="shared" si="17"/>
        <v>U-Mixer</v>
      </c>
      <c r="AL17" s="33">
        <v>989</v>
      </c>
      <c r="AM17" s="33">
        <f t="shared" si="18"/>
        <v>49</v>
      </c>
      <c r="AN17" s="33">
        <f t="shared" si="19"/>
        <v>297</v>
      </c>
      <c r="AO17" s="33">
        <f t="shared" si="20"/>
        <v>415</v>
      </c>
      <c r="AP17" s="33">
        <f t="shared" si="21"/>
        <v>198</v>
      </c>
      <c r="AQ17" s="33">
        <f t="shared" si="22"/>
        <v>30</v>
      </c>
      <c r="AR17" s="120">
        <v>0.05</v>
      </c>
      <c r="AS17" s="120">
        <v>0.3</v>
      </c>
      <c r="AT17" s="120">
        <v>0.42</v>
      </c>
      <c r="AU17" s="120">
        <v>0.2</v>
      </c>
      <c r="AV17" s="121">
        <v>0.03</v>
      </c>
      <c r="AX17" s="16">
        <v>1083</v>
      </c>
      <c r="AY17" s="16">
        <v>1083</v>
      </c>
      <c r="AZ17" s="16">
        <v>1083</v>
      </c>
      <c r="BA17" s="16">
        <v>1083</v>
      </c>
    </row>
    <row r="18" spans="1:53" ht="13" thickBot="1">
      <c r="A18" s="112" t="s">
        <v>534</v>
      </c>
      <c r="B18" s="224" cm="1">
        <f t="array" ref="B18">IF(INDEX('Dropdown list'!$G$1:$J$94,MATCH('Project information'!$A$4&amp;'Project information'!$B$7,'Dropdown list'!$G$1:$G$94&amp;'Dropdown list'!$I$1:$I$94,0),4)="Y",IF('Project information'!$F$3="PDL",AX18,AZ18),IF('Project information'!$F$3="PDL",AY18,BA18))</f>
        <v>2944</v>
      </c>
      <c r="C18" s="113">
        <f t="shared" si="23"/>
        <v>147</v>
      </c>
      <c r="D18" s="113">
        <f t="shared" si="23"/>
        <v>883</v>
      </c>
      <c r="E18" s="113">
        <f t="shared" si="23"/>
        <v>1236</v>
      </c>
      <c r="F18" s="113">
        <f t="shared" si="23"/>
        <v>589</v>
      </c>
      <c r="G18" s="113">
        <f>ROUND($B18*L18,0)</f>
        <v>88</v>
      </c>
      <c r="H18" s="122">
        <v>0.05</v>
      </c>
      <c r="I18" s="122">
        <v>0.3</v>
      </c>
      <c r="J18" s="122">
        <v>0.42</v>
      </c>
      <c r="K18" s="122">
        <v>0.2</v>
      </c>
      <c r="L18" s="123">
        <v>0.03</v>
      </c>
      <c r="M18" s="112" t="str">
        <f t="shared" si="5"/>
        <v>U-shape</v>
      </c>
      <c r="N18" s="113">
        <v>2770</v>
      </c>
      <c r="O18" s="113">
        <f t="shared" si="6"/>
        <v>139</v>
      </c>
      <c r="P18" s="113">
        <f t="shared" si="7"/>
        <v>831</v>
      </c>
      <c r="Q18" s="113">
        <f t="shared" si="8"/>
        <v>1163</v>
      </c>
      <c r="R18" s="113">
        <f t="shared" si="9"/>
        <v>554</v>
      </c>
      <c r="S18" s="113">
        <f t="shared" si="10"/>
        <v>83</v>
      </c>
      <c r="T18" s="122">
        <v>0.05</v>
      </c>
      <c r="U18" s="122">
        <v>0.3</v>
      </c>
      <c r="V18" s="122">
        <v>0.42</v>
      </c>
      <c r="W18" s="122">
        <v>0.2</v>
      </c>
      <c r="X18" s="123">
        <v>0.03</v>
      </c>
      <c r="Y18" s="112" t="s">
        <v>534</v>
      </c>
      <c r="Z18" s="113">
        <v>2770</v>
      </c>
      <c r="AA18" s="113">
        <f t="shared" si="12"/>
        <v>139</v>
      </c>
      <c r="AB18" s="113">
        <f t="shared" si="13"/>
        <v>831</v>
      </c>
      <c r="AC18" s="113">
        <f t="shared" si="14"/>
        <v>1163</v>
      </c>
      <c r="AD18" s="113">
        <f t="shared" si="15"/>
        <v>554</v>
      </c>
      <c r="AE18" s="113">
        <f t="shared" si="16"/>
        <v>83</v>
      </c>
      <c r="AF18" s="122">
        <v>0.05</v>
      </c>
      <c r="AG18" s="122">
        <v>0.3</v>
      </c>
      <c r="AH18" s="122">
        <v>0.42</v>
      </c>
      <c r="AI18" s="122">
        <v>0.2</v>
      </c>
      <c r="AJ18" s="123">
        <v>0.03</v>
      </c>
      <c r="AK18" s="112" t="s">
        <v>534</v>
      </c>
      <c r="AL18" s="113">
        <v>2770</v>
      </c>
      <c r="AM18" s="113">
        <f t="shared" si="18"/>
        <v>139</v>
      </c>
      <c r="AN18" s="113">
        <f t="shared" si="19"/>
        <v>831</v>
      </c>
      <c r="AO18" s="113">
        <f t="shared" si="20"/>
        <v>1163</v>
      </c>
      <c r="AP18" s="113">
        <f t="shared" si="21"/>
        <v>554</v>
      </c>
      <c r="AQ18" s="113">
        <f t="shared" si="22"/>
        <v>83</v>
      </c>
      <c r="AR18" s="122">
        <v>0.05</v>
      </c>
      <c r="AS18" s="122">
        <v>0.3</v>
      </c>
      <c r="AT18" s="122">
        <v>0.42</v>
      </c>
      <c r="AU18" s="122">
        <v>0.2</v>
      </c>
      <c r="AV18" s="123">
        <v>0.03</v>
      </c>
      <c r="AX18" s="16">
        <v>2944</v>
      </c>
      <c r="AY18" s="16">
        <v>2944</v>
      </c>
      <c r="AZ18" s="16">
        <v>2944</v>
      </c>
      <c r="BA18" s="16">
        <v>2944</v>
      </c>
    </row>
    <row r="19" spans="1:53" s="56" customFormat="1" ht="50">
      <c r="A19" s="107" t="s">
        <v>460</v>
      </c>
      <c r="B19" s="108" t="s">
        <v>604</v>
      </c>
      <c r="C19" s="124" t="s">
        <v>120</v>
      </c>
      <c r="D19" s="124" t="s">
        <v>121</v>
      </c>
      <c r="E19" s="124" t="s">
        <v>122</v>
      </c>
      <c r="F19" s="126" t="s">
        <v>123</v>
      </c>
      <c r="G19" s="126" t="s">
        <v>124</v>
      </c>
      <c r="H19" s="127" t="s">
        <v>120</v>
      </c>
      <c r="I19" s="125" t="s">
        <v>121</v>
      </c>
      <c r="J19" s="125" t="s">
        <v>122</v>
      </c>
      <c r="K19" s="127" t="s">
        <v>123</v>
      </c>
      <c r="L19" s="128" t="s">
        <v>124</v>
      </c>
      <c r="M19" s="107" t="s">
        <v>93</v>
      </c>
      <c r="N19" s="108" t="str">
        <f>B19</f>
        <v>Program Manufacturing Leader</v>
      </c>
      <c r="O19" s="124" t="s">
        <v>120</v>
      </c>
      <c r="P19" s="124" t="s">
        <v>121</v>
      </c>
      <c r="Q19" s="124" t="s">
        <v>122</v>
      </c>
      <c r="R19" s="126" t="s">
        <v>123</v>
      </c>
      <c r="S19" s="126" t="s">
        <v>124</v>
      </c>
      <c r="T19" s="127" t="s">
        <v>120</v>
      </c>
      <c r="U19" s="125" t="s">
        <v>121</v>
      </c>
      <c r="V19" s="125" t="s">
        <v>122</v>
      </c>
      <c r="W19" s="127" t="s">
        <v>123</v>
      </c>
      <c r="X19" s="128" t="s">
        <v>124</v>
      </c>
      <c r="Y19" s="107" t="s">
        <v>483</v>
      </c>
      <c r="Z19" s="108" t="str">
        <f>N19</f>
        <v>Program Manufacturing Leader</v>
      </c>
      <c r="AA19" s="124" t="s">
        <v>120</v>
      </c>
      <c r="AB19" s="124" t="s">
        <v>121</v>
      </c>
      <c r="AC19" s="124" t="s">
        <v>122</v>
      </c>
      <c r="AD19" s="126" t="s">
        <v>123</v>
      </c>
      <c r="AE19" s="126" t="s">
        <v>124</v>
      </c>
      <c r="AF19" s="127" t="s">
        <v>120</v>
      </c>
      <c r="AG19" s="125" t="s">
        <v>121</v>
      </c>
      <c r="AH19" s="125" t="s">
        <v>122</v>
      </c>
      <c r="AI19" s="127" t="s">
        <v>123</v>
      </c>
      <c r="AJ19" s="128" t="s">
        <v>124</v>
      </c>
      <c r="AK19" s="107" t="s">
        <v>482</v>
      </c>
      <c r="AL19" s="108" t="str">
        <f>Z19</f>
        <v>Program Manufacturing Leader</v>
      </c>
      <c r="AM19" s="124" t="s">
        <v>120</v>
      </c>
      <c r="AN19" s="124" t="s">
        <v>121</v>
      </c>
      <c r="AO19" s="124" t="s">
        <v>122</v>
      </c>
      <c r="AP19" s="126" t="s">
        <v>123</v>
      </c>
      <c r="AQ19" s="126" t="s">
        <v>124</v>
      </c>
      <c r="AR19" s="127" t="s">
        <v>120</v>
      </c>
      <c r="AS19" s="125" t="s">
        <v>121</v>
      </c>
      <c r="AT19" s="125" t="s">
        <v>122</v>
      </c>
      <c r="AU19" s="127" t="s">
        <v>123</v>
      </c>
      <c r="AV19" s="128" t="s">
        <v>124</v>
      </c>
      <c r="AX19" s="56" t="s">
        <v>604</v>
      </c>
      <c r="AY19" s="56" t="s">
        <v>604</v>
      </c>
    </row>
    <row r="20" spans="1:53">
      <c r="A20" s="109" t="s">
        <v>490</v>
      </c>
      <c r="B20" s="33"/>
      <c r="C20" s="33">
        <f t="shared" ref="C20:C36" si="24">ROUND($B20*H20,0)</f>
        <v>0</v>
      </c>
      <c r="D20" s="33">
        <f t="shared" ref="D20:D36" si="25">ROUND($B20*I20,0)</f>
        <v>0</v>
      </c>
      <c r="E20" s="33">
        <f t="shared" ref="E20:E36" si="26">ROUND($B20*J20,0)</f>
        <v>0</v>
      </c>
      <c r="F20" s="33">
        <f t="shared" ref="F20:F36" si="27">ROUND($B20*K20,0)</f>
        <v>0</v>
      </c>
      <c r="G20" s="33">
        <f t="shared" ref="G20:G36" si="28">ROUND($B20*L20,0)</f>
        <v>0</v>
      </c>
      <c r="H20" s="120">
        <v>0.10100876409578589</v>
      </c>
      <c r="I20" s="120">
        <v>0.25</v>
      </c>
      <c r="J20" s="120">
        <v>0.28356106883863808</v>
      </c>
      <c r="K20" s="120">
        <v>0.3</v>
      </c>
      <c r="L20" s="121">
        <v>6.5430167065575917E-2</v>
      </c>
      <c r="M20" s="109" t="str">
        <f t="shared" ref="M20:M36" si="29">$A20</f>
        <v>Cold End Complex</v>
      </c>
      <c r="N20" s="33">
        <v>1100</v>
      </c>
      <c r="O20" s="33">
        <f t="shared" ref="O20:O36" si="30">ROUND($N20*T20,0)</f>
        <v>165</v>
      </c>
      <c r="P20" s="33">
        <f t="shared" ref="P20:P36" si="31">ROUND($N20*U20,0)</f>
        <v>275</v>
      </c>
      <c r="Q20" s="33">
        <f t="shared" ref="Q20:Q36" si="32">ROUND($N20*V20,0)</f>
        <v>385</v>
      </c>
      <c r="R20" s="33">
        <f t="shared" ref="R20:R36" si="33">ROUND($N20*W20,0)</f>
        <v>220</v>
      </c>
      <c r="S20" s="33">
        <f t="shared" ref="S20:S36" si="34">ROUND($N20*X20,0)</f>
        <v>55</v>
      </c>
      <c r="T20" s="110">
        <v>0.15</v>
      </c>
      <c r="U20" s="110">
        <v>0.25</v>
      </c>
      <c r="V20" s="110">
        <v>0.35</v>
      </c>
      <c r="W20" s="110">
        <v>0.2</v>
      </c>
      <c r="X20" s="111">
        <v>0.05</v>
      </c>
      <c r="Y20" s="109" t="str">
        <f t="shared" ref="Y20:Y35" si="35">$A20</f>
        <v>Cold End Complex</v>
      </c>
      <c r="Z20" s="33">
        <v>1000</v>
      </c>
      <c r="AA20" s="33">
        <f t="shared" ref="AA20:AA36" si="36">ROUND($Z20*AF20,0)</f>
        <v>150</v>
      </c>
      <c r="AB20" s="33">
        <f t="shared" ref="AB20:AB36" si="37">ROUND($Z20*AG20,0)</f>
        <v>250</v>
      </c>
      <c r="AC20" s="33">
        <f t="shared" ref="AC20:AC36" si="38">ROUND($Z20*AH20,0)</f>
        <v>350</v>
      </c>
      <c r="AD20" s="33">
        <f t="shared" ref="AD20:AD36" si="39">ROUND($Z20*AI20,0)</f>
        <v>200</v>
      </c>
      <c r="AE20" s="33">
        <f t="shared" ref="AE20:AE36" si="40">ROUND($Z20*AJ20,0)</f>
        <v>50</v>
      </c>
      <c r="AF20" s="110">
        <v>0.15</v>
      </c>
      <c r="AG20" s="110">
        <v>0.25</v>
      </c>
      <c r="AH20" s="110">
        <v>0.35</v>
      </c>
      <c r="AI20" s="110">
        <v>0.2</v>
      </c>
      <c r="AJ20" s="111">
        <v>0.05</v>
      </c>
      <c r="AK20" s="109" t="str">
        <f t="shared" ref="AK20:AK35" si="41">$A20</f>
        <v>Cold End Complex</v>
      </c>
      <c r="AL20" s="118"/>
      <c r="AM20" s="33">
        <f t="shared" ref="AM20:AM36" si="42">ROUND($AL20*AR20,0)</f>
        <v>0</v>
      </c>
      <c r="AN20" s="33">
        <f t="shared" ref="AN20:AN36" si="43">ROUND($AL20*AS20,0)</f>
        <v>0</v>
      </c>
      <c r="AO20" s="33">
        <f t="shared" ref="AO20:AO36" si="44">ROUND($AL20*AT20,0)</f>
        <v>0</v>
      </c>
      <c r="AP20" s="33">
        <f t="shared" ref="AP20:AP36" si="45">ROUND($AL20*AU20,0)</f>
        <v>0</v>
      </c>
      <c r="AQ20" s="33">
        <f t="shared" ref="AQ20:AQ36" si="46">ROUND($AL20*AV20,0)</f>
        <v>0</v>
      </c>
      <c r="AR20" s="132"/>
      <c r="AS20" s="132"/>
      <c r="AT20" s="132"/>
      <c r="AU20" s="132"/>
      <c r="AV20" s="133"/>
      <c r="AX20" s="16">
        <v>810</v>
      </c>
      <c r="AY20" s="16">
        <v>810</v>
      </c>
    </row>
    <row r="21" spans="1:53">
      <c r="A21" s="109" t="s">
        <v>494</v>
      </c>
      <c r="B21" s="33"/>
      <c r="C21" s="33">
        <f t="shared" si="24"/>
        <v>0</v>
      </c>
      <c r="D21" s="33">
        <f t="shared" si="25"/>
        <v>0</v>
      </c>
      <c r="E21" s="33">
        <f t="shared" si="26"/>
        <v>0</v>
      </c>
      <c r="F21" s="33">
        <f t="shared" si="27"/>
        <v>0</v>
      </c>
      <c r="G21" s="33">
        <f t="shared" si="28"/>
        <v>0</v>
      </c>
      <c r="H21" s="120">
        <v>0.10100876409578589</v>
      </c>
      <c r="I21" s="120">
        <v>0.25</v>
      </c>
      <c r="J21" s="120">
        <v>0.28356106883863808</v>
      </c>
      <c r="K21" s="120">
        <v>0.3</v>
      </c>
      <c r="L21" s="121">
        <v>6.5430167065575917E-2</v>
      </c>
      <c r="M21" s="109" t="str">
        <f t="shared" si="29"/>
        <v>Cold End Simple</v>
      </c>
      <c r="N21" s="33">
        <v>733</v>
      </c>
      <c r="O21" s="33">
        <f t="shared" si="30"/>
        <v>110</v>
      </c>
      <c r="P21" s="33">
        <f t="shared" si="31"/>
        <v>183</v>
      </c>
      <c r="Q21" s="33">
        <f t="shared" si="32"/>
        <v>257</v>
      </c>
      <c r="R21" s="33">
        <f t="shared" si="33"/>
        <v>147</v>
      </c>
      <c r="S21" s="33">
        <f t="shared" si="34"/>
        <v>37</v>
      </c>
      <c r="T21" s="110">
        <v>0.15</v>
      </c>
      <c r="U21" s="110">
        <v>0.25</v>
      </c>
      <c r="V21" s="110">
        <v>0.35</v>
      </c>
      <c r="W21" s="110">
        <v>0.2</v>
      </c>
      <c r="X21" s="111">
        <v>0.05</v>
      </c>
      <c r="Y21" s="109" t="str">
        <f t="shared" si="35"/>
        <v>Cold End Simple</v>
      </c>
      <c r="Z21" s="33">
        <v>650</v>
      </c>
      <c r="AA21" s="33">
        <f t="shared" si="36"/>
        <v>98</v>
      </c>
      <c r="AB21" s="33">
        <f t="shared" si="37"/>
        <v>163</v>
      </c>
      <c r="AC21" s="33">
        <f t="shared" si="38"/>
        <v>228</v>
      </c>
      <c r="AD21" s="33">
        <f t="shared" si="39"/>
        <v>130</v>
      </c>
      <c r="AE21" s="33">
        <f t="shared" si="40"/>
        <v>33</v>
      </c>
      <c r="AF21" s="110">
        <v>0.15</v>
      </c>
      <c r="AG21" s="110">
        <v>0.25</v>
      </c>
      <c r="AH21" s="110">
        <v>0.35</v>
      </c>
      <c r="AI21" s="110">
        <v>0.2</v>
      </c>
      <c r="AJ21" s="111">
        <v>0.05</v>
      </c>
      <c r="AK21" s="109" t="str">
        <f t="shared" si="41"/>
        <v>Cold End Simple</v>
      </c>
      <c r="AL21" s="118"/>
      <c r="AM21" s="33">
        <f t="shared" si="42"/>
        <v>0</v>
      </c>
      <c r="AN21" s="33">
        <f t="shared" si="43"/>
        <v>0</v>
      </c>
      <c r="AO21" s="33">
        <f t="shared" si="44"/>
        <v>0</v>
      </c>
      <c r="AP21" s="33">
        <f t="shared" si="45"/>
        <v>0</v>
      </c>
      <c r="AQ21" s="33">
        <f t="shared" si="46"/>
        <v>0</v>
      </c>
      <c r="AR21" s="132"/>
      <c r="AS21" s="132"/>
      <c r="AT21" s="132"/>
      <c r="AU21" s="132"/>
      <c r="AV21" s="133"/>
      <c r="AX21" s="16">
        <v>705</v>
      </c>
      <c r="AY21" s="16">
        <v>705</v>
      </c>
    </row>
    <row r="22" spans="1:53">
      <c r="A22" s="109" t="s">
        <v>498</v>
      </c>
      <c r="B22" s="33"/>
      <c r="C22" s="33">
        <f t="shared" si="24"/>
        <v>0</v>
      </c>
      <c r="D22" s="33">
        <f t="shared" si="25"/>
        <v>0</v>
      </c>
      <c r="E22" s="33">
        <f t="shared" si="26"/>
        <v>0</v>
      </c>
      <c r="F22" s="33">
        <f t="shared" si="27"/>
        <v>0</v>
      </c>
      <c r="G22" s="33">
        <f t="shared" si="28"/>
        <v>0</v>
      </c>
      <c r="H22" s="120">
        <v>0.10100876409578589</v>
      </c>
      <c r="I22" s="120">
        <v>0.25</v>
      </c>
      <c r="J22" s="120">
        <v>0.28356106883863808</v>
      </c>
      <c r="K22" s="120">
        <v>0.30000000000000021</v>
      </c>
      <c r="L22" s="121">
        <v>6.5430167065575917E-2</v>
      </c>
      <c r="M22" s="109" t="str">
        <f t="shared" si="29"/>
        <v>Diesel (DOC+DPF)</v>
      </c>
      <c r="N22" s="33">
        <v>435</v>
      </c>
      <c r="O22" s="33">
        <f t="shared" si="30"/>
        <v>65</v>
      </c>
      <c r="P22" s="33">
        <f t="shared" si="31"/>
        <v>109</v>
      </c>
      <c r="Q22" s="33">
        <f t="shared" si="32"/>
        <v>152</v>
      </c>
      <c r="R22" s="33">
        <f t="shared" si="33"/>
        <v>87</v>
      </c>
      <c r="S22" s="33">
        <f t="shared" si="34"/>
        <v>22</v>
      </c>
      <c r="T22" s="110">
        <v>0.15</v>
      </c>
      <c r="U22" s="110">
        <v>0.25</v>
      </c>
      <c r="V22" s="110">
        <v>0.35</v>
      </c>
      <c r="W22" s="110">
        <v>0.2</v>
      </c>
      <c r="X22" s="111">
        <v>0.05</v>
      </c>
      <c r="Y22" s="109" t="str">
        <f t="shared" si="35"/>
        <v>Diesel (DOC+DPF)</v>
      </c>
      <c r="Z22" s="33">
        <v>960</v>
      </c>
      <c r="AA22" s="33">
        <f t="shared" si="36"/>
        <v>144</v>
      </c>
      <c r="AB22" s="33">
        <f t="shared" si="37"/>
        <v>240</v>
      </c>
      <c r="AC22" s="33">
        <f t="shared" si="38"/>
        <v>336</v>
      </c>
      <c r="AD22" s="33">
        <f t="shared" si="39"/>
        <v>192</v>
      </c>
      <c r="AE22" s="33">
        <f t="shared" si="40"/>
        <v>48</v>
      </c>
      <c r="AF22" s="110">
        <v>0.15</v>
      </c>
      <c r="AG22" s="110">
        <v>0.25</v>
      </c>
      <c r="AH22" s="110">
        <v>0.35</v>
      </c>
      <c r="AI22" s="110">
        <v>0.2</v>
      </c>
      <c r="AJ22" s="111">
        <v>0.05</v>
      </c>
      <c r="AK22" s="109" t="str">
        <f t="shared" si="41"/>
        <v>Diesel (DOC+DPF)</v>
      </c>
      <c r="AL22" s="118"/>
      <c r="AM22" s="33">
        <f t="shared" si="42"/>
        <v>0</v>
      </c>
      <c r="AN22" s="33">
        <f t="shared" si="43"/>
        <v>0</v>
      </c>
      <c r="AO22" s="33">
        <f t="shared" si="44"/>
        <v>0</v>
      </c>
      <c r="AP22" s="33">
        <f t="shared" si="45"/>
        <v>0</v>
      </c>
      <c r="AQ22" s="33">
        <f t="shared" si="46"/>
        <v>0</v>
      </c>
      <c r="AR22" s="132"/>
      <c r="AS22" s="132"/>
      <c r="AT22" s="132"/>
      <c r="AU22" s="132"/>
      <c r="AV22" s="133"/>
      <c r="AX22" s="16">
        <v>1040</v>
      </c>
      <c r="AY22" s="16">
        <v>1040</v>
      </c>
    </row>
    <row r="23" spans="1:53" ht="37.5">
      <c r="A23" s="109" t="s">
        <v>500</v>
      </c>
      <c r="B23" s="33"/>
      <c r="C23" s="33">
        <f t="shared" si="24"/>
        <v>0</v>
      </c>
      <c r="D23" s="33">
        <f t="shared" si="25"/>
        <v>0</v>
      </c>
      <c r="E23" s="33">
        <f t="shared" si="26"/>
        <v>0</v>
      </c>
      <c r="F23" s="33">
        <f t="shared" si="27"/>
        <v>0</v>
      </c>
      <c r="G23" s="33">
        <f t="shared" si="28"/>
        <v>0</v>
      </c>
      <c r="H23" s="120">
        <v>0.10100876409578589</v>
      </c>
      <c r="I23" s="120">
        <v>0.3</v>
      </c>
      <c r="J23" s="120">
        <v>0.28356106883863808</v>
      </c>
      <c r="K23" s="120">
        <v>0.25000000000000022</v>
      </c>
      <c r="L23" s="121">
        <v>6.5430167065575917E-2</v>
      </c>
      <c r="M23" s="109" t="str">
        <f t="shared" si="29"/>
        <v>Diesel (DOC+DPF+SCR) Underfloor (with underfloor mixer &amp; underfloor SCR)</v>
      </c>
      <c r="N23" s="33">
        <v>1000</v>
      </c>
      <c r="O23" s="33">
        <f t="shared" si="30"/>
        <v>150</v>
      </c>
      <c r="P23" s="33">
        <f t="shared" si="31"/>
        <v>250</v>
      </c>
      <c r="Q23" s="33">
        <f t="shared" si="32"/>
        <v>350</v>
      </c>
      <c r="R23" s="33">
        <f t="shared" si="33"/>
        <v>200</v>
      </c>
      <c r="S23" s="33">
        <f t="shared" si="34"/>
        <v>50</v>
      </c>
      <c r="T23" s="110">
        <v>0.15</v>
      </c>
      <c r="U23" s="110">
        <v>0.25</v>
      </c>
      <c r="V23" s="110">
        <v>0.35</v>
      </c>
      <c r="W23" s="110">
        <v>0.2</v>
      </c>
      <c r="X23" s="111">
        <v>0.05</v>
      </c>
      <c r="Y23" s="109" t="str">
        <f t="shared" si="35"/>
        <v>Diesel (DOC+DPF+SCR) Underfloor (with underfloor mixer &amp; underfloor SCR)</v>
      </c>
      <c r="Z23" s="33">
        <v>1100</v>
      </c>
      <c r="AA23" s="33">
        <f t="shared" si="36"/>
        <v>165</v>
      </c>
      <c r="AB23" s="33">
        <f t="shared" si="37"/>
        <v>275</v>
      </c>
      <c r="AC23" s="33">
        <f t="shared" si="38"/>
        <v>385</v>
      </c>
      <c r="AD23" s="33">
        <f t="shared" si="39"/>
        <v>220</v>
      </c>
      <c r="AE23" s="33">
        <f t="shared" si="40"/>
        <v>55</v>
      </c>
      <c r="AF23" s="110">
        <v>0.15</v>
      </c>
      <c r="AG23" s="110">
        <v>0.25</v>
      </c>
      <c r="AH23" s="110">
        <v>0.35</v>
      </c>
      <c r="AI23" s="110">
        <v>0.2</v>
      </c>
      <c r="AJ23" s="111">
        <v>0.05</v>
      </c>
      <c r="AK23" s="109" t="str">
        <f t="shared" si="41"/>
        <v>Diesel (DOC+DPF+SCR) Underfloor (with underfloor mixer &amp; underfloor SCR)</v>
      </c>
      <c r="AL23" s="118"/>
      <c r="AM23" s="33">
        <f t="shared" si="42"/>
        <v>0</v>
      </c>
      <c r="AN23" s="33">
        <f t="shared" si="43"/>
        <v>0</v>
      </c>
      <c r="AO23" s="33">
        <f t="shared" si="44"/>
        <v>0</v>
      </c>
      <c r="AP23" s="33">
        <f t="shared" si="45"/>
        <v>0</v>
      </c>
      <c r="AQ23" s="33">
        <f t="shared" si="46"/>
        <v>0</v>
      </c>
      <c r="AR23" s="132"/>
      <c r="AS23" s="132"/>
      <c r="AT23" s="132"/>
      <c r="AU23" s="132"/>
      <c r="AV23" s="133"/>
      <c r="AX23" s="16">
        <v>1132</v>
      </c>
      <c r="AY23" s="16">
        <v>1132</v>
      </c>
    </row>
    <row r="24" spans="1:53" ht="37.5">
      <c r="A24" s="109" t="s">
        <v>505</v>
      </c>
      <c r="B24" s="33"/>
      <c r="C24" s="33">
        <f t="shared" si="24"/>
        <v>0</v>
      </c>
      <c r="D24" s="33">
        <f t="shared" si="25"/>
        <v>0</v>
      </c>
      <c r="E24" s="33">
        <f t="shared" si="26"/>
        <v>0</v>
      </c>
      <c r="F24" s="33">
        <f t="shared" si="27"/>
        <v>0</v>
      </c>
      <c r="G24" s="33">
        <f t="shared" si="28"/>
        <v>0</v>
      </c>
      <c r="H24" s="120">
        <v>0.10100876409578589</v>
      </c>
      <c r="I24" s="120">
        <v>0.3</v>
      </c>
      <c r="J24" s="120">
        <v>0.28356106883863808</v>
      </c>
      <c r="K24" s="120">
        <v>0.25000000000000022</v>
      </c>
      <c r="L24" s="121">
        <v>6.5430167065575917E-2</v>
      </c>
      <c r="M24" s="109" t="str">
        <f t="shared" si="29"/>
        <v>Diesel (DOC+SDPF) Compact (Compact mixer in CCC ex: U shape, Chistera...)</v>
      </c>
      <c r="N24" s="33">
        <v>2088</v>
      </c>
      <c r="O24" s="33">
        <f t="shared" si="30"/>
        <v>313</v>
      </c>
      <c r="P24" s="33">
        <f t="shared" si="31"/>
        <v>522</v>
      </c>
      <c r="Q24" s="33">
        <f t="shared" si="32"/>
        <v>731</v>
      </c>
      <c r="R24" s="33">
        <f t="shared" si="33"/>
        <v>418</v>
      </c>
      <c r="S24" s="33">
        <f t="shared" si="34"/>
        <v>104</v>
      </c>
      <c r="T24" s="110">
        <v>0.15</v>
      </c>
      <c r="U24" s="110">
        <v>0.25</v>
      </c>
      <c r="V24" s="110">
        <v>0.35</v>
      </c>
      <c r="W24" s="110">
        <v>0.2</v>
      </c>
      <c r="X24" s="111">
        <v>0.05</v>
      </c>
      <c r="Y24" s="109" t="str">
        <f t="shared" si="35"/>
        <v>Diesel (DOC+SDPF) Compact (Compact mixer in CCC ex: U shape, Chistera...)</v>
      </c>
      <c r="Z24" s="33">
        <v>1200</v>
      </c>
      <c r="AA24" s="33">
        <f t="shared" si="36"/>
        <v>180</v>
      </c>
      <c r="AB24" s="33">
        <f t="shared" si="37"/>
        <v>300</v>
      </c>
      <c r="AC24" s="33">
        <f t="shared" si="38"/>
        <v>420</v>
      </c>
      <c r="AD24" s="33">
        <f t="shared" si="39"/>
        <v>240</v>
      </c>
      <c r="AE24" s="33">
        <f t="shared" si="40"/>
        <v>60</v>
      </c>
      <c r="AF24" s="110">
        <v>0.15</v>
      </c>
      <c r="AG24" s="110">
        <v>0.25</v>
      </c>
      <c r="AH24" s="110">
        <v>0.35</v>
      </c>
      <c r="AI24" s="110">
        <v>0.2</v>
      </c>
      <c r="AJ24" s="111">
        <v>0.05</v>
      </c>
      <c r="AK24" s="109" t="str">
        <f t="shared" si="41"/>
        <v>Diesel (DOC+SDPF) Compact (Compact mixer in CCC ex: U shape, Chistera...)</v>
      </c>
      <c r="AL24" s="118"/>
      <c r="AM24" s="33">
        <f t="shared" si="42"/>
        <v>0</v>
      </c>
      <c r="AN24" s="33">
        <f t="shared" si="43"/>
        <v>0</v>
      </c>
      <c r="AO24" s="33">
        <f t="shared" si="44"/>
        <v>0</v>
      </c>
      <c r="AP24" s="33">
        <f t="shared" si="45"/>
        <v>0</v>
      </c>
      <c r="AQ24" s="33">
        <f t="shared" si="46"/>
        <v>0</v>
      </c>
      <c r="AR24" s="132"/>
      <c r="AS24" s="132"/>
      <c r="AT24" s="132"/>
      <c r="AU24" s="132"/>
      <c r="AV24" s="133"/>
      <c r="AX24" s="16">
        <v>1184</v>
      </c>
      <c r="AY24" s="16">
        <v>1184</v>
      </c>
    </row>
    <row r="25" spans="1:53">
      <c r="A25" s="109" t="s">
        <v>509</v>
      </c>
      <c r="B25" s="33"/>
      <c r="C25" s="33">
        <f t="shared" si="24"/>
        <v>0</v>
      </c>
      <c r="D25" s="33">
        <f t="shared" si="25"/>
        <v>0</v>
      </c>
      <c r="E25" s="33">
        <f t="shared" si="26"/>
        <v>0</v>
      </c>
      <c r="F25" s="33">
        <f t="shared" si="27"/>
        <v>0</v>
      </c>
      <c r="G25" s="33">
        <f t="shared" si="28"/>
        <v>0</v>
      </c>
      <c r="H25" s="120">
        <v>0.10100876409578589</v>
      </c>
      <c r="I25" s="120">
        <v>0.25</v>
      </c>
      <c r="J25" s="120">
        <v>0.28356106883863808</v>
      </c>
      <c r="K25" s="120">
        <v>0.30000000000000021</v>
      </c>
      <c r="L25" s="121">
        <v>6.5430167065575917E-2</v>
      </c>
      <c r="M25" s="109" t="str">
        <f t="shared" si="29"/>
        <v>Manifold</v>
      </c>
      <c r="N25" s="33">
        <v>500</v>
      </c>
      <c r="O25" s="33">
        <f t="shared" si="30"/>
        <v>75</v>
      </c>
      <c r="P25" s="33">
        <f t="shared" si="31"/>
        <v>125</v>
      </c>
      <c r="Q25" s="33">
        <f t="shared" si="32"/>
        <v>175</v>
      </c>
      <c r="R25" s="33">
        <f t="shared" si="33"/>
        <v>100</v>
      </c>
      <c r="S25" s="33">
        <f t="shared" si="34"/>
        <v>25</v>
      </c>
      <c r="T25" s="110">
        <v>0.15</v>
      </c>
      <c r="U25" s="110">
        <v>0.25</v>
      </c>
      <c r="V25" s="110">
        <v>0.35</v>
      </c>
      <c r="W25" s="110">
        <v>0.2</v>
      </c>
      <c r="X25" s="111">
        <v>0.05</v>
      </c>
      <c r="Y25" s="109" t="str">
        <f t="shared" si="35"/>
        <v>Manifold</v>
      </c>
      <c r="Z25" s="33">
        <v>650</v>
      </c>
      <c r="AA25" s="33">
        <f t="shared" si="36"/>
        <v>98</v>
      </c>
      <c r="AB25" s="33">
        <f t="shared" si="37"/>
        <v>163</v>
      </c>
      <c r="AC25" s="33">
        <f t="shared" si="38"/>
        <v>228</v>
      </c>
      <c r="AD25" s="33">
        <f t="shared" si="39"/>
        <v>130</v>
      </c>
      <c r="AE25" s="33">
        <f t="shared" si="40"/>
        <v>33</v>
      </c>
      <c r="AF25" s="110">
        <v>0.15</v>
      </c>
      <c r="AG25" s="110">
        <v>0.25</v>
      </c>
      <c r="AH25" s="110">
        <v>0.35</v>
      </c>
      <c r="AI25" s="110">
        <v>0.2</v>
      </c>
      <c r="AJ25" s="111">
        <v>0.05</v>
      </c>
      <c r="AK25" s="109" t="str">
        <f t="shared" si="41"/>
        <v>Manifold</v>
      </c>
      <c r="AL25" s="118"/>
      <c r="AM25" s="33">
        <f t="shared" si="42"/>
        <v>0</v>
      </c>
      <c r="AN25" s="33">
        <f t="shared" si="43"/>
        <v>0</v>
      </c>
      <c r="AO25" s="33">
        <f t="shared" si="44"/>
        <v>0</v>
      </c>
      <c r="AP25" s="33">
        <f t="shared" si="45"/>
        <v>0</v>
      </c>
      <c r="AQ25" s="33">
        <f t="shared" si="46"/>
        <v>0</v>
      </c>
      <c r="AR25" s="132"/>
      <c r="AS25" s="132"/>
      <c r="AT25" s="132"/>
      <c r="AU25" s="132"/>
      <c r="AV25" s="133"/>
      <c r="AX25" s="16">
        <v>417</v>
      </c>
      <c r="AY25" s="16">
        <v>417</v>
      </c>
    </row>
    <row r="26" spans="1:53">
      <c r="A26" s="109" t="s">
        <v>512</v>
      </c>
      <c r="B26" s="33"/>
      <c r="C26" s="33">
        <f t="shared" si="24"/>
        <v>0</v>
      </c>
      <c r="D26" s="33">
        <f t="shared" si="25"/>
        <v>0</v>
      </c>
      <c r="E26" s="33">
        <f t="shared" si="26"/>
        <v>0</v>
      </c>
      <c r="F26" s="33">
        <f t="shared" si="27"/>
        <v>0</v>
      </c>
      <c r="G26" s="33">
        <f t="shared" si="28"/>
        <v>0</v>
      </c>
      <c r="H26" s="120">
        <v>0.10100876409578589</v>
      </c>
      <c r="I26" s="120">
        <v>0.25</v>
      </c>
      <c r="J26" s="120">
        <v>0.28356106883863808</v>
      </c>
      <c r="K26" s="120">
        <v>0.30000000000000021</v>
      </c>
      <c r="L26" s="121">
        <v>6.5430167065575917E-2</v>
      </c>
      <c r="M26" s="109" t="str">
        <f t="shared" si="29"/>
        <v xml:space="preserve">Maniverter </v>
      </c>
      <c r="N26" s="33">
        <v>870</v>
      </c>
      <c r="O26" s="33">
        <f t="shared" si="30"/>
        <v>131</v>
      </c>
      <c r="P26" s="33">
        <f t="shared" si="31"/>
        <v>218</v>
      </c>
      <c r="Q26" s="33">
        <f t="shared" si="32"/>
        <v>305</v>
      </c>
      <c r="R26" s="33">
        <f t="shared" si="33"/>
        <v>174</v>
      </c>
      <c r="S26" s="33">
        <f t="shared" si="34"/>
        <v>44</v>
      </c>
      <c r="T26" s="110">
        <v>0.15</v>
      </c>
      <c r="U26" s="110">
        <v>0.25</v>
      </c>
      <c r="V26" s="110">
        <v>0.35</v>
      </c>
      <c r="W26" s="110">
        <v>0.2</v>
      </c>
      <c r="X26" s="111">
        <v>0.05</v>
      </c>
      <c r="Y26" s="109" t="str">
        <f t="shared" si="35"/>
        <v xml:space="preserve">Maniverter </v>
      </c>
      <c r="Z26" s="33">
        <v>800</v>
      </c>
      <c r="AA26" s="33">
        <f t="shared" si="36"/>
        <v>120</v>
      </c>
      <c r="AB26" s="33">
        <f t="shared" si="37"/>
        <v>200</v>
      </c>
      <c r="AC26" s="33">
        <f t="shared" si="38"/>
        <v>280</v>
      </c>
      <c r="AD26" s="33">
        <f t="shared" si="39"/>
        <v>160</v>
      </c>
      <c r="AE26" s="33">
        <f t="shared" si="40"/>
        <v>40</v>
      </c>
      <c r="AF26" s="110">
        <v>0.15</v>
      </c>
      <c r="AG26" s="110">
        <v>0.25</v>
      </c>
      <c r="AH26" s="110">
        <v>0.35</v>
      </c>
      <c r="AI26" s="110">
        <v>0.2</v>
      </c>
      <c r="AJ26" s="111">
        <v>0.05</v>
      </c>
      <c r="AK26" s="109" t="str">
        <f t="shared" si="41"/>
        <v xml:space="preserve">Maniverter </v>
      </c>
      <c r="AL26" s="118"/>
      <c r="AM26" s="33">
        <f t="shared" si="42"/>
        <v>0</v>
      </c>
      <c r="AN26" s="33">
        <f t="shared" si="43"/>
        <v>0</v>
      </c>
      <c r="AO26" s="33">
        <f t="shared" si="44"/>
        <v>0</v>
      </c>
      <c r="AP26" s="33">
        <f t="shared" si="45"/>
        <v>0</v>
      </c>
      <c r="AQ26" s="33">
        <f t="shared" si="46"/>
        <v>0</v>
      </c>
      <c r="AR26" s="132"/>
      <c r="AS26" s="132"/>
      <c r="AT26" s="132"/>
      <c r="AU26" s="132"/>
      <c r="AV26" s="133"/>
      <c r="AX26" s="16">
        <v>640</v>
      </c>
      <c r="AY26" s="16">
        <v>640</v>
      </c>
    </row>
    <row r="27" spans="1:53">
      <c r="A27" s="109" t="s">
        <v>514</v>
      </c>
      <c r="B27" s="33"/>
      <c r="C27" s="33">
        <f t="shared" si="24"/>
        <v>0</v>
      </c>
      <c r="D27" s="33">
        <f t="shared" si="25"/>
        <v>0</v>
      </c>
      <c r="E27" s="33">
        <f t="shared" si="26"/>
        <v>0</v>
      </c>
      <c r="F27" s="33">
        <f t="shared" si="27"/>
        <v>0</v>
      </c>
      <c r="G27" s="33">
        <f t="shared" si="28"/>
        <v>0</v>
      </c>
      <c r="H27" s="120">
        <v>0.10100876409578589</v>
      </c>
      <c r="I27" s="120">
        <v>0.25</v>
      </c>
      <c r="J27" s="120">
        <v>0.28356106883863808</v>
      </c>
      <c r="K27" s="120">
        <v>0.30000000000000021</v>
      </c>
      <c r="L27" s="121">
        <v>6.5430167065575917E-2</v>
      </c>
      <c r="M27" s="109" t="str">
        <f t="shared" si="29"/>
        <v>Turbo HE</v>
      </c>
      <c r="N27" s="33">
        <v>435</v>
      </c>
      <c r="O27" s="33">
        <f t="shared" si="30"/>
        <v>65</v>
      </c>
      <c r="P27" s="33">
        <f t="shared" si="31"/>
        <v>109</v>
      </c>
      <c r="Q27" s="33">
        <f t="shared" si="32"/>
        <v>152</v>
      </c>
      <c r="R27" s="33">
        <f t="shared" si="33"/>
        <v>87</v>
      </c>
      <c r="S27" s="33">
        <f t="shared" si="34"/>
        <v>22</v>
      </c>
      <c r="T27" s="110">
        <v>0.15</v>
      </c>
      <c r="U27" s="110">
        <v>0.25</v>
      </c>
      <c r="V27" s="110">
        <v>0.35</v>
      </c>
      <c r="W27" s="110">
        <v>0.2</v>
      </c>
      <c r="X27" s="111">
        <v>0.05</v>
      </c>
      <c r="Y27" s="109" t="str">
        <f t="shared" si="35"/>
        <v>Turbo HE</v>
      </c>
      <c r="Z27" s="33">
        <v>700</v>
      </c>
      <c r="AA27" s="33">
        <f t="shared" si="36"/>
        <v>105</v>
      </c>
      <c r="AB27" s="33">
        <f t="shared" si="37"/>
        <v>175</v>
      </c>
      <c r="AC27" s="33">
        <f t="shared" si="38"/>
        <v>245</v>
      </c>
      <c r="AD27" s="33">
        <f t="shared" si="39"/>
        <v>140</v>
      </c>
      <c r="AE27" s="33">
        <f t="shared" si="40"/>
        <v>35</v>
      </c>
      <c r="AF27" s="110">
        <v>0.15</v>
      </c>
      <c r="AG27" s="110">
        <v>0.25</v>
      </c>
      <c r="AH27" s="110">
        <v>0.35</v>
      </c>
      <c r="AI27" s="110">
        <v>0.2</v>
      </c>
      <c r="AJ27" s="111">
        <v>0.05</v>
      </c>
      <c r="AK27" s="109" t="str">
        <f t="shared" si="41"/>
        <v>Turbo HE</v>
      </c>
      <c r="AL27" s="118"/>
      <c r="AM27" s="33">
        <f t="shared" si="42"/>
        <v>0</v>
      </c>
      <c r="AN27" s="33">
        <f t="shared" si="43"/>
        <v>0</v>
      </c>
      <c r="AO27" s="33">
        <f t="shared" si="44"/>
        <v>0</v>
      </c>
      <c r="AP27" s="33">
        <f t="shared" si="45"/>
        <v>0</v>
      </c>
      <c r="AQ27" s="33">
        <f t="shared" si="46"/>
        <v>0</v>
      </c>
      <c r="AR27" s="132"/>
      <c r="AS27" s="132"/>
      <c r="AT27" s="132"/>
      <c r="AU27" s="132"/>
      <c r="AV27" s="133"/>
      <c r="AX27" s="16">
        <v>635</v>
      </c>
      <c r="AY27" s="16">
        <v>635</v>
      </c>
    </row>
    <row r="28" spans="1:53">
      <c r="A28" s="109" t="s">
        <v>516</v>
      </c>
      <c r="B28" s="33"/>
      <c r="C28" s="33">
        <f t="shared" si="24"/>
        <v>0</v>
      </c>
      <c r="D28" s="33">
        <f t="shared" si="25"/>
        <v>0</v>
      </c>
      <c r="E28" s="33">
        <f t="shared" si="26"/>
        <v>0</v>
      </c>
      <c r="F28" s="33">
        <f t="shared" si="27"/>
        <v>0</v>
      </c>
      <c r="G28" s="33">
        <f t="shared" si="28"/>
        <v>0</v>
      </c>
      <c r="H28" s="120">
        <v>0.10100876409578589</v>
      </c>
      <c r="I28" s="120">
        <v>0.25</v>
      </c>
      <c r="J28" s="120">
        <v>0.28356106883863808</v>
      </c>
      <c r="K28" s="120">
        <v>0.30000000000000021</v>
      </c>
      <c r="L28" s="121">
        <v>6.5430167065575917E-2</v>
      </c>
      <c r="M28" s="109" t="str">
        <f t="shared" si="29"/>
        <v>Turbo HE + UCC</v>
      </c>
      <c r="N28" s="33">
        <v>654</v>
      </c>
      <c r="O28" s="33">
        <f t="shared" si="30"/>
        <v>98</v>
      </c>
      <c r="P28" s="33">
        <f t="shared" si="31"/>
        <v>164</v>
      </c>
      <c r="Q28" s="33">
        <f t="shared" si="32"/>
        <v>229</v>
      </c>
      <c r="R28" s="33">
        <f t="shared" si="33"/>
        <v>131</v>
      </c>
      <c r="S28" s="33">
        <f t="shared" si="34"/>
        <v>33</v>
      </c>
      <c r="T28" s="110">
        <v>0.15</v>
      </c>
      <c r="U28" s="110">
        <v>0.25</v>
      </c>
      <c r="V28" s="110">
        <v>0.35</v>
      </c>
      <c r="W28" s="110">
        <v>0.2</v>
      </c>
      <c r="X28" s="111">
        <v>0.05</v>
      </c>
      <c r="Y28" s="109" t="str">
        <f t="shared" si="35"/>
        <v>Turbo HE + UCC</v>
      </c>
      <c r="Z28" s="33">
        <v>650</v>
      </c>
      <c r="AA28" s="33">
        <f t="shared" si="36"/>
        <v>98</v>
      </c>
      <c r="AB28" s="33">
        <f t="shared" si="37"/>
        <v>163</v>
      </c>
      <c r="AC28" s="33">
        <f t="shared" si="38"/>
        <v>228</v>
      </c>
      <c r="AD28" s="33">
        <f t="shared" si="39"/>
        <v>130</v>
      </c>
      <c r="AE28" s="33">
        <f t="shared" si="40"/>
        <v>33</v>
      </c>
      <c r="AF28" s="110">
        <v>0.15</v>
      </c>
      <c r="AG28" s="110">
        <v>0.25</v>
      </c>
      <c r="AH28" s="110">
        <v>0.35</v>
      </c>
      <c r="AI28" s="110">
        <v>0.2</v>
      </c>
      <c r="AJ28" s="111">
        <v>0.05</v>
      </c>
      <c r="AK28" s="109" t="str">
        <f t="shared" si="41"/>
        <v>Turbo HE + UCC</v>
      </c>
      <c r="AL28" s="118"/>
      <c r="AM28" s="33">
        <f t="shared" si="42"/>
        <v>0</v>
      </c>
      <c r="AN28" s="33">
        <f t="shared" si="43"/>
        <v>0</v>
      </c>
      <c r="AO28" s="33">
        <f t="shared" si="44"/>
        <v>0</v>
      </c>
      <c r="AP28" s="33">
        <f t="shared" si="45"/>
        <v>0</v>
      </c>
      <c r="AQ28" s="33">
        <f t="shared" si="46"/>
        <v>0</v>
      </c>
      <c r="AR28" s="132"/>
      <c r="AS28" s="132"/>
      <c r="AT28" s="132"/>
      <c r="AU28" s="132"/>
      <c r="AV28" s="133"/>
      <c r="AX28" s="16">
        <v>688</v>
      </c>
      <c r="AY28" s="16">
        <v>688</v>
      </c>
    </row>
    <row r="29" spans="1:53">
      <c r="A29" s="109" t="s">
        <v>518</v>
      </c>
      <c r="B29" s="33"/>
      <c r="C29" s="33">
        <f t="shared" si="24"/>
        <v>0</v>
      </c>
      <c r="D29" s="33">
        <f t="shared" si="25"/>
        <v>0</v>
      </c>
      <c r="E29" s="33">
        <f t="shared" si="26"/>
        <v>0</v>
      </c>
      <c r="F29" s="33">
        <f t="shared" si="27"/>
        <v>0</v>
      </c>
      <c r="G29" s="33">
        <f t="shared" si="28"/>
        <v>0</v>
      </c>
      <c r="H29" s="120">
        <v>0.10100876409578589</v>
      </c>
      <c r="I29" s="120">
        <v>0.25</v>
      </c>
      <c r="J29" s="120">
        <v>0.28356106883863808</v>
      </c>
      <c r="K29" s="120">
        <v>0.30000000000000021</v>
      </c>
      <c r="L29" s="121">
        <v>6.5430167065575917E-2</v>
      </c>
      <c r="M29" s="109" t="str">
        <f t="shared" si="29"/>
        <v>UCC</v>
      </c>
      <c r="N29" s="33">
        <v>219</v>
      </c>
      <c r="O29" s="33">
        <f t="shared" si="30"/>
        <v>33</v>
      </c>
      <c r="P29" s="33">
        <f t="shared" si="31"/>
        <v>55</v>
      </c>
      <c r="Q29" s="33">
        <f t="shared" si="32"/>
        <v>77</v>
      </c>
      <c r="R29" s="33">
        <f t="shared" si="33"/>
        <v>44</v>
      </c>
      <c r="S29" s="33">
        <f t="shared" si="34"/>
        <v>11</v>
      </c>
      <c r="T29" s="110">
        <v>0.15</v>
      </c>
      <c r="U29" s="110">
        <v>0.25</v>
      </c>
      <c r="V29" s="110">
        <v>0.35</v>
      </c>
      <c r="W29" s="110">
        <v>0.2</v>
      </c>
      <c r="X29" s="111">
        <v>0.05</v>
      </c>
      <c r="Y29" s="109" t="str">
        <f t="shared" si="35"/>
        <v>UCC</v>
      </c>
      <c r="Z29" s="33">
        <v>450</v>
      </c>
      <c r="AA29" s="33">
        <f t="shared" si="36"/>
        <v>68</v>
      </c>
      <c r="AB29" s="33">
        <f t="shared" si="37"/>
        <v>113</v>
      </c>
      <c r="AC29" s="33">
        <f t="shared" si="38"/>
        <v>158</v>
      </c>
      <c r="AD29" s="33">
        <f t="shared" si="39"/>
        <v>90</v>
      </c>
      <c r="AE29" s="33">
        <f t="shared" si="40"/>
        <v>23</v>
      </c>
      <c r="AF29" s="110">
        <v>0.15</v>
      </c>
      <c r="AG29" s="110">
        <v>0.25</v>
      </c>
      <c r="AH29" s="110">
        <v>0.35</v>
      </c>
      <c r="AI29" s="110">
        <v>0.2</v>
      </c>
      <c r="AJ29" s="111">
        <v>0.05</v>
      </c>
      <c r="AK29" s="109" t="str">
        <f t="shared" si="41"/>
        <v>UCC</v>
      </c>
      <c r="AL29" s="118"/>
      <c r="AM29" s="33">
        <f t="shared" si="42"/>
        <v>0</v>
      </c>
      <c r="AN29" s="33">
        <f t="shared" si="43"/>
        <v>0</v>
      </c>
      <c r="AO29" s="33">
        <f t="shared" si="44"/>
        <v>0</v>
      </c>
      <c r="AP29" s="33">
        <f t="shared" si="45"/>
        <v>0</v>
      </c>
      <c r="AQ29" s="33">
        <f t="shared" si="46"/>
        <v>0</v>
      </c>
      <c r="AR29" s="132"/>
      <c r="AS29" s="132"/>
      <c r="AT29" s="132"/>
      <c r="AU29" s="132"/>
      <c r="AV29" s="133"/>
      <c r="AX29" s="16">
        <v>320</v>
      </c>
      <c r="AY29" s="16">
        <v>320</v>
      </c>
    </row>
    <row r="30" spans="1:53">
      <c r="A30" s="109" t="s">
        <v>520</v>
      </c>
      <c r="B30" s="33"/>
      <c r="C30" s="33">
        <f t="shared" si="24"/>
        <v>0</v>
      </c>
      <c r="D30" s="33">
        <f t="shared" si="25"/>
        <v>0</v>
      </c>
      <c r="E30" s="33">
        <f t="shared" si="26"/>
        <v>0</v>
      </c>
      <c r="F30" s="33">
        <f t="shared" si="27"/>
        <v>0</v>
      </c>
      <c r="G30" s="33">
        <f t="shared" si="28"/>
        <v>0</v>
      </c>
      <c r="H30" s="110">
        <v>7.0000000000000007E-2</v>
      </c>
      <c r="I30" s="110">
        <v>0.25</v>
      </c>
      <c r="J30" s="110">
        <v>0.35</v>
      </c>
      <c r="K30" s="110">
        <v>0.3</v>
      </c>
      <c r="L30" s="111">
        <v>0.03</v>
      </c>
      <c r="M30" s="109" t="str">
        <f t="shared" si="29"/>
        <v>Box</v>
      </c>
      <c r="N30" s="33">
        <v>3735</v>
      </c>
      <c r="O30" s="33">
        <f t="shared" si="30"/>
        <v>261</v>
      </c>
      <c r="P30" s="33">
        <f t="shared" si="31"/>
        <v>934</v>
      </c>
      <c r="Q30" s="33">
        <f t="shared" si="32"/>
        <v>1307</v>
      </c>
      <c r="R30" s="33">
        <f t="shared" si="33"/>
        <v>1121</v>
      </c>
      <c r="S30" s="33">
        <f t="shared" si="34"/>
        <v>112</v>
      </c>
      <c r="T30" s="110">
        <v>7.0000000000000007E-2</v>
      </c>
      <c r="U30" s="110">
        <v>0.25</v>
      </c>
      <c r="V30" s="110">
        <v>0.35</v>
      </c>
      <c r="W30" s="110">
        <v>0.3</v>
      </c>
      <c r="X30" s="111">
        <v>0.03</v>
      </c>
      <c r="Y30" s="109" t="str">
        <f t="shared" si="35"/>
        <v>Box</v>
      </c>
      <c r="Z30" s="33">
        <v>3735</v>
      </c>
      <c r="AA30" s="33">
        <f t="shared" si="36"/>
        <v>261</v>
      </c>
      <c r="AB30" s="33">
        <f t="shared" si="37"/>
        <v>934</v>
      </c>
      <c r="AC30" s="33">
        <f t="shared" si="38"/>
        <v>1307</v>
      </c>
      <c r="AD30" s="33">
        <f t="shared" si="39"/>
        <v>1121</v>
      </c>
      <c r="AE30" s="33">
        <f t="shared" si="40"/>
        <v>112</v>
      </c>
      <c r="AF30" s="110">
        <v>7.0000000000000007E-2</v>
      </c>
      <c r="AG30" s="110">
        <v>0.25</v>
      </c>
      <c r="AH30" s="110">
        <v>0.35</v>
      </c>
      <c r="AI30" s="110">
        <v>0.3</v>
      </c>
      <c r="AJ30" s="111">
        <v>0.03</v>
      </c>
      <c r="AK30" s="109" t="str">
        <f t="shared" si="41"/>
        <v>Box</v>
      </c>
      <c r="AL30" s="33">
        <v>3735</v>
      </c>
      <c r="AM30" s="33">
        <f t="shared" si="42"/>
        <v>261</v>
      </c>
      <c r="AN30" s="33">
        <f t="shared" si="43"/>
        <v>934</v>
      </c>
      <c r="AO30" s="33">
        <f t="shared" si="44"/>
        <v>1307</v>
      </c>
      <c r="AP30" s="33">
        <f t="shared" si="45"/>
        <v>1121</v>
      </c>
      <c r="AQ30" s="33">
        <f t="shared" si="46"/>
        <v>112</v>
      </c>
      <c r="AR30" s="110">
        <v>7.0000000000000007E-2</v>
      </c>
      <c r="AS30" s="110">
        <v>0.25</v>
      </c>
      <c r="AT30" s="110">
        <v>0.35</v>
      </c>
      <c r="AU30" s="110">
        <v>0.3</v>
      </c>
      <c r="AV30" s="111">
        <v>0.03</v>
      </c>
      <c r="AX30" s="16">
        <v>3957</v>
      </c>
      <c r="AY30" s="16">
        <v>3957</v>
      </c>
    </row>
    <row r="31" spans="1:53">
      <c r="A31" s="109" t="s">
        <v>523</v>
      </c>
      <c r="B31" s="33"/>
      <c r="C31" s="33">
        <f t="shared" si="24"/>
        <v>0</v>
      </c>
      <c r="D31" s="33">
        <f t="shared" si="25"/>
        <v>0</v>
      </c>
      <c r="E31" s="33">
        <f t="shared" si="26"/>
        <v>0</v>
      </c>
      <c r="F31" s="33">
        <f t="shared" si="27"/>
        <v>0</v>
      </c>
      <c r="G31" s="33">
        <f t="shared" si="28"/>
        <v>0</v>
      </c>
      <c r="H31" s="110">
        <v>7.0000000000000007E-2</v>
      </c>
      <c r="I31" s="110">
        <v>0.25</v>
      </c>
      <c r="J31" s="110">
        <v>0.35</v>
      </c>
      <c r="K31" s="110">
        <v>0.3</v>
      </c>
      <c r="L31" s="111">
        <v>0.03</v>
      </c>
      <c r="M31" s="109" t="str">
        <f t="shared" si="29"/>
        <v>Decomposition pipe</v>
      </c>
      <c r="N31" s="33">
        <v>934</v>
      </c>
      <c r="O31" s="33">
        <f t="shared" si="30"/>
        <v>65</v>
      </c>
      <c r="P31" s="33">
        <f t="shared" si="31"/>
        <v>234</v>
      </c>
      <c r="Q31" s="33">
        <f t="shared" si="32"/>
        <v>327</v>
      </c>
      <c r="R31" s="33">
        <f t="shared" si="33"/>
        <v>280</v>
      </c>
      <c r="S31" s="33">
        <f t="shared" si="34"/>
        <v>28</v>
      </c>
      <c r="T31" s="110">
        <v>7.0000000000000007E-2</v>
      </c>
      <c r="U31" s="110">
        <v>0.25</v>
      </c>
      <c r="V31" s="110">
        <v>0.35</v>
      </c>
      <c r="W31" s="110">
        <v>0.3</v>
      </c>
      <c r="X31" s="111">
        <v>0.03</v>
      </c>
      <c r="Y31" s="109" t="str">
        <f t="shared" si="35"/>
        <v>Decomposition pipe</v>
      </c>
      <c r="Z31" s="33">
        <v>934</v>
      </c>
      <c r="AA31" s="33">
        <f t="shared" si="36"/>
        <v>65</v>
      </c>
      <c r="AB31" s="33">
        <f t="shared" si="37"/>
        <v>234</v>
      </c>
      <c r="AC31" s="33">
        <f t="shared" si="38"/>
        <v>327</v>
      </c>
      <c r="AD31" s="33">
        <f t="shared" si="39"/>
        <v>280</v>
      </c>
      <c r="AE31" s="33">
        <f t="shared" si="40"/>
        <v>28</v>
      </c>
      <c r="AF31" s="110">
        <v>7.0000000000000007E-2</v>
      </c>
      <c r="AG31" s="110">
        <v>0.25</v>
      </c>
      <c r="AH31" s="110">
        <v>0.35</v>
      </c>
      <c r="AI31" s="110">
        <v>0.3</v>
      </c>
      <c r="AJ31" s="111">
        <v>0.03</v>
      </c>
      <c r="AK31" s="109" t="str">
        <f t="shared" si="41"/>
        <v>Decomposition pipe</v>
      </c>
      <c r="AL31" s="33">
        <v>934</v>
      </c>
      <c r="AM31" s="33">
        <f t="shared" si="42"/>
        <v>65</v>
      </c>
      <c r="AN31" s="33">
        <f t="shared" si="43"/>
        <v>234</v>
      </c>
      <c r="AO31" s="33">
        <f t="shared" si="44"/>
        <v>327</v>
      </c>
      <c r="AP31" s="33">
        <f t="shared" si="45"/>
        <v>280</v>
      </c>
      <c r="AQ31" s="33">
        <f t="shared" si="46"/>
        <v>28</v>
      </c>
      <c r="AR31" s="110">
        <v>7.0000000000000007E-2</v>
      </c>
      <c r="AS31" s="110">
        <v>0.25</v>
      </c>
      <c r="AT31" s="110">
        <v>0.35</v>
      </c>
      <c r="AU31" s="110">
        <v>0.3</v>
      </c>
      <c r="AV31" s="111">
        <v>0.03</v>
      </c>
      <c r="AX31" s="16">
        <v>1017</v>
      </c>
      <c r="AY31" s="16">
        <v>1017</v>
      </c>
    </row>
    <row r="32" spans="1:53">
      <c r="A32" s="109" t="s">
        <v>524</v>
      </c>
      <c r="B32" s="33"/>
      <c r="C32" s="33">
        <f t="shared" si="24"/>
        <v>0</v>
      </c>
      <c r="D32" s="33">
        <f t="shared" si="25"/>
        <v>0</v>
      </c>
      <c r="E32" s="33">
        <f t="shared" si="26"/>
        <v>0</v>
      </c>
      <c r="F32" s="33">
        <f t="shared" si="27"/>
        <v>0</v>
      </c>
      <c r="G32" s="33">
        <f t="shared" si="28"/>
        <v>0</v>
      </c>
      <c r="H32" s="110">
        <v>7.0000000000000007E-2</v>
      </c>
      <c r="I32" s="110">
        <v>0.25</v>
      </c>
      <c r="J32" s="110">
        <v>0.35</v>
      </c>
      <c r="K32" s="110">
        <v>0.3</v>
      </c>
      <c r="L32" s="111">
        <v>0.03</v>
      </c>
      <c r="M32" s="109" t="str">
        <f t="shared" si="29"/>
        <v>Inline</v>
      </c>
      <c r="N32" s="33">
        <v>1851</v>
      </c>
      <c r="O32" s="33">
        <f t="shared" si="30"/>
        <v>130</v>
      </c>
      <c r="P32" s="33">
        <f t="shared" si="31"/>
        <v>463</v>
      </c>
      <c r="Q32" s="33">
        <f t="shared" si="32"/>
        <v>648</v>
      </c>
      <c r="R32" s="33">
        <f t="shared" si="33"/>
        <v>555</v>
      </c>
      <c r="S32" s="33">
        <f t="shared" si="34"/>
        <v>56</v>
      </c>
      <c r="T32" s="110">
        <v>7.0000000000000007E-2</v>
      </c>
      <c r="U32" s="110">
        <v>0.25</v>
      </c>
      <c r="V32" s="110">
        <v>0.35</v>
      </c>
      <c r="W32" s="110">
        <v>0.3</v>
      </c>
      <c r="X32" s="111">
        <v>0.03</v>
      </c>
      <c r="Y32" s="109" t="str">
        <f t="shared" si="35"/>
        <v>Inline</v>
      </c>
      <c r="Z32" s="33">
        <v>1851</v>
      </c>
      <c r="AA32" s="33">
        <f t="shared" si="36"/>
        <v>130</v>
      </c>
      <c r="AB32" s="33">
        <f t="shared" si="37"/>
        <v>463</v>
      </c>
      <c r="AC32" s="33">
        <f t="shared" si="38"/>
        <v>648</v>
      </c>
      <c r="AD32" s="33">
        <f t="shared" si="39"/>
        <v>555</v>
      </c>
      <c r="AE32" s="33">
        <f t="shared" si="40"/>
        <v>56</v>
      </c>
      <c r="AF32" s="110">
        <v>7.0000000000000007E-2</v>
      </c>
      <c r="AG32" s="110">
        <v>0.25</v>
      </c>
      <c r="AH32" s="110">
        <v>0.35</v>
      </c>
      <c r="AI32" s="110">
        <v>0.3</v>
      </c>
      <c r="AJ32" s="111">
        <v>0.03</v>
      </c>
      <c r="AK32" s="109" t="str">
        <f t="shared" si="41"/>
        <v>Inline</v>
      </c>
      <c r="AL32" s="33">
        <v>1851</v>
      </c>
      <c r="AM32" s="33">
        <f t="shared" si="42"/>
        <v>130</v>
      </c>
      <c r="AN32" s="33">
        <f t="shared" si="43"/>
        <v>463</v>
      </c>
      <c r="AO32" s="33">
        <f t="shared" si="44"/>
        <v>648</v>
      </c>
      <c r="AP32" s="33">
        <f t="shared" si="45"/>
        <v>555</v>
      </c>
      <c r="AQ32" s="33">
        <f t="shared" si="46"/>
        <v>56</v>
      </c>
      <c r="AR32" s="110">
        <v>7.0000000000000007E-2</v>
      </c>
      <c r="AS32" s="110">
        <v>0.25</v>
      </c>
      <c r="AT32" s="110">
        <v>0.35</v>
      </c>
      <c r="AU32" s="110">
        <v>0.3</v>
      </c>
      <c r="AV32" s="111">
        <v>0.03</v>
      </c>
      <c r="AX32" s="16">
        <v>1976</v>
      </c>
      <c r="AY32" s="16">
        <v>1976</v>
      </c>
    </row>
    <row r="33" spans="1:51">
      <c r="A33" s="109" t="s">
        <v>526</v>
      </c>
      <c r="B33" s="33"/>
      <c r="C33" s="33">
        <f t="shared" si="24"/>
        <v>0</v>
      </c>
      <c r="D33" s="33">
        <f t="shared" si="25"/>
        <v>0</v>
      </c>
      <c r="E33" s="33">
        <f t="shared" si="26"/>
        <v>0</v>
      </c>
      <c r="F33" s="33">
        <f t="shared" si="27"/>
        <v>0</v>
      </c>
      <c r="G33" s="33">
        <f t="shared" si="28"/>
        <v>0</v>
      </c>
      <c r="H33" s="110">
        <v>7.0000000000000007E-2</v>
      </c>
      <c r="I33" s="110">
        <v>0.25</v>
      </c>
      <c r="J33" s="110">
        <v>0.35</v>
      </c>
      <c r="K33" s="110">
        <v>0.3</v>
      </c>
      <c r="L33" s="111">
        <v>0.03</v>
      </c>
      <c r="M33" s="109" t="str">
        <f t="shared" si="29"/>
        <v>Compact Mixer</v>
      </c>
      <c r="N33" s="33">
        <v>373</v>
      </c>
      <c r="O33" s="33">
        <f t="shared" si="30"/>
        <v>26</v>
      </c>
      <c r="P33" s="33">
        <f t="shared" si="31"/>
        <v>93</v>
      </c>
      <c r="Q33" s="33">
        <f t="shared" si="32"/>
        <v>131</v>
      </c>
      <c r="R33" s="33">
        <f t="shared" si="33"/>
        <v>112</v>
      </c>
      <c r="S33" s="33">
        <f t="shared" si="34"/>
        <v>11</v>
      </c>
      <c r="T33" s="110">
        <v>7.0000000000000007E-2</v>
      </c>
      <c r="U33" s="110">
        <v>0.25</v>
      </c>
      <c r="V33" s="110">
        <v>0.35</v>
      </c>
      <c r="W33" s="110">
        <v>0.3</v>
      </c>
      <c r="X33" s="111">
        <v>0.03</v>
      </c>
      <c r="Y33" s="109" t="str">
        <f t="shared" si="35"/>
        <v>Compact Mixer</v>
      </c>
      <c r="Z33" s="33">
        <v>373</v>
      </c>
      <c r="AA33" s="33">
        <f t="shared" si="36"/>
        <v>26</v>
      </c>
      <c r="AB33" s="33">
        <f t="shared" si="37"/>
        <v>93</v>
      </c>
      <c r="AC33" s="33">
        <f t="shared" si="38"/>
        <v>131</v>
      </c>
      <c r="AD33" s="33">
        <f t="shared" si="39"/>
        <v>112</v>
      </c>
      <c r="AE33" s="33">
        <f t="shared" si="40"/>
        <v>11</v>
      </c>
      <c r="AF33" s="110">
        <v>7.0000000000000007E-2</v>
      </c>
      <c r="AG33" s="110">
        <v>0.25</v>
      </c>
      <c r="AH33" s="110">
        <v>0.35</v>
      </c>
      <c r="AI33" s="110">
        <v>0.3</v>
      </c>
      <c r="AJ33" s="111">
        <v>0.03</v>
      </c>
      <c r="AK33" s="109" t="str">
        <f t="shared" si="41"/>
        <v>Compact Mixer</v>
      </c>
      <c r="AL33" s="33">
        <v>373</v>
      </c>
      <c r="AM33" s="33">
        <f t="shared" si="42"/>
        <v>26</v>
      </c>
      <c r="AN33" s="33">
        <f t="shared" si="43"/>
        <v>93</v>
      </c>
      <c r="AO33" s="33">
        <f t="shared" si="44"/>
        <v>131</v>
      </c>
      <c r="AP33" s="33">
        <f t="shared" si="45"/>
        <v>112</v>
      </c>
      <c r="AQ33" s="33">
        <f t="shared" si="46"/>
        <v>11</v>
      </c>
      <c r="AR33" s="110">
        <v>7.0000000000000007E-2</v>
      </c>
      <c r="AS33" s="110">
        <v>0.25</v>
      </c>
      <c r="AT33" s="110">
        <v>0.35</v>
      </c>
      <c r="AU33" s="110">
        <v>0.3</v>
      </c>
      <c r="AV33" s="111">
        <v>0.03</v>
      </c>
      <c r="AX33" s="16">
        <v>411</v>
      </c>
      <c r="AY33" s="16">
        <v>411</v>
      </c>
    </row>
    <row r="34" spans="1:51">
      <c r="A34" s="109" t="s">
        <v>528</v>
      </c>
      <c r="B34" s="33"/>
      <c r="C34" s="33">
        <f t="shared" si="24"/>
        <v>0</v>
      </c>
      <c r="D34" s="33">
        <f t="shared" si="25"/>
        <v>0</v>
      </c>
      <c r="E34" s="33">
        <f t="shared" si="26"/>
        <v>0</v>
      </c>
      <c r="F34" s="33">
        <f t="shared" si="27"/>
        <v>0</v>
      </c>
      <c r="G34" s="33">
        <f t="shared" si="28"/>
        <v>0</v>
      </c>
      <c r="H34" s="110">
        <v>7.0000000000000007E-2</v>
      </c>
      <c r="I34" s="110">
        <v>0.25</v>
      </c>
      <c r="J34" s="110">
        <v>0.35</v>
      </c>
      <c r="K34" s="110">
        <v>0.3</v>
      </c>
      <c r="L34" s="111">
        <v>0.03</v>
      </c>
      <c r="M34" s="109" t="str">
        <f t="shared" si="29"/>
        <v>Switch back</v>
      </c>
      <c r="N34" s="33">
        <v>2344</v>
      </c>
      <c r="O34" s="33">
        <f t="shared" si="30"/>
        <v>164</v>
      </c>
      <c r="P34" s="33">
        <f t="shared" si="31"/>
        <v>586</v>
      </c>
      <c r="Q34" s="33">
        <f t="shared" si="32"/>
        <v>820</v>
      </c>
      <c r="R34" s="33">
        <f t="shared" si="33"/>
        <v>703</v>
      </c>
      <c r="S34" s="33">
        <f t="shared" si="34"/>
        <v>70</v>
      </c>
      <c r="T34" s="110">
        <v>7.0000000000000007E-2</v>
      </c>
      <c r="U34" s="110">
        <v>0.25</v>
      </c>
      <c r="V34" s="110">
        <v>0.35</v>
      </c>
      <c r="W34" s="110">
        <v>0.3</v>
      </c>
      <c r="X34" s="111">
        <v>0.03</v>
      </c>
      <c r="Y34" s="109" t="str">
        <f t="shared" si="35"/>
        <v>Switch back</v>
      </c>
      <c r="Z34" s="33">
        <v>2344</v>
      </c>
      <c r="AA34" s="33">
        <f t="shared" si="36"/>
        <v>164</v>
      </c>
      <c r="AB34" s="33">
        <f t="shared" si="37"/>
        <v>586</v>
      </c>
      <c r="AC34" s="33">
        <f t="shared" si="38"/>
        <v>820</v>
      </c>
      <c r="AD34" s="33">
        <f t="shared" si="39"/>
        <v>703</v>
      </c>
      <c r="AE34" s="33">
        <f t="shared" si="40"/>
        <v>70</v>
      </c>
      <c r="AF34" s="110">
        <v>7.0000000000000007E-2</v>
      </c>
      <c r="AG34" s="110">
        <v>0.25</v>
      </c>
      <c r="AH34" s="110">
        <v>0.35</v>
      </c>
      <c r="AI34" s="110">
        <v>0.3</v>
      </c>
      <c r="AJ34" s="111">
        <v>0.03</v>
      </c>
      <c r="AK34" s="109" t="str">
        <f t="shared" si="41"/>
        <v>Switch back</v>
      </c>
      <c r="AL34" s="33">
        <v>2344</v>
      </c>
      <c r="AM34" s="33">
        <f t="shared" si="42"/>
        <v>164</v>
      </c>
      <c r="AN34" s="33">
        <f t="shared" si="43"/>
        <v>586</v>
      </c>
      <c r="AO34" s="33">
        <f t="shared" si="44"/>
        <v>820</v>
      </c>
      <c r="AP34" s="33">
        <f t="shared" si="45"/>
        <v>703</v>
      </c>
      <c r="AQ34" s="33">
        <f t="shared" si="46"/>
        <v>70</v>
      </c>
      <c r="AR34" s="110">
        <v>7.0000000000000007E-2</v>
      </c>
      <c r="AS34" s="110">
        <v>0.25</v>
      </c>
      <c r="AT34" s="110">
        <v>0.35</v>
      </c>
      <c r="AU34" s="110">
        <v>0.3</v>
      </c>
      <c r="AV34" s="111">
        <v>0.03</v>
      </c>
      <c r="AX34" s="16">
        <v>2492</v>
      </c>
      <c r="AY34" s="16">
        <v>2492</v>
      </c>
    </row>
    <row r="35" spans="1:51">
      <c r="A35" s="109" t="s">
        <v>531</v>
      </c>
      <c r="B35" s="33"/>
      <c r="C35" s="33">
        <f t="shared" si="24"/>
        <v>0</v>
      </c>
      <c r="D35" s="33">
        <f t="shared" si="25"/>
        <v>0</v>
      </c>
      <c r="E35" s="33">
        <f t="shared" si="26"/>
        <v>0</v>
      </c>
      <c r="F35" s="33">
        <f t="shared" si="27"/>
        <v>0</v>
      </c>
      <c r="G35" s="33">
        <f t="shared" si="28"/>
        <v>0</v>
      </c>
      <c r="H35" s="110">
        <v>7.0000000000000007E-2</v>
      </c>
      <c r="I35" s="110">
        <v>0.25</v>
      </c>
      <c r="J35" s="110">
        <v>0.35</v>
      </c>
      <c r="K35" s="110">
        <v>0.3</v>
      </c>
      <c r="L35" s="111">
        <v>0.03</v>
      </c>
      <c r="M35" s="109" t="str">
        <f t="shared" si="29"/>
        <v>U-Mixer</v>
      </c>
      <c r="N35" s="33">
        <v>493</v>
      </c>
      <c r="O35" s="33">
        <f t="shared" si="30"/>
        <v>35</v>
      </c>
      <c r="P35" s="33">
        <f t="shared" si="31"/>
        <v>123</v>
      </c>
      <c r="Q35" s="33">
        <f t="shared" si="32"/>
        <v>173</v>
      </c>
      <c r="R35" s="33">
        <f t="shared" si="33"/>
        <v>148</v>
      </c>
      <c r="S35" s="33">
        <f t="shared" si="34"/>
        <v>15</v>
      </c>
      <c r="T35" s="110">
        <v>7.0000000000000007E-2</v>
      </c>
      <c r="U35" s="110">
        <v>0.25</v>
      </c>
      <c r="V35" s="110">
        <v>0.35</v>
      </c>
      <c r="W35" s="110">
        <v>0.3</v>
      </c>
      <c r="X35" s="111">
        <v>0.03</v>
      </c>
      <c r="Y35" s="109" t="str">
        <f t="shared" si="35"/>
        <v>U-Mixer</v>
      </c>
      <c r="Z35" s="33">
        <v>493</v>
      </c>
      <c r="AA35" s="33">
        <f t="shared" si="36"/>
        <v>35</v>
      </c>
      <c r="AB35" s="33">
        <f t="shared" si="37"/>
        <v>123</v>
      </c>
      <c r="AC35" s="33">
        <f t="shared" si="38"/>
        <v>173</v>
      </c>
      <c r="AD35" s="33">
        <f t="shared" si="39"/>
        <v>148</v>
      </c>
      <c r="AE35" s="33">
        <f t="shared" si="40"/>
        <v>15</v>
      </c>
      <c r="AF35" s="110">
        <v>7.0000000000000007E-2</v>
      </c>
      <c r="AG35" s="110">
        <v>0.25</v>
      </c>
      <c r="AH35" s="110">
        <v>0.35</v>
      </c>
      <c r="AI35" s="110">
        <v>0.3</v>
      </c>
      <c r="AJ35" s="111">
        <v>0.03</v>
      </c>
      <c r="AK35" s="109" t="str">
        <f t="shared" si="41"/>
        <v>U-Mixer</v>
      </c>
      <c r="AL35" s="33">
        <v>493</v>
      </c>
      <c r="AM35" s="33">
        <f t="shared" si="42"/>
        <v>35</v>
      </c>
      <c r="AN35" s="33">
        <f t="shared" si="43"/>
        <v>123</v>
      </c>
      <c r="AO35" s="33">
        <f t="shared" si="44"/>
        <v>173</v>
      </c>
      <c r="AP35" s="33">
        <f t="shared" si="45"/>
        <v>148</v>
      </c>
      <c r="AQ35" s="33">
        <f t="shared" si="46"/>
        <v>15</v>
      </c>
      <c r="AR35" s="110">
        <v>7.0000000000000007E-2</v>
      </c>
      <c r="AS35" s="110">
        <v>0.25</v>
      </c>
      <c r="AT35" s="110">
        <v>0.35</v>
      </c>
      <c r="AU35" s="110">
        <v>0.3</v>
      </c>
      <c r="AV35" s="111">
        <v>0.03</v>
      </c>
      <c r="AX35" s="16">
        <v>540</v>
      </c>
      <c r="AY35" s="16">
        <v>540</v>
      </c>
    </row>
    <row r="36" spans="1:51" ht="13" thickBot="1">
      <c r="A36" s="112" t="s">
        <v>534</v>
      </c>
      <c r="B36" s="113"/>
      <c r="C36" s="113">
        <f t="shared" si="24"/>
        <v>0</v>
      </c>
      <c r="D36" s="113">
        <f t="shared" si="25"/>
        <v>0</v>
      </c>
      <c r="E36" s="113">
        <f t="shared" si="26"/>
        <v>0</v>
      </c>
      <c r="F36" s="113">
        <f t="shared" si="27"/>
        <v>0</v>
      </c>
      <c r="G36" s="113">
        <f t="shared" si="28"/>
        <v>0</v>
      </c>
      <c r="H36" s="114">
        <v>7.0000000000000007E-2</v>
      </c>
      <c r="I36" s="114">
        <v>0.25</v>
      </c>
      <c r="J36" s="114">
        <v>0.35</v>
      </c>
      <c r="K36" s="114">
        <v>0.3</v>
      </c>
      <c r="L36" s="115">
        <v>0.03</v>
      </c>
      <c r="M36" s="112" t="str">
        <f t="shared" si="29"/>
        <v>U-shape</v>
      </c>
      <c r="N36" s="113">
        <v>2344</v>
      </c>
      <c r="O36" s="113">
        <f t="shared" si="30"/>
        <v>164</v>
      </c>
      <c r="P36" s="113">
        <f t="shared" si="31"/>
        <v>586</v>
      </c>
      <c r="Q36" s="113">
        <f t="shared" si="32"/>
        <v>820</v>
      </c>
      <c r="R36" s="113">
        <f t="shared" si="33"/>
        <v>703</v>
      </c>
      <c r="S36" s="113">
        <f t="shared" si="34"/>
        <v>70</v>
      </c>
      <c r="T36" s="114">
        <v>7.0000000000000007E-2</v>
      </c>
      <c r="U36" s="114">
        <v>0.25</v>
      </c>
      <c r="V36" s="114">
        <v>0.35</v>
      </c>
      <c r="W36" s="114">
        <v>0.3</v>
      </c>
      <c r="X36" s="115">
        <v>0.03</v>
      </c>
      <c r="Y36" s="112" t="s">
        <v>534</v>
      </c>
      <c r="Z36" s="113">
        <v>2344</v>
      </c>
      <c r="AA36" s="113">
        <f t="shared" si="36"/>
        <v>164</v>
      </c>
      <c r="AB36" s="113">
        <f t="shared" si="37"/>
        <v>586</v>
      </c>
      <c r="AC36" s="113">
        <f t="shared" si="38"/>
        <v>820</v>
      </c>
      <c r="AD36" s="113">
        <f t="shared" si="39"/>
        <v>703</v>
      </c>
      <c r="AE36" s="113">
        <f t="shared" si="40"/>
        <v>70</v>
      </c>
      <c r="AF36" s="114">
        <v>7.0000000000000007E-2</v>
      </c>
      <c r="AG36" s="114">
        <v>0.25</v>
      </c>
      <c r="AH36" s="114">
        <v>0.35</v>
      </c>
      <c r="AI36" s="114">
        <v>0.3</v>
      </c>
      <c r="AJ36" s="115">
        <v>0.03</v>
      </c>
      <c r="AK36" s="112" t="s">
        <v>534</v>
      </c>
      <c r="AL36" s="113">
        <v>2344</v>
      </c>
      <c r="AM36" s="113">
        <f t="shared" si="42"/>
        <v>164</v>
      </c>
      <c r="AN36" s="113">
        <f t="shared" si="43"/>
        <v>586</v>
      </c>
      <c r="AO36" s="113">
        <f t="shared" si="44"/>
        <v>820</v>
      </c>
      <c r="AP36" s="113">
        <f t="shared" si="45"/>
        <v>703</v>
      </c>
      <c r="AQ36" s="113">
        <f t="shared" si="46"/>
        <v>70</v>
      </c>
      <c r="AR36" s="114">
        <v>7.0000000000000007E-2</v>
      </c>
      <c r="AS36" s="114">
        <v>0.25</v>
      </c>
      <c r="AT36" s="114">
        <v>0.35</v>
      </c>
      <c r="AU36" s="114">
        <v>0.3</v>
      </c>
      <c r="AV36" s="115">
        <v>0.03</v>
      </c>
      <c r="AX36" s="16">
        <v>2491</v>
      </c>
      <c r="AY36" s="16">
        <v>2491</v>
      </c>
    </row>
    <row r="37" spans="1:51" s="56" customFormat="1">
      <c r="A37" s="107" t="s">
        <v>460</v>
      </c>
      <c r="B37" s="108" t="s">
        <v>162</v>
      </c>
      <c r="C37" s="124" t="s">
        <v>120</v>
      </c>
      <c r="D37" s="124" t="s">
        <v>121</v>
      </c>
      <c r="E37" s="124" t="s">
        <v>122</v>
      </c>
      <c r="F37" s="126" t="s">
        <v>123</v>
      </c>
      <c r="G37" s="126" t="s">
        <v>124</v>
      </c>
      <c r="H37" s="127" t="s">
        <v>120</v>
      </c>
      <c r="I37" s="125" t="s">
        <v>121</v>
      </c>
      <c r="J37" s="125" t="s">
        <v>122</v>
      </c>
      <c r="K37" s="127" t="s">
        <v>123</v>
      </c>
      <c r="L37" s="128" t="s">
        <v>124</v>
      </c>
      <c r="M37" s="107" t="s">
        <v>93</v>
      </c>
      <c r="N37" s="108" t="str">
        <f>B37</f>
        <v>CAD</v>
      </c>
      <c r="O37" s="124" t="s">
        <v>120</v>
      </c>
      <c r="P37" s="124" t="s">
        <v>121</v>
      </c>
      <c r="Q37" s="124" t="s">
        <v>122</v>
      </c>
      <c r="R37" s="126" t="s">
        <v>123</v>
      </c>
      <c r="S37" s="126" t="s">
        <v>124</v>
      </c>
      <c r="T37" s="127" t="s">
        <v>120</v>
      </c>
      <c r="U37" s="125" t="s">
        <v>121</v>
      </c>
      <c r="V37" s="125" t="s">
        <v>122</v>
      </c>
      <c r="W37" s="127" t="s">
        <v>123</v>
      </c>
      <c r="X37" s="128" t="s">
        <v>124</v>
      </c>
      <c r="Y37" s="107" t="s">
        <v>483</v>
      </c>
      <c r="Z37" s="108" t="str">
        <f>N37</f>
        <v>CAD</v>
      </c>
      <c r="AA37" s="124" t="s">
        <v>120</v>
      </c>
      <c r="AB37" s="124" t="s">
        <v>121</v>
      </c>
      <c r="AC37" s="124" t="s">
        <v>122</v>
      </c>
      <c r="AD37" s="126" t="s">
        <v>123</v>
      </c>
      <c r="AE37" s="126" t="s">
        <v>124</v>
      </c>
      <c r="AF37" s="127" t="s">
        <v>120</v>
      </c>
      <c r="AG37" s="125" t="s">
        <v>121</v>
      </c>
      <c r="AH37" s="125" t="s">
        <v>122</v>
      </c>
      <c r="AI37" s="127" t="s">
        <v>123</v>
      </c>
      <c r="AJ37" s="128" t="s">
        <v>124</v>
      </c>
      <c r="AK37" s="107" t="s">
        <v>482</v>
      </c>
      <c r="AL37" s="108" t="str">
        <f>Z37</f>
        <v>CAD</v>
      </c>
      <c r="AM37" s="124" t="s">
        <v>120</v>
      </c>
      <c r="AN37" s="124" t="s">
        <v>121</v>
      </c>
      <c r="AO37" s="124" t="s">
        <v>122</v>
      </c>
      <c r="AP37" s="126" t="s">
        <v>123</v>
      </c>
      <c r="AQ37" s="126" t="s">
        <v>124</v>
      </c>
      <c r="AR37" s="127" t="s">
        <v>120</v>
      </c>
      <c r="AS37" s="125" t="s">
        <v>121</v>
      </c>
      <c r="AT37" s="125" t="s">
        <v>122</v>
      </c>
      <c r="AU37" s="127" t="s">
        <v>123</v>
      </c>
      <c r="AV37" s="128" t="s">
        <v>124</v>
      </c>
      <c r="AX37" s="56" t="s">
        <v>162</v>
      </c>
      <c r="AY37" s="56" t="s">
        <v>162</v>
      </c>
    </row>
    <row r="38" spans="1:51">
      <c r="A38" s="109" t="s">
        <v>490</v>
      </c>
      <c r="B38" s="33" cm="1">
        <f t="array" ref="B38">IF(INDEX('Dropdown list'!$G$1:$J$94,MATCH('Project information'!$A$4&amp;'Project information'!$B$7,'Dropdown list'!$G$1:$G$94&amp;'Dropdown list'!$I$1:$I$94,0),4)="Y",AX38,AY38)</f>
        <v>583</v>
      </c>
      <c r="C38" s="33">
        <f t="shared" ref="C38:C54" si="47">ROUND($B38*H38,0)</f>
        <v>97</v>
      </c>
      <c r="D38" s="33">
        <f t="shared" ref="D38:D54" si="48">ROUND($B38*I38,0)</f>
        <v>234</v>
      </c>
      <c r="E38" s="33">
        <f t="shared" ref="E38:E54" si="49">ROUND($B38*J38,0)</f>
        <v>154</v>
      </c>
      <c r="F38" s="33">
        <f t="shared" ref="F38:F54" si="50">ROUND($B38*K38,0)</f>
        <v>80</v>
      </c>
      <c r="G38" s="33">
        <f t="shared" ref="G38:G54" si="51">ROUND($B38*L38,0)</f>
        <v>18</v>
      </c>
      <c r="H38" s="120">
        <v>0.16666666666666671</v>
      </c>
      <c r="I38" s="120">
        <v>0.40052083333333338</v>
      </c>
      <c r="J38" s="120">
        <v>0.26500000000000001</v>
      </c>
      <c r="K38" s="120">
        <v>0.13750000000000001</v>
      </c>
      <c r="L38" s="121">
        <v>3.0312499999999999E-2</v>
      </c>
      <c r="M38" s="109" t="str">
        <f t="shared" ref="M38:M54" si="52">$A38</f>
        <v>Cold End Complex</v>
      </c>
      <c r="N38" s="33">
        <v>799</v>
      </c>
      <c r="O38" s="33">
        <f t="shared" ref="O38:O54" si="53">ROUND($N38*T38,0)</f>
        <v>120</v>
      </c>
      <c r="P38" s="33">
        <f t="shared" ref="P38:P54" si="54">ROUND($N38*U38,0)</f>
        <v>320</v>
      </c>
      <c r="Q38" s="33">
        <f t="shared" ref="Q38:Q54" si="55">ROUND($N38*V38,0)</f>
        <v>240</v>
      </c>
      <c r="R38" s="33">
        <f t="shared" ref="R38:R54" si="56">ROUND($N38*W38,0)</f>
        <v>104</v>
      </c>
      <c r="S38" s="33">
        <f t="shared" ref="S38:S54" si="57">ROUND($N38*X38,0)</f>
        <v>16</v>
      </c>
      <c r="T38" s="110">
        <v>0.15</v>
      </c>
      <c r="U38" s="110">
        <v>0.4</v>
      </c>
      <c r="V38" s="110">
        <v>0.3</v>
      </c>
      <c r="W38" s="110">
        <v>0.13</v>
      </c>
      <c r="X38" s="111">
        <v>0.02</v>
      </c>
      <c r="Y38" s="109" t="str">
        <f t="shared" ref="Y38:Y53" si="58">$A38</f>
        <v>Cold End Complex</v>
      </c>
      <c r="Z38" s="33">
        <v>1517</v>
      </c>
      <c r="AA38" s="33">
        <f t="shared" ref="AA38:AA54" si="59">ROUND($Z38*AF38,0)</f>
        <v>379</v>
      </c>
      <c r="AB38" s="33">
        <f t="shared" ref="AB38:AB54" si="60">ROUND($Z38*AG38,0)</f>
        <v>531</v>
      </c>
      <c r="AC38" s="33">
        <f t="shared" ref="AC38:AC54" si="61">ROUND($Z38*AH38,0)</f>
        <v>379</v>
      </c>
      <c r="AD38" s="33">
        <f t="shared" ref="AD38:AD54" si="62">ROUND($Z38*AI38,0)</f>
        <v>182</v>
      </c>
      <c r="AE38" s="33">
        <f t="shared" ref="AE38:AE54" si="63">ROUND($Z38*AJ38,0)</f>
        <v>46</v>
      </c>
      <c r="AF38" s="110">
        <v>0.25</v>
      </c>
      <c r="AG38" s="110">
        <v>0.35</v>
      </c>
      <c r="AH38" s="110">
        <v>0.25</v>
      </c>
      <c r="AI38" s="110">
        <v>0.12</v>
      </c>
      <c r="AJ38" s="111">
        <v>0.03</v>
      </c>
      <c r="AK38" s="109" t="str">
        <f t="shared" ref="AK38:AK53" si="64">$A38</f>
        <v>Cold End Complex</v>
      </c>
      <c r="AL38" s="118"/>
      <c r="AM38" s="33">
        <f t="shared" ref="AM38:AM54" si="65">ROUND($AL38*AR38,0)</f>
        <v>0</v>
      </c>
      <c r="AN38" s="33">
        <f t="shared" ref="AN38:AN54" si="66">ROUND($AL38*AS38,0)</f>
        <v>0</v>
      </c>
      <c r="AO38" s="33">
        <f t="shared" ref="AO38:AO54" si="67">ROUND($AL38*AT38,0)</f>
        <v>0</v>
      </c>
      <c r="AP38" s="33">
        <f t="shared" ref="AP38:AP54" si="68">ROUND($AL38*AU38,0)</f>
        <v>0</v>
      </c>
      <c r="AQ38" s="33">
        <f t="shared" ref="AQ38:AQ54" si="69">ROUND($AL38*AV38,0)</f>
        <v>0</v>
      </c>
      <c r="AR38" s="132"/>
      <c r="AS38" s="132"/>
      <c r="AT38" s="132"/>
      <c r="AU38" s="132"/>
      <c r="AV38" s="133"/>
      <c r="AX38" s="16">
        <v>583</v>
      </c>
      <c r="AY38" s="16">
        <v>583</v>
      </c>
    </row>
    <row r="39" spans="1:51">
      <c r="A39" s="109" t="s">
        <v>494</v>
      </c>
      <c r="B39" s="33" cm="1">
        <f t="array" ref="B39">IF(INDEX('Dropdown list'!$G$1:$J$94,MATCH('Project information'!$A$4&amp;'Project information'!$B$7,'Dropdown list'!$G$1:$G$94&amp;'Dropdown list'!$I$1:$I$94,0),4)="Y",AX39,AY39)</f>
        <v>528</v>
      </c>
      <c r="C39" s="33">
        <f t="shared" si="47"/>
        <v>88</v>
      </c>
      <c r="D39" s="33">
        <f t="shared" si="48"/>
        <v>211</v>
      </c>
      <c r="E39" s="33">
        <f t="shared" si="49"/>
        <v>140</v>
      </c>
      <c r="F39" s="33">
        <f t="shared" si="50"/>
        <v>73</v>
      </c>
      <c r="G39" s="33">
        <f t="shared" si="51"/>
        <v>16</v>
      </c>
      <c r="H39" s="120">
        <v>0.16666666666666671</v>
      </c>
      <c r="I39" s="120">
        <v>0.40052083333333338</v>
      </c>
      <c r="J39" s="120">
        <v>0.26500000000000001</v>
      </c>
      <c r="K39" s="120">
        <v>0.13750000000000001</v>
      </c>
      <c r="L39" s="121">
        <v>3.0312499999999999E-2</v>
      </c>
      <c r="M39" s="109" t="str">
        <f t="shared" si="52"/>
        <v>Cold End Simple</v>
      </c>
      <c r="N39" s="33">
        <v>453</v>
      </c>
      <c r="O39" s="33">
        <f t="shared" si="53"/>
        <v>68</v>
      </c>
      <c r="P39" s="33">
        <f t="shared" si="54"/>
        <v>181</v>
      </c>
      <c r="Q39" s="33">
        <f t="shared" si="55"/>
        <v>136</v>
      </c>
      <c r="R39" s="33">
        <f t="shared" si="56"/>
        <v>59</v>
      </c>
      <c r="S39" s="33">
        <f t="shared" si="57"/>
        <v>9</v>
      </c>
      <c r="T39" s="110">
        <v>0.15</v>
      </c>
      <c r="U39" s="110">
        <v>0.4</v>
      </c>
      <c r="V39" s="110">
        <v>0.3</v>
      </c>
      <c r="W39" s="110">
        <v>0.13</v>
      </c>
      <c r="X39" s="111">
        <v>0.02</v>
      </c>
      <c r="Y39" s="109" t="str">
        <f t="shared" si="58"/>
        <v>Cold End Simple</v>
      </c>
      <c r="Z39" s="33">
        <v>913</v>
      </c>
      <c r="AA39" s="33">
        <f t="shared" si="59"/>
        <v>228</v>
      </c>
      <c r="AB39" s="33">
        <f t="shared" si="60"/>
        <v>320</v>
      </c>
      <c r="AC39" s="33">
        <f t="shared" si="61"/>
        <v>228</v>
      </c>
      <c r="AD39" s="33">
        <f t="shared" si="62"/>
        <v>110</v>
      </c>
      <c r="AE39" s="33">
        <f t="shared" si="63"/>
        <v>27</v>
      </c>
      <c r="AF39" s="110">
        <v>0.25</v>
      </c>
      <c r="AG39" s="110">
        <v>0.35</v>
      </c>
      <c r="AH39" s="110">
        <v>0.25</v>
      </c>
      <c r="AI39" s="110">
        <v>0.12</v>
      </c>
      <c r="AJ39" s="111">
        <v>0.03</v>
      </c>
      <c r="AK39" s="109" t="str">
        <f t="shared" si="64"/>
        <v>Cold End Simple</v>
      </c>
      <c r="AL39" s="118"/>
      <c r="AM39" s="33">
        <f t="shared" si="65"/>
        <v>0</v>
      </c>
      <c r="AN39" s="33">
        <f t="shared" si="66"/>
        <v>0</v>
      </c>
      <c r="AO39" s="33">
        <f t="shared" si="67"/>
        <v>0</v>
      </c>
      <c r="AP39" s="33">
        <f t="shared" si="68"/>
        <v>0</v>
      </c>
      <c r="AQ39" s="33">
        <f t="shared" si="69"/>
        <v>0</v>
      </c>
      <c r="AR39" s="132"/>
      <c r="AS39" s="132"/>
      <c r="AT39" s="132"/>
      <c r="AU39" s="132"/>
      <c r="AV39" s="133"/>
      <c r="AX39" s="16">
        <v>528</v>
      </c>
      <c r="AY39" s="16">
        <v>528</v>
      </c>
    </row>
    <row r="40" spans="1:51">
      <c r="A40" s="109" t="s">
        <v>498</v>
      </c>
      <c r="B40" s="33" cm="1">
        <f t="array" ref="B40">IF(INDEX('Dropdown list'!$G$1:$J$94,MATCH('Project information'!$A$4&amp;'Project information'!$B$7,'Dropdown list'!$G$1:$G$94&amp;'Dropdown list'!$I$1:$I$94,0),4)="Y",AX40,AY40)</f>
        <v>561</v>
      </c>
      <c r="C40" s="33">
        <f t="shared" si="47"/>
        <v>94</v>
      </c>
      <c r="D40" s="33">
        <f t="shared" si="48"/>
        <v>254</v>
      </c>
      <c r="E40" s="33">
        <f t="shared" si="49"/>
        <v>140</v>
      </c>
      <c r="F40" s="33">
        <f t="shared" si="50"/>
        <v>56</v>
      </c>
      <c r="G40" s="33">
        <f t="shared" si="51"/>
        <v>17</v>
      </c>
      <c r="H40" s="120">
        <v>0.16666666666666671</v>
      </c>
      <c r="I40" s="120">
        <v>0.45302083333333337</v>
      </c>
      <c r="J40" s="120">
        <v>0.25</v>
      </c>
      <c r="K40" s="120">
        <v>0.1</v>
      </c>
      <c r="L40" s="121">
        <v>3.0312499999999999E-2</v>
      </c>
      <c r="M40" s="109" t="str">
        <f t="shared" si="52"/>
        <v>Diesel (DOC+DPF)</v>
      </c>
      <c r="N40" s="33">
        <v>499</v>
      </c>
      <c r="O40" s="33">
        <f t="shared" si="53"/>
        <v>75</v>
      </c>
      <c r="P40" s="33">
        <f t="shared" si="54"/>
        <v>200</v>
      </c>
      <c r="Q40" s="33">
        <f t="shared" si="55"/>
        <v>150</v>
      </c>
      <c r="R40" s="33">
        <f t="shared" si="56"/>
        <v>65</v>
      </c>
      <c r="S40" s="33">
        <f t="shared" si="57"/>
        <v>10</v>
      </c>
      <c r="T40" s="110">
        <v>0.15</v>
      </c>
      <c r="U40" s="110">
        <v>0.4</v>
      </c>
      <c r="V40" s="110">
        <v>0.3</v>
      </c>
      <c r="W40" s="110">
        <v>0.13</v>
      </c>
      <c r="X40" s="111">
        <v>0.02</v>
      </c>
      <c r="Y40" s="109" t="str">
        <f t="shared" si="58"/>
        <v>Diesel (DOC+DPF)</v>
      </c>
      <c r="Z40" s="33">
        <v>499</v>
      </c>
      <c r="AA40" s="33">
        <f t="shared" si="59"/>
        <v>125</v>
      </c>
      <c r="AB40" s="33">
        <f t="shared" si="60"/>
        <v>175</v>
      </c>
      <c r="AC40" s="33">
        <f t="shared" si="61"/>
        <v>125</v>
      </c>
      <c r="AD40" s="33">
        <f t="shared" si="62"/>
        <v>60</v>
      </c>
      <c r="AE40" s="33">
        <f t="shared" si="63"/>
        <v>15</v>
      </c>
      <c r="AF40" s="110">
        <v>0.25</v>
      </c>
      <c r="AG40" s="110">
        <v>0.35</v>
      </c>
      <c r="AH40" s="110">
        <v>0.25</v>
      </c>
      <c r="AI40" s="110">
        <v>0.12</v>
      </c>
      <c r="AJ40" s="111">
        <v>0.03</v>
      </c>
      <c r="AK40" s="109" t="str">
        <f t="shared" si="64"/>
        <v>Diesel (DOC+DPF)</v>
      </c>
      <c r="AL40" s="118"/>
      <c r="AM40" s="33">
        <f t="shared" si="65"/>
        <v>0</v>
      </c>
      <c r="AN40" s="33">
        <f t="shared" si="66"/>
        <v>0</v>
      </c>
      <c r="AO40" s="33">
        <f t="shared" si="67"/>
        <v>0</v>
      </c>
      <c r="AP40" s="33">
        <f t="shared" si="68"/>
        <v>0</v>
      </c>
      <c r="AQ40" s="33">
        <f t="shared" si="69"/>
        <v>0</v>
      </c>
      <c r="AR40" s="132"/>
      <c r="AS40" s="132"/>
      <c r="AT40" s="132"/>
      <c r="AU40" s="132"/>
      <c r="AV40" s="133"/>
      <c r="AX40" s="16">
        <v>561</v>
      </c>
      <c r="AY40" s="16">
        <v>561</v>
      </c>
    </row>
    <row r="41" spans="1:51" ht="37.5">
      <c r="A41" s="109" t="s">
        <v>500</v>
      </c>
      <c r="B41" s="33" cm="1">
        <f t="array" ref="B41">IF(INDEX('Dropdown list'!$G$1:$J$94,MATCH('Project information'!$A$4&amp;'Project information'!$B$7,'Dropdown list'!$G$1:$G$94&amp;'Dropdown list'!$I$1:$I$94,0),4)="Y",AX41,AY41)</f>
        <v>605</v>
      </c>
      <c r="C41" s="33">
        <f t="shared" si="47"/>
        <v>101</v>
      </c>
      <c r="D41" s="33">
        <f t="shared" si="48"/>
        <v>274</v>
      </c>
      <c r="E41" s="33">
        <f t="shared" si="49"/>
        <v>151</v>
      </c>
      <c r="F41" s="33">
        <f t="shared" si="50"/>
        <v>61</v>
      </c>
      <c r="G41" s="33">
        <f t="shared" si="51"/>
        <v>18</v>
      </c>
      <c r="H41" s="120">
        <v>0.16666666666666671</v>
      </c>
      <c r="I41" s="120">
        <v>0.45302083333333337</v>
      </c>
      <c r="J41" s="120">
        <v>0.25</v>
      </c>
      <c r="K41" s="120">
        <v>0.1</v>
      </c>
      <c r="L41" s="121">
        <v>3.0312499999999999E-2</v>
      </c>
      <c r="M41" s="109" t="str">
        <f t="shared" si="52"/>
        <v>Diesel (DOC+DPF+SCR) Underfloor (with underfloor mixer &amp; underfloor SCR)</v>
      </c>
      <c r="N41" s="33">
        <v>1000</v>
      </c>
      <c r="O41" s="33">
        <f t="shared" si="53"/>
        <v>150</v>
      </c>
      <c r="P41" s="33">
        <f t="shared" si="54"/>
        <v>400</v>
      </c>
      <c r="Q41" s="33">
        <f t="shared" si="55"/>
        <v>300</v>
      </c>
      <c r="R41" s="33">
        <f t="shared" si="56"/>
        <v>130</v>
      </c>
      <c r="S41" s="33">
        <f t="shared" si="57"/>
        <v>20</v>
      </c>
      <c r="T41" s="110">
        <v>0.15</v>
      </c>
      <c r="U41" s="110">
        <v>0.4</v>
      </c>
      <c r="V41" s="110">
        <v>0.3</v>
      </c>
      <c r="W41" s="110">
        <v>0.13</v>
      </c>
      <c r="X41" s="111">
        <v>0.02</v>
      </c>
      <c r="Y41" s="109" t="str">
        <f t="shared" si="58"/>
        <v>Diesel (DOC+DPF+SCR) Underfloor (with underfloor mixer &amp; underfloor SCR)</v>
      </c>
      <c r="Z41" s="33">
        <v>1000</v>
      </c>
      <c r="AA41" s="33">
        <f t="shared" si="59"/>
        <v>250</v>
      </c>
      <c r="AB41" s="33">
        <f t="shared" si="60"/>
        <v>350</v>
      </c>
      <c r="AC41" s="33">
        <f t="shared" si="61"/>
        <v>250</v>
      </c>
      <c r="AD41" s="33">
        <f t="shared" si="62"/>
        <v>120</v>
      </c>
      <c r="AE41" s="33">
        <f t="shared" si="63"/>
        <v>30</v>
      </c>
      <c r="AF41" s="110">
        <v>0.25</v>
      </c>
      <c r="AG41" s="110">
        <v>0.35</v>
      </c>
      <c r="AH41" s="110">
        <v>0.25</v>
      </c>
      <c r="AI41" s="110">
        <v>0.12</v>
      </c>
      <c r="AJ41" s="111">
        <v>0.03</v>
      </c>
      <c r="AK41" s="109" t="str">
        <f t="shared" si="64"/>
        <v>Diesel (DOC+DPF+SCR) Underfloor (with underfloor mixer &amp; underfloor SCR)</v>
      </c>
      <c r="AL41" s="118"/>
      <c r="AM41" s="33">
        <f t="shared" si="65"/>
        <v>0</v>
      </c>
      <c r="AN41" s="33">
        <f t="shared" si="66"/>
        <v>0</v>
      </c>
      <c r="AO41" s="33">
        <f t="shared" si="67"/>
        <v>0</v>
      </c>
      <c r="AP41" s="33">
        <f t="shared" si="68"/>
        <v>0</v>
      </c>
      <c r="AQ41" s="33">
        <f t="shared" si="69"/>
        <v>0</v>
      </c>
      <c r="AR41" s="132"/>
      <c r="AS41" s="132"/>
      <c r="AT41" s="132"/>
      <c r="AU41" s="132"/>
      <c r="AV41" s="133"/>
      <c r="AX41" s="16">
        <v>605</v>
      </c>
      <c r="AY41" s="16">
        <v>605</v>
      </c>
    </row>
    <row r="42" spans="1:51" ht="37.5">
      <c r="A42" s="109" t="s">
        <v>505</v>
      </c>
      <c r="B42" s="33" cm="1">
        <f t="array" ref="B42">IF(INDEX('Dropdown list'!$G$1:$J$94,MATCH('Project information'!$A$4&amp;'Project information'!$B$7,'Dropdown list'!$G$1:$G$94&amp;'Dropdown list'!$I$1:$I$94,0),4)="Y",AX42,AY42)</f>
        <v>660</v>
      </c>
      <c r="C42" s="33">
        <f t="shared" si="47"/>
        <v>110</v>
      </c>
      <c r="D42" s="33">
        <f t="shared" si="48"/>
        <v>299</v>
      </c>
      <c r="E42" s="33">
        <f t="shared" si="49"/>
        <v>165</v>
      </c>
      <c r="F42" s="33">
        <f t="shared" si="50"/>
        <v>66</v>
      </c>
      <c r="G42" s="33">
        <f t="shared" si="51"/>
        <v>20</v>
      </c>
      <c r="H42" s="120">
        <v>0.16666666666666671</v>
      </c>
      <c r="I42" s="120">
        <v>0.45302083333333337</v>
      </c>
      <c r="J42" s="120">
        <v>0.25</v>
      </c>
      <c r="K42" s="120">
        <v>0.1</v>
      </c>
      <c r="L42" s="121">
        <v>3.0312499999999999E-2</v>
      </c>
      <c r="M42" s="109" t="str">
        <f t="shared" si="52"/>
        <v>Diesel (DOC+SDPF) Compact (Compact mixer in CCC ex: U shape, Chistera...)</v>
      </c>
      <c r="N42" s="33">
        <v>2000</v>
      </c>
      <c r="O42" s="33">
        <f t="shared" si="53"/>
        <v>300</v>
      </c>
      <c r="P42" s="33">
        <f t="shared" si="54"/>
        <v>800</v>
      </c>
      <c r="Q42" s="33">
        <f t="shared" si="55"/>
        <v>600</v>
      </c>
      <c r="R42" s="33">
        <f t="shared" si="56"/>
        <v>260</v>
      </c>
      <c r="S42" s="33">
        <f t="shared" si="57"/>
        <v>40</v>
      </c>
      <c r="T42" s="110">
        <v>0.15</v>
      </c>
      <c r="U42" s="110">
        <v>0.4</v>
      </c>
      <c r="V42" s="110">
        <v>0.3</v>
      </c>
      <c r="W42" s="110">
        <v>0.13</v>
      </c>
      <c r="X42" s="111">
        <v>0.02</v>
      </c>
      <c r="Y42" s="109" t="str">
        <f t="shared" si="58"/>
        <v>Diesel (DOC+SDPF) Compact (Compact mixer in CCC ex: U shape, Chistera...)</v>
      </c>
      <c r="Z42" s="33">
        <v>2000</v>
      </c>
      <c r="AA42" s="33">
        <f t="shared" si="59"/>
        <v>500</v>
      </c>
      <c r="AB42" s="33">
        <f t="shared" si="60"/>
        <v>700</v>
      </c>
      <c r="AC42" s="33">
        <f t="shared" si="61"/>
        <v>500</v>
      </c>
      <c r="AD42" s="33">
        <f t="shared" si="62"/>
        <v>240</v>
      </c>
      <c r="AE42" s="33">
        <f t="shared" si="63"/>
        <v>60</v>
      </c>
      <c r="AF42" s="110">
        <v>0.25</v>
      </c>
      <c r="AG42" s="110">
        <v>0.35</v>
      </c>
      <c r="AH42" s="110">
        <v>0.25</v>
      </c>
      <c r="AI42" s="110">
        <v>0.12</v>
      </c>
      <c r="AJ42" s="111">
        <v>0.03</v>
      </c>
      <c r="AK42" s="109" t="str">
        <f t="shared" si="64"/>
        <v>Diesel (DOC+SDPF) Compact (Compact mixer in CCC ex: U shape, Chistera...)</v>
      </c>
      <c r="AL42" s="118"/>
      <c r="AM42" s="33">
        <f t="shared" si="65"/>
        <v>0</v>
      </c>
      <c r="AN42" s="33">
        <f t="shared" si="66"/>
        <v>0</v>
      </c>
      <c r="AO42" s="33">
        <f t="shared" si="67"/>
        <v>0</v>
      </c>
      <c r="AP42" s="33">
        <f t="shared" si="68"/>
        <v>0</v>
      </c>
      <c r="AQ42" s="33">
        <f t="shared" si="69"/>
        <v>0</v>
      </c>
      <c r="AR42" s="132"/>
      <c r="AS42" s="132"/>
      <c r="AT42" s="132"/>
      <c r="AU42" s="132"/>
      <c r="AV42" s="133"/>
      <c r="AX42" s="16">
        <v>660</v>
      </c>
      <c r="AY42" s="16">
        <v>660</v>
      </c>
    </row>
    <row r="43" spans="1:51">
      <c r="A43" s="109" t="s">
        <v>509</v>
      </c>
      <c r="B43" s="33" cm="1">
        <f t="array" ref="B43">IF(INDEX('Dropdown list'!$G$1:$J$94,MATCH('Project information'!$A$4&amp;'Project information'!$B$7,'Dropdown list'!$G$1:$G$94&amp;'Dropdown list'!$I$1:$I$94,0),4)="Y",AX43,AY43)</f>
        <v>330</v>
      </c>
      <c r="C43" s="33">
        <f t="shared" si="47"/>
        <v>55</v>
      </c>
      <c r="D43" s="33">
        <f t="shared" si="48"/>
        <v>149</v>
      </c>
      <c r="E43" s="33">
        <f t="shared" si="49"/>
        <v>83</v>
      </c>
      <c r="F43" s="33">
        <f t="shared" si="50"/>
        <v>33</v>
      </c>
      <c r="G43" s="33">
        <f t="shared" si="51"/>
        <v>10</v>
      </c>
      <c r="H43" s="120">
        <v>0.16666666666666671</v>
      </c>
      <c r="I43" s="120">
        <v>0.45302083333333337</v>
      </c>
      <c r="J43" s="120">
        <v>0.25</v>
      </c>
      <c r="K43" s="120">
        <v>0.1</v>
      </c>
      <c r="L43" s="121">
        <v>3.0312499999999999E-2</v>
      </c>
      <c r="M43" s="109" t="str">
        <f t="shared" si="52"/>
        <v>Manifold</v>
      </c>
      <c r="N43" s="33">
        <v>350</v>
      </c>
      <c r="O43" s="33">
        <f t="shared" si="53"/>
        <v>88</v>
      </c>
      <c r="P43" s="33">
        <f t="shared" si="54"/>
        <v>123</v>
      </c>
      <c r="Q43" s="33">
        <f t="shared" si="55"/>
        <v>88</v>
      </c>
      <c r="R43" s="33">
        <f t="shared" si="56"/>
        <v>42</v>
      </c>
      <c r="S43" s="33">
        <f t="shared" si="57"/>
        <v>11</v>
      </c>
      <c r="T43" s="110">
        <v>0.25</v>
      </c>
      <c r="U43" s="110">
        <v>0.35</v>
      </c>
      <c r="V43" s="110">
        <v>0.25</v>
      </c>
      <c r="W43" s="110">
        <v>0.12</v>
      </c>
      <c r="X43" s="111">
        <v>0.03</v>
      </c>
      <c r="Y43" s="109" t="str">
        <f t="shared" si="58"/>
        <v>Manifold</v>
      </c>
      <c r="Z43" s="33">
        <v>350</v>
      </c>
      <c r="AA43" s="33">
        <f t="shared" si="59"/>
        <v>88</v>
      </c>
      <c r="AB43" s="33">
        <f t="shared" si="60"/>
        <v>123</v>
      </c>
      <c r="AC43" s="33">
        <f t="shared" si="61"/>
        <v>88</v>
      </c>
      <c r="AD43" s="33">
        <f t="shared" si="62"/>
        <v>42</v>
      </c>
      <c r="AE43" s="33">
        <f t="shared" si="63"/>
        <v>11</v>
      </c>
      <c r="AF43" s="110">
        <v>0.25</v>
      </c>
      <c r="AG43" s="110">
        <v>0.35</v>
      </c>
      <c r="AH43" s="110">
        <v>0.25</v>
      </c>
      <c r="AI43" s="110">
        <v>0.12</v>
      </c>
      <c r="AJ43" s="111">
        <v>0.03</v>
      </c>
      <c r="AK43" s="109" t="str">
        <f t="shared" si="64"/>
        <v>Manifold</v>
      </c>
      <c r="AL43" s="118"/>
      <c r="AM43" s="33">
        <f t="shared" si="65"/>
        <v>0</v>
      </c>
      <c r="AN43" s="33">
        <f t="shared" si="66"/>
        <v>0</v>
      </c>
      <c r="AO43" s="33">
        <f t="shared" si="67"/>
        <v>0</v>
      </c>
      <c r="AP43" s="33">
        <f t="shared" si="68"/>
        <v>0</v>
      </c>
      <c r="AQ43" s="33">
        <f t="shared" si="69"/>
        <v>0</v>
      </c>
      <c r="AR43" s="132"/>
      <c r="AS43" s="132"/>
      <c r="AT43" s="132"/>
      <c r="AU43" s="132"/>
      <c r="AV43" s="133"/>
      <c r="AX43" s="16">
        <v>330</v>
      </c>
      <c r="AY43" s="16">
        <v>330</v>
      </c>
    </row>
    <row r="44" spans="1:51">
      <c r="A44" s="109" t="s">
        <v>512</v>
      </c>
      <c r="B44" s="33" cm="1">
        <f t="array" ref="B44">IF(INDEX('Dropdown list'!$G$1:$J$94,MATCH('Project information'!$A$4&amp;'Project information'!$B$7,'Dropdown list'!$G$1:$G$94&amp;'Dropdown list'!$I$1:$I$94,0),4)="Y",AX44,AY44)</f>
        <v>440.00000000000011</v>
      </c>
      <c r="C44" s="33">
        <f t="shared" si="47"/>
        <v>73</v>
      </c>
      <c r="D44" s="33">
        <f t="shared" si="48"/>
        <v>199</v>
      </c>
      <c r="E44" s="33">
        <f t="shared" si="49"/>
        <v>110</v>
      </c>
      <c r="F44" s="33">
        <f t="shared" si="50"/>
        <v>44</v>
      </c>
      <c r="G44" s="33">
        <f t="shared" si="51"/>
        <v>13</v>
      </c>
      <c r="H44" s="120">
        <v>0.16666666666666671</v>
      </c>
      <c r="I44" s="120">
        <v>0.45302083333333337</v>
      </c>
      <c r="J44" s="120">
        <v>0.25</v>
      </c>
      <c r="K44" s="120">
        <v>0.1</v>
      </c>
      <c r="L44" s="121">
        <v>3.0312499999999999E-2</v>
      </c>
      <c r="M44" s="109" t="str">
        <f t="shared" si="52"/>
        <v xml:space="preserve">Maniverter </v>
      </c>
      <c r="N44" s="33">
        <v>750</v>
      </c>
      <c r="O44" s="33">
        <f t="shared" si="53"/>
        <v>113</v>
      </c>
      <c r="P44" s="33">
        <f t="shared" si="54"/>
        <v>300</v>
      </c>
      <c r="Q44" s="33">
        <f t="shared" si="55"/>
        <v>225</v>
      </c>
      <c r="R44" s="33">
        <f t="shared" si="56"/>
        <v>98</v>
      </c>
      <c r="S44" s="33">
        <f t="shared" si="57"/>
        <v>15</v>
      </c>
      <c r="T44" s="110">
        <v>0.15</v>
      </c>
      <c r="U44" s="110">
        <v>0.4</v>
      </c>
      <c r="V44" s="110">
        <v>0.3</v>
      </c>
      <c r="W44" s="110">
        <v>0.13</v>
      </c>
      <c r="X44" s="111">
        <v>0.02</v>
      </c>
      <c r="Y44" s="109" t="str">
        <f t="shared" si="58"/>
        <v xml:space="preserve">Maniverter </v>
      </c>
      <c r="Z44" s="33">
        <v>750</v>
      </c>
      <c r="AA44" s="33">
        <f t="shared" si="59"/>
        <v>188</v>
      </c>
      <c r="AB44" s="33">
        <f t="shared" si="60"/>
        <v>263</v>
      </c>
      <c r="AC44" s="33">
        <f t="shared" si="61"/>
        <v>188</v>
      </c>
      <c r="AD44" s="33">
        <f t="shared" si="62"/>
        <v>90</v>
      </c>
      <c r="AE44" s="33">
        <f t="shared" si="63"/>
        <v>23</v>
      </c>
      <c r="AF44" s="110">
        <v>0.25</v>
      </c>
      <c r="AG44" s="110">
        <v>0.35</v>
      </c>
      <c r="AH44" s="110">
        <v>0.25</v>
      </c>
      <c r="AI44" s="110">
        <v>0.12</v>
      </c>
      <c r="AJ44" s="111">
        <v>0.03</v>
      </c>
      <c r="AK44" s="109" t="str">
        <f t="shared" si="64"/>
        <v xml:space="preserve">Maniverter </v>
      </c>
      <c r="AL44" s="118"/>
      <c r="AM44" s="33">
        <f t="shared" si="65"/>
        <v>0</v>
      </c>
      <c r="AN44" s="33">
        <f t="shared" si="66"/>
        <v>0</v>
      </c>
      <c r="AO44" s="33">
        <f t="shared" si="67"/>
        <v>0</v>
      </c>
      <c r="AP44" s="33">
        <f t="shared" si="68"/>
        <v>0</v>
      </c>
      <c r="AQ44" s="33">
        <f t="shared" si="69"/>
        <v>0</v>
      </c>
      <c r="AR44" s="132"/>
      <c r="AS44" s="132"/>
      <c r="AT44" s="132"/>
      <c r="AU44" s="132"/>
      <c r="AV44" s="133"/>
      <c r="AX44" s="16">
        <v>440.00000000000011</v>
      </c>
      <c r="AY44" s="16">
        <v>440.00000000000011</v>
      </c>
    </row>
    <row r="45" spans="1:51">
      <c r="A45" s="109" t="s">
        <v>514</v>
      </c>
      <c r="B45" s="33" cm="1">
        <f t="array" ref="B45">IF(INDEX('Dropdown list'!$G$1:$J$94,MATCH('Project information'!$A$4&amp;'Project information'!$B$7,'Dropdown list'!$G$1:$G$94&amp;'Dropdown list'!$I$1:$I$94,0),4)="Y",AX45,AY45)</f>
        <v>440.00000000000011</v>
      </c>
      <c r="C45" s="33">
        <f t="shared" si="47"/>
        <v>73</v>
      </c>
      <c r="D45" s="33">
        <f t="shared" si="48"/>
        <v>199</v>
      </c>
      <c r="E45" s="33">
        <f t="shared" si="49"/>
        <v>110</v>
      </c>
      <c r="F45" s="33">
        <f t="shared" si="50"/>
        <v>44</v>
      </c>
      <c r="G45" s="33">
        <f t="shared" si="51"/>
        <v>13</v>
      </c>
      <c r="H45" s="120">
        <v>0.16666666666666671</v>
      </c>
      <c r="I45" s="120">
        <v>0.45302083333333337</v>
      </c>
      <c r="J45" s="120">
        <v>0.25</v>
      </c>
      <c r="K45" s="120">
        <v>0.1</v>
      </c>
      <c r="L45" s="121">
        <v>3.0312499999999999E-2</v>
      </c>
      <c r="M45" s="109" t="str">
        <f t="shared" si="52"/>
        <v>Turbo HE</v>
      </c>
      <c r="N45" s="33">
        <v>499</v>
      </c>
      <c r="O45" s="33">
        <f t="shared" si="53"/>
        <v>75</v>
      </c>
      <c r="P45" s="33">
        <f t="shared" si="54"/>
        <v>200</v>
      </c>
      <c r="Q45" s="33">
        <f t="shared" si="55"/>
        <v>150</v>
      </c>
      <c r="R45" s="33">
        <f t="shared" si="56"/>
        <v>65</v>
      </c>
      <c r="S45" s="33">
        <f t="shared" si="57"/>
        <v>10</v>
      </c>
      <c r="T45" s="110">
        <v>0.15</v>
      </c>
      <c r="U45" s="110">
        <v>0.4</v>
      </c>
      <c r="V45" s="110">
        <v>0.3</v>
      </c>
      <c r="W45" s="110">
        <v>0.13</v>
      </c>
      <c r="X45" s="111">
        <v>0.02</v>
      </c>
      <c r="Y45" s="109" t="str">
        <f t="shared" si="58"/>
        <v>Turbo HE</v>
      </c>
      <c r="Z45" s="33">
        <v>499</v>
      </c>
      <c r="AA45" s="33">
        <f t="shared" si="59"/>
        <v>125</v>
      </c>
      <c r="AB45" s="33">
        <f t="shared" si="60"/>
        <v>175</v>
      </c>
      <c r="AC45" s="33">
        <f t="shared" si="61"/>
        <v>125</v>
      </c>
      <c r="AD45" s="33">
        <f t="shared" si="62"/>
        <v>60</v>
      </c>
      <c r="AE45" s="33">
        <f t="shared" si="63"/>
        <v>15</v>
      </c>
      <c r="AF45" s="110">
        <v>0.25</v>
      </c>
      <c r="AG45" s="110">
        <v>0.35</v>
      </c>
      <c r="AH45" s="110">
        <v>0.25</v>
      </c>
      <c r="AI45" s="110">
        <v>0.12</v>
      </c>
      <c r="AJ45" s="111">
        <v>0.03</v>
      </c>
      <c r="AK45" s="109" t="str">
        <f t="shared" si="64"/>
        <v>Turbo HE</v>
      </c>
      <c r="AL45" s="118"/>
      <c r="AM45" s="33">
        <f t="shared" si="65"/>
        <v>0</v>
      </c>
      <c r="AN45" s="33">
        <f t="shared" si="66"/>
        <v>0</v>
      </c>
      <c r="AO45" s="33">
        <f t="shared" si="67"/>
        <v>0</v>
      </c>
      <c r="AP45" s="33">
        <f t="shared" si="68"/>
        <v>0</v>
      </c>
      <c r="AQ45" s="33">
        <f t="shared" si="69"/>
        <v>0</v>
      </c>
      <c r="AR45" s="132"/>
      <c r="AS45" s="132"/>
      <c r="AT45" s="132"/>
      <c r="AU45" s="132"/>
      <c r="AV45" s="133"/>
      <c r="AX45" s="16">
        <v>440.00000000000011</v>
      </c>
      <c r="AY45" s="16">
        <v>440.00000000000011</v>
      </c>
    </row>
    <row r="46" spans="1:51">
      <c r="A46" s="109" t="s">
        <v>516</v>
      </c>
      <c r="B46" s="33" cm="1">
        <f t="array" ref="B46">IF(INDEX('Dropdown list'!$G$1:$J$94,MATCH('Project information'!$A$4&amp;'Project information'!$B$7,'Dropdown list'!$G$1:$G$94&amp;'Dropdown list'!$I$1:$I$94,0),4)="Y",AX46,AY46)</f>
        <v>473.00000000000011</v>
      </c>
      <c r="C46" s="33">
        <f t="shared" si="47"/>
        <v>79</v>
      </c>
      <c r="D46" s="33">
        <f t="shared" si="48"/>
        <v>214</v>
      </c>
      <c r="E46" s="33">
        <f t="shared" si="49"/>
        <v>118</v>
      </c>
      <c r="F46" s="33">
        <f t="shared" si="50"/>
        <v>47</v>
      </c>
      <c r="G46" s="33">
        <f t="shared" si="51"/>
        <v>14</v>
      </c>
      <c r="H46" s="120">
        <v>0.16666666666666671</v>
      </c>
      <c r="I46" s="120">
        <v>0.45302083333333337</v>
      </c>
      <c r="J46" s="120">
        <v>0.25</v>
      </c>
      <c r="K46" s="120">
        <v>0.1</v>
      </c>
      <c r="L46" s="121">
        <v>3.0312499999999999E-2</v>
      </c>
      <c r="M46" s="109" t="str">
        <f t="shared" si="52"/>
        <v>Turbo HE + UCC</v>
      </c>
      <c r="N46" s="33">
        <v>748</v>
      </c>
      <c r="O46" s="33">
        <f t="shared" si="53"/>
        <v>112</v>
      </c>
      <c r="P46" s="33">
        <f t="shared" si="54"/>
        <v>299</v>
      </c>
      <c r="Q46" s="33">
        <f t="shared" si="55"/>
        <v>224</v>
      </c>
      <c r="R46" s="33">
        <f t="shared" si="56"/>
        <v>97</v>
      </c>
      <c r="S46" s="33">
        <f t="shared" si="57"/>
        <v>15</v>
      </c>
      <c r="T46" s="110">
        <v>0.15</v>
      </c>
      <c r="U46" s="110">
        <v>0.4</v>
      </c>
      <c r="V46" s="110">
        <v>0.3</v>
      </c>
      <c r="W46" s="110">
        <v>0.13</v>
      </c>
      <c r="X46" s="111">
        <v>0.02</v>
      </c>
      <c r="Y46" s="109" t="str">
        <f t="shared" si="58"/>
        <v>Turbo HE + UCC</v>
      </c>
      <c r="Z46" s="33">
        <v>748</v>
      </c>
      <c r="AA46" s="33">
        <f t="shared" si="59"/>
        <v>187</v>
      </c>
      <c r="AB46" s="33">
        <f t="shared" si="60"/>
        <v>262</v>
      </c>
      <c r="AC46" s="33">
        <f t="shared" si="61"/>
        <v>187</v>
      </c>
      <c r="AD46" s="33">
        <f t="shared" si="62"/>
        <v>90</v>
      </c>
      <c r="AE46" s="33">
        <f t="shared" si="63"/>
        <v>22</v>
      </c>
      <c r="AF46" s="110">
        <v>0.25</v>
      </c>
      <c r="AG46" s="110">
        <v>0.35</v>
      </c>
      <c r="AH46" s="110">
        <v>0.25</v>
      </c>
      <c r="AI46" s="110">
        <v>0.12</v>
      </c>
      <c r="AJ46" s="111">
        <v>0.03</v>
      </c>
      <c r="AK46" s="109" t="str">
        <f t="shared" si="64"/>
        <v>Turbo HE + UCC</v>
      </c>
      <c r="AL46" s="118"/>
      <c r="AM46" s="33">
        <f t="shared" si="65"/>
        <v>0</v>
      </c>
      <c r="AN46" s="33">
        <f t="shared" si="66"/>
        <v>0</v>
      </c>
      <c r="AO46" s="33">
        <f t="shared" si="67"/>
        <v>0</v>
      </c>
      <c r="AP46" s="33">
        <f t="shared" si="68"/>
        <v>0</v>
      </c>
      <c r="AQ46" s="33">
        <f t="shared" si="69"/>
        <v>0</v>
      </c>
      <c r="AR46" s="132"/>
      <c r="AS46" s="132"/>
      <c r="AT46" s="132"/>
      <c r="AU46" s="132"/>
      <c r="AV46" s="133"/>
      <c r="AX46" s="16">
        <v>473.00000000000011</v>
      </c>
      <c r="AY46" s="16">
        <v>473.00000000000011</v>
      </c>
    </row>
    <row r="47" spans="1:51">
      <c r="A47" s="109" t="s">
        <v>518</v>
      </c>
      <c r="B47" s="33" cm="1">
        <f t="array" ref="B47">IF(INDEX('Dropdown list'!$G$1:$J$94,MATCH('Project information'!$A$4&amp;'Project information'!$B$7,'Dropdown list'!$G$1:$G$94&amp;'Dropdown list'!$I$1:$I$94,0),4)="Y",AX47,AY47)</f>
        <v>180</v>
      </c>
      <c r="C47" s="33">
        <f t="shared" si="47"/>
        <v>30</v>
      </c>
      <c r="D47" s="33">
        <f t="shared" si="48"/>
        <v>82</v>
      </c>
      <c r="E47" s="33">
        <f t="shared" si="49"/>
        <v>45</v>
      </c>
      <c r="F47" s="33">
        <f t="shared" si="50"/>
        <v>18</v>
      </c>
      <c r="G47" s="33">
        <f t="shared" si="51"/>
        <v>5</v>
      </c>
      <c r="H47" s="120">
        <v>0.16666666666666671</v>
      </c>
      <c r="I47" s="120">
        <v>0.45302083333333337</v>
      </c>
      <c r="J47" s="120">
        <v>0.25</v>
      </c>
      <c r="K47" s="120">
        <v>0.1</v>
      </c>
      <c r="L47" s="121">
        <v>3.0312499999999999E-2</v>
      </c>
      <c r="M47" s="109" t="str">
        <f t="shared" si="52"/>
        <v>UCC</v>
      </c>
      <c r="N47" s="33">
        <v>249</v>
      </c>
      <c r="O47" s="33">
        <f t="shared" si="53"/>
        <v>37</v>
      </c>
      <c r="P47" s="33">
        <f t="shared" si="54"/>
        <v>100</v>
      </c>
      <c r="Q47" s="33">
        <f t="shared" si="55"/>
        <v>75</v>
      </c>
      <c r="R47" s="33">
        <f t="shared" si="56"/>
        <v>32</v>
      </c>
      <c r="S47" s="33">
        <f t="shared" si="57"/>
        <v>5</v>
      </c>
      <c r="T47" s="110">
        <v>0.15</v>
      </c>
      <c r="U47" s="110">
        <v>0.4</v>
      </c>
      <c r="V47" s="110">
        <v>0.3</v>
      </c>
      <c r="W47" s="110">
        <v>0.13</v>
      </c>
      <c r="X47" s="111">
        <v>0.02</v>
      </c>
      <c r="Y47" s="109" t="str">
        <f t="shared" si="58"/>
        <v>UCC</v>
      </c>
      <c r="Z47" s="33">
        <v>249</v>
      </c>
      <c r="AA47" s="33">
        <f t="shared" si="59"/>
        <v>62</v>
      </c>
      <c r="AB47" s="33">
        <f t="shared" si="60"/>
        <v>87</v>
      </c>
      <c r="AC47" s="33">
        <f t="shared" si="61"/>
        <v>62</v>
      </c>
      <c r="AD47" s="33">
        <f t="shared" si="62"/>
        <v>30</v>
      </c>
      <c r="AE47" s="33">
        <f t="shared" si="63"/>
        <v>7</v>
      </c>
      <c r="AF47" s="110">
        <v>0.25</v>
      </c>
      <c r="AG47" s="110">
        <v>0.35</v>
      </c>
      <c r="AH47" s="110">
        <v>0.25</v>
      </c>
      <c r="AI47" s="110">
        <v>0.12</v>
      </c>
      <c r="AJ47" s="111">
        <v>0.03</v>
      </c>
      <c r="AK47" s="109" t="str">
        <f t="shared" si="64"/>
        <v>UCC</v>
      </c>
      <c r="AL47" s="118"/>
      <c r="AM47" s="33">
        <f t="shared" si="65"/>
        <v>0</v>
      </c>
      <c r="AN47" s="33">
        <f t="shared" si="66"/>
        <v>0</v>
      </c>
      <c r="AO47" s="33">
        <f t="shared" si="67"/>
        <v>0</v>
      </c>
      <c r="AP47" s="33">
        <f t="shared" si="68"/>
        <v>0</v>
      </c>
      <c r="AQ47" s="33">
        <f t="shared" si="69"/>
        <v>0</v>
      </c>
      <c r="AR47" s="132"/>
      <c r="AS47" s="132"/>
      <c r="AT47" s="132"/>
      <c r="AU47" s="132"/>
      <c r="AV47" s="133"/>
      <c r="AX47" s="16">
        <v>180</v>
      </c>
      <c r="AY47" s="16">
        <v>180</v>
      </c>
    </row>
    <row r="48" spans="1:51">
      <c r="A48" s="109" t="s">
        <v>520</v>
      </c>
      <c r="B48" s="33" cm="1">
        <f t="array" ref="B48">IF(INDEX('Dropdown list'!$G$1:$J$94,MATCH('Project information'!$A$4&amp;'Project information'!$B$7,'Dropdown list'!$G$1:$G$94&amp;'Dropdown list'!$I$1:$I$94,0),4)="Y",AX48,AY48)</f>
        <v>3017</v>
      </c>
      <c r="C48" s="33">
        <f t="shared" si="47"/>
        <v>172</v>
      </c>
      <c r="D48" s="33">
        <f t="shared" si="48"/>
        <v>842</v>
      </c>
      <c r="E48" s="33">
        <f t="shared" si="49"/>
        <v>1708</v>
      </c>
      <c r="F48" s="33">
        <f t="shared" si="50"/>
        <v>217</v>
      </c>
      <c r="G48" s="33">
        <f t="shared" si="51"/>
        <v>78</v>
      </c>
      <c r="H48" s="110">
        <v>5.7000000000000002E-2</v>
      </c>
      <c r="I48" s="110">
        <v>0.27900000000000003</v>
      </c>
      <c r="J48" s="110">
        <v>0.56599999999999995</v>
      </c>
      <c r="K48" s="110">
        <v>7.1999999999999995E-2</v>
      </c>
      <c r="L48" s="111">
        <v>2.5999999999999999E-2</v>
      </c>
      <c r="M48" s="109" t="str">
        <f t="shared" si="52"/>
        <v>Box</v>
      </c>
      <c r="N48" s="33">
        <v>3464</v>
      </c>
      <c r="O48" s="33">
        <f t="shared" si="53"/>
        <v>173</v>
      </c>
      <c r="P48" s="33">
        <f t="shared" si="54"/>
        <v>1039</v>
      </c>
      <c r="Q48" s="33">
        <f t="shared" si="55"/>
        <v>1905</v>
      </c>
      <c r="R48" s="33">
        <f t="shared" si="56"/>
        <v>242</v>
      </c>
      <c r="S48" s="33">
        <f t="shared" si="57"/>
        <v>104</v>
      </c>
      <c r="T48" s="110">
        <v>0.05</v>
      </c>
      <c r="U48" s="110">
        <v>0.3</v>
      </c>
      <c r="V48" s="110">
        <v>0.55000000000000004</v>
      </c>
      <c r="W48" s="110">
        <v>7.0000000000000007E-2</v>
      </c>
      <c r="X48" s="111">
        <v>0.03</v>
      </c>
      <c r="Y48" s="109" t="str">
        <f t="shared" si="58"/>
        <v>Box</v>
      </c>
      <c r="Z48" s="33">
        <v>3464</v>
      </c>
      <c r="AA48" s="33">
        <f t="shared" si="59"/>
        <v>173</v>
      </c>
      <c r="AB48" s="33">
        <f t="shared" si="60"/>
        <v>1039</v>
      </c>
      <c r="AC48" s="33">
        <f t="shared" si="61"/>
        <v>1905</v>
      </c>
      <c r="AD48" s="33">
        <f t="shared" si="62"/>
        <v>242</v>
      </c>
      <c r="AE48" s="33">
        <f t="shared" si="63"/>
        <v>104</v>
      </c>
      <c r="AF48" s="110">
        <v>0.05</v>
      </c>
      <c r="AG48" s="110">
        <v>0.3</v>
      </c>
      <c r="AH48" s="110">
        <v>0.55000000000000004</v>
      </c>
      <c r="AI48" s="110">
        <v>7.0000000000000007E-2</v>
      </c>
      <c r="AJ48" s="111">
        <v>0.03</v>
      </c>
      <c r="AK48" s="109" t="str">
        <f t="shared" si="64"/>
        <v>Box</v>
      </c>
      <c r="AL48" s="33">
        <v>3464</v>
      </c>
      <c r="AM48" s="33">
        <f t="shared" si="65"/>
        <v>173</v>
      </c>
      <c r="AN48" s="33">
        <f t="shared" si="66"/>
        <v>1039</v>
      </c>
      <c r="AO48" s="33">
        <f t="shared" si="67"/>
        <v>1905</v>
      </c>
      <c r="AP48" s="33">
        <f t="shared" si="68"/>
        <v>242</v>
      </c>
      <c r="AQ48" s="33">
        <f t="shared" si="69"/>
        <v>104</v>
      </c>
      <c r="AR48" s="110">
        <v>0.05</v>
      </c>
      <c r="AS48" s="110">
        <v>0.3</v>
      </c>
      <c r="AT48" s="110">
        <v>0.55000000000000004</v>
      </c>
      <c r="AU48" s="110">
        <v>7.0000000000000007E-2</v>
      </c>
      <c r="AV48" s="111">
        <v>0.03</v>
      </c>
      <c r="AX48" s="16">
        <v>3017</v>
      </c>
      <c r="AY48" s="16">
        <v>3017</v>
      </c>
    </row>
    <row r="49" spans="1:51">
      <c r="A49" s="109" t="s">
        <v>523</v>
      </c>
      <c r="B49" s="33" cm="1">
        <f t="array" ref="B49">IF(INDEX('Dropdown list'!$G$1:$J$94,MATCH('Project information'!$A$4&amp;'Project information'!$B$7,'Dropdown list'!$G$1:$G$94&amp;'Dropdown list'!$I$1:$I$94,0),4)="Y",AX49,AY49)</f>
        <v>866</v>
      </c>
      <c r="C49" s="33">
        <f t="shared" si="47"/>
        <v>43</v>
      </c>
      <c r="D49" s="33">
        <f t="shared" si="48"/>
        <v>260</v>
      </c>
      <c r="E49" s="33">
        <f t="shared" si="49"/>
        <v>476</v>
      </c>
      <c r="F49" s="33">
        <f t="shared" si="50"/>
        <v>61</v>
      </c>
      <c r="G49" s="33">
        <f t="shared" si="51"/>
        <v>26</v>
      </c>
      <c r="H49" s="110">
        <v>0.05</v>
      </c>
      <c r="I49" s="110">
        <v>0.3</v>
      </c>
      <c r="J49" s="110">
        <v>0.55000000000000004</v>
      </c>
      <c r="K49" s="110">
        <v>7.0000000000000007E-2</v>
      </c>
      <c r="L49" s="111">
        <v>0.03</v>
      </c>
      <c r="M49" s="109" t="str">
        <f t="shared" si="52"/>
        <v>Decomposition pipe</v>
      </c>
      <c r="N49" s="33">
        <v>866</v>
      </c>
      <c r="O49" s="33">
        <f t="shared" si="53"/>
        <v>43</v>
      </c>
      <c r="P49" s="33">
        <f t="shared" si="54"/>
        <v>260</v>
      </c>
      <c r="Q49" s="33">
        <f t="shared" si="55"/>
        <v>476</v>
      </c>
      <c r="R49" s="33">
        <f t="shared" si="56"/>
        <v>61</v>
      </c>
      <c r="S49" s="33">
        <f t="shared" si="57"/>
        <v>26</v>
      </c>
      <c r="T49" s="110">
        <v>0.05</v>
      </c>
      <c r="U49" s="110">
        <v>0.3</v>
      </c>
      <c r="V49" s="110">
        <v>0.55000000000000004</v>
      </c>
      <c r="W49" s="110">
        <v>7.0000000000000007E-2</v>
      </c>
      <c r="X49" s="111">
        <v>0.03</v>
      </c>
      <c r="Y49" s="109" t="str">
        <f t="shared" si="58"/>
        <v>Decomposition pipe</v>
      </c>
      <c r="Z49" s="33">
        <v>866</v>
      </c>
      <c r="AA49" s="33">
        <f t="shared" si="59"/>
        <v>43</v>
      </c>
      <c r="AB49" s="33">
        <f t="shared" si="60"/>
        <v>260</v>
      </c>
      <c r="AC49" s="33">
        <f t="shared" si="61"/>
        <v>476</v>
      </c>
      <c r="AD49" s="33">
        <f t="shared" si="62"/>
        <v>61</v>
      </c>
      <c r="AE49" s="33">
        <f t="shared" si="63"/>
        <v>26</v>
      </c>
      <c r="AF49" s="110">
        <v>0.05</v>
      </c>
      <c r="AG49" s="110">
        <v>0.3</v>
      </c>
      <c r="AH49" s="110">
        <v>0.55000000000000004</v>
      </c>
      <c r="AI49" s="110">
        <v>7.0000000000000007E-2</v>
      </c>
      <c r="AJ49" s="111">
        <v>0.03</v>
      </c>
      <c r="AK49" s="109" t="str">
        <f t="shared" si="64"/>
        <v>Decomposition pipe</v>
      </c>
      <c r="AL49" s="33">
        <v>866</v>
      </c>
      <c r="AM49" s="33">
        <f t="shared" si="65"/>
        <v>43</v>
      </c>
      <c r="AN49" s="33">
        <f t="shared" si="66"/>
        <v>260</v>
      </c>
      <c r="AO49" s="33">
        <f t="shared" si="67"/>
        <v>476</v>
      </c>
      <c r="AP49" s="33">
        <f t="shared" si="68"/>
        <v>61</v>
      </c>
      <c r="AQ49" s="33">
        <f t="shared" si="69"/>
        <v>26</v>
      </c>
      <c r="AR49" s="110">
        <v>0.05</v>
      </c>
      <c r="AS49" s="110">
        <v>0.3</v>
      </c>
      <c r="AT49" s="110">
        <v>0.55000000000000004</v>
      </c>
      <c r="AU49" s="110">
        <v>7.0000000000000007E-2</v>
      </c>
      <c r="AV49" s="111">
        <v>0.03</v>
      </c>
      <c r="AX49" s="16">
        <v>866</v>
      </c>
      <c r="AY49" s="16">
        <v>866</v>
      </c>
    </row>
    <row r="50" spans="1:51">
      <c r="A50" s="109" t="s">
        <v>524</v>
      </c>
      <c r="B50" s="33" cm="1">
        <f t="array" ref="B50">IF(INDEX('Dropdown list'!$G$1:$J$94,MATCH('Project information'!$A$4&amp;'Project information'!$B$7,'Dropdown list'!$G$1:$G$94&amp;'Dropdown list'!$I$1:$I$94,0),4)="Y",AX50,AY50)</f>
        <v>1483</v>
      </c>
      <c r="C50" s="33">
        <f t="shared" si="47"/>
        <v>89</v>
      </c>
      <c r="D50" s="33">
        <f t="shared" si="48"/>
        <v>405</v>
      </c>
      <c r="E50" s="33">
        <f t="shared" si="49"/>
        <v>851</v>
      </c>
      <c r="F50" s="33">
        <f t="shared" si="50"/>
        <v>105</v>
      </c>
      <c r="G50" s="33">
        <f t="shared" si="51"/>
        <v>33</v>
      </c>
      <c r="H50" s="110">
        <v>0.06</v>
      </c>
      <c r="I50" s="110">
        <v>0.27300000000000002</v>
      </c>
      <c r="J50" s="110">
        <v>0.57399999999999995</v>
      </c>
      <c r="K50" s="110">
        <v>7.0999999999999994E-2</v>
      </c>
      <c r="L50" s="111">
        <v>2.1999999999999999E-2</v>
      </c>
      <c r="M50" s="109" t="str">
        <f t="shared" si="52"/>
        <v>Inline</v>
      </c>
      <c r="N50" s="33">
        <v>1781</v>
      </c>
      <c r="O50" s="33">
        <f t="shared" si="53"/>
        <v>89</v>
      </c>
      <c r="P50" s="33">
        <f t="shared" si="54"/>
        <v>534</v>
      </c>
      <c r="Q50" s="33">
        <f t="shared" si="55"/>
        <v>980</v>
      </c>
      <c r="R50" s="33">
        <f t="shared" si="56"/>
        <v>125</v>
      </c>
      <c r="S50" s="33">
        <f t="shared" si="57"/>
        <v>53</v>
      </c>
      <c r="T50" s="110">
        <v>0.05</v>
      </c>
      <c r="U50" s="110">
        <v>0.3</v>
      </c>
      <c r="V50" s="110">
        <v>0.55000000000000004</v>
      </c>
      <c r="W50" s="110">
        <v>7.0000000000000007E-2</v>
      </c>
      <c r="X50" s="111">
        <v>0.03</v>
      </c>
      <c r="Y50" s="109" t="str">
        <f t="shared" si="58"/>
        <v>Inline</v>
      </c>
      <c r="Z50" s="33">
        <v>1781</v>
      </c>
      <c r="AA50" s="33">
        <f t="shared" si="59"/>
        <v>89</v>
      </c>
      <c r="AB50" s="33">
        <f t="shared" si="60"/>
        <v>534</v>
      </c>
      <c r="AC50" s="33">
        <f t="shared" si="61"/>
        <v>980</v>
      </c>
      <c r="AD50" s="33">
        <f t="shared" si="62"/>
        <v>125</v>
      </c>
      <c r="AE50" s="33">
        <f t="shared" si="63"/>
        <v>53</v>
      </c>
      <c r="AF50" s="110">
        <v>0.05</v>
      </c>
      <c r="AG50" s="110">
        <v>0.3</v>
      </c>
      <c r="AH50" s="110">
        <v>0.55000000000000004</v>
      </c>
      <c r="AI50" s="110">
        <v>7.0000000000000007E-2</v>
      </c>
      <c r="AJ50" s="111">
        <v>0.03</v>
      </c>
      <c r="AK50" s="109" t="str">
        <f t="shared" si="64"/>
        <v>Inline</v>
      </c>
      <c r="AL50" s="33">
        <v>1781</v>
      </c>
      <c r="AM50" s="33">
        <f t="shared" si="65"/>
        <v>89</v>
      </c>
      <c r="AN50" s="33">
        <f t="shared" si="66"/>
        <v>534</v>
      </c>
      <c r="AO50" s="33">
        <f t="shared" si="67"/>
        <v>980</v>
      </c>
      <c r="AP50" s="33">
        <f t="shared" si="68"/>
        <v>125</v>
      </c>
      <c r="AQ50" s="33">
        <f t="shared" si="69"/>
        <v>53</v>
      </c>
      <c r="AR50" s="110">
        <v>0.05</v>
      </c>
      <c r="AS50" s="110">
        <v>0.3</v>
      </c>
      <c r="AT50" s="110">
        <v>0.55000000000000004</v>
      </c>
      <c r="AU50" s="110">
        <v>7.0000000000000007E-2</v>
      </c>
      <c r="AV50" s="111">
        <v>0.03</v>
      </c>
      <c r="AX50" s="16">
        <v>1483</v>
      </c>
      <c r="AY50" s="16">
        <v>1483</v>
      </c>
    </row>
    <row r="51" spans="1:51">
      <c r="A51" s="109" t="s">
        <v>526</v>
      </c>
      <c r="B51" s="33" cm="1">
        <f t="array" ref="B51">IF(INDEX('Dropdown list'!$G$1:$J$94,MATCH('Project information'!$A$4&amp;'Project information'!$B$7,'Dropdown list'!$G$1:$G$94&amp;'Dropdown list'!$I$1:$I$94,0),4)="Y",AX51,AY51)</f>
        <v>589</v>
      </c>
      <c r="C51" s="33">
        <f t="shared" si="47"/>
        <v>29</v>
      </c>
      <c r="D51" s="33">
        <f t="shared" si="48"/>
        <v>177</v>
      </c>
      <c r="E51" s="33">
        <f t="shared" si="49"/>
        <v>324</v>
      </c>
      <c r="F51" s="33">
        <f t="shared" si="50"/>
        <v>41</v>
      </c>
      <c r="G51" s="33">
        <f t="shared" si="51"/>
        <v>18</v>
      </c>
      <c r="H51" s="110">
        <v>0.05</v>
      </c>
      <c r="I51" s="110">
        <v>0.3</v>
      </c>
      <c r="J51" s="110">
        <v>0.55000000000000004</v>
      </c>
      <c r="K51" s="110">
        <v>7.0000000000000007E-2</v>
      </c>
      <c r="L51" s="111">
        <v>0.03</v>
      </c>
      <c r="M51" s="109" t="str">
        <f t="shared" si="52"/>
        <v>Compact Mixer</v>
      </c>
      <c r="N51" s="33">
        <v>589</v>
      </c>
      <c r="O51" s="33">
        <f t="shared" si="53"/>
        <v>29</v>
      </c>
      <c r="P51" s="33">
        <f t="shared" si="54"/>
        <v>177</v>
      </c>
      <c r="Q51" s="33">
        <f t="shared" si="55"/>
        <v>324</v>
      </c>
      <c r="R51" s="33">
        <f t="shared" si="56"/>
        <v>41</v>
      </c>
      <c r="S51" s="33">
        <f t="shared" si="57"/>
        <v>18</v>
      </c>
      <c r="T51" s="110">
        <v>0.05</v>
      </c>
      <c r="U51" s="110">
        <v>0.3</v>
      </c>
      <c r="V51" s="110">
        <v>0.55000000000000004</v>
      </c>
      <c r="W51" s="110">
        <v>7.0000000000000007E-2</v>
      </c>
      <c r="X51" s="111">
        <v>0.03</v>
      </c>
      <c r="Y51" s="109" t="str">
        <f t="shared" si="58"/>
        <v>Compact Mixer</v>
      </c>
      <c r="Z51" s="33">
        <v>589</v>
      </c>
      <c r="AA51" s="33">
        <f t="shared" si="59"/>
        <v>29</v>
      </c>
      <c r="AB51" s="33">
        <f t="shared" si="60"/>
        <v>177</v>
      </c>
      <c r="AC51" s="33">
        <f t="shared" si="61"/>
        <v>324</v>
      </c>
      <c r="AD51" s="33">
        <f t="shared" si="62"/>
        <v>41</v>
      </c>
      <c r="AE51" s="33">
        <f t="shared" si="63"/>
        <v>18</v>
      </c>
      <c r="AF51" s="110">
        <v>0.05</v>
      </c>
      <c r="AG51" s="110">
        <v>0.3</v>
      </c>
      <c r="AH51" s="110">
        <v>0.55000000000000004</v>
      </c>
      <c r="AI51" s="110">
        <v>7.0000000000000007E-2</v>
      </c>
      <c r="AJ51" s="111">
        <v>0.03</v>
      </c>
      <c r="AK51" s="109" t="str">
        <f t="shared" si="64"/>
        <v>Compact Mixer</v>
      </c>
      <c r="AL51" s="33">
        <v>589</v>
      </c>
      <c r="AM51" s="33">
        <f t="shared" si="65"/>
        <v>29</v>
      </c>
      <c r="AN51" s="33">
        <f t="shared" si="66"/>
        <v>177</v>
      </c>
      <c r="AO51" s="33">
        <f t="shared" si="67"/>
        <v>324</v>
      </c>
      <c r="AP51" s="33">
        <f t="shared" si="68"/>
        <v>41</v>
      </c>
      <c r="AQ51" s="33">
        <f t="shared" si="69"/>
        <v>18</v>
      </c>
      <c r="AR51" s="110">
        <v>0.05</v>
      </c>
      <c r="AS51" s="110">
        <v>0.3</v>
      </c>
      <c r="AT51" s="110">
        <v>0.55000000000000004</v>
      </c>
      <c r="AU51" s="110">
        <v>7.0000000000000007E-2</v>
      </c>
      <c r="AV51" s="111">
        <v>0.03</v>
      </c>
      <c r="AX51" s="16">
        <v>589</v>
      </c>
      <c r="AY51" s="16">
        <v>589</v>
      </c>
    </row>
    <row r="52" spans="1:51">
      <c r="A52" s="109" t="s">
        <v>528</v>
      </c>
      <c r="B52" s="33" cm="1">
        <f t="array" ref="B52">IF(INDEX('Dropdown list'!$G$1:$J$94,MATCH('Project information'!$A$4&amp;'Project information'!$B$7,'Dropdown list'!$G$1:$G$94&amp;'Dropdown list'!$I$1:$I$94,0),4)="Y",AX52,AY52)</f>
        <v>2770</v>
      </c>
      <c r="C52" s="33">
        <f t="shared" si="47"/>
        <v>139</v>
      </c>
      <c r="D52" s="33">
        <f t="shared" si="48"/>
        <v>831</v>
      </c>
      <c r="E52" s="33">
        <f t="shared" si="49"/>
        <v>1524</v>
      </c>
      <c r="F52" s="33">
        <f t="shared" si="50"/>
        <v>194</v>
      </c>
      <c r="G52" s="33">
        <f t="shared" si="51"/>
        <v>83</v>
      </c>
      <c r="H52" s="110">
        <v>0.05</v>
      </c>
      <c r="I52" s="110">
        <v>0.3</v>
      </c>
      <c r="J52" s="110">
        <v>0.55000000000000004</v>
      </c>
      <c r="K52" s="110">
        <v>7.0000000000000007E-2</v>
      </c>
      <c r="L52" s="111">
        <v>0.03</v>
      </c>
      <c r="M52" s="109" t="str">
        <f t="shared" si="52"/>
        <v>Switch back</v>
      </c>
      <c r="N52" s="33">
        <v>2770</v>
      </c>
      <c r="O52" s="33">
        <f t="shared" si="53"/>
        <v>139</v>
      </c>
      <c r="P52" s="33">
        <f t="shared" si="54"/>
        <v>831</v>
      </c>
      <c r="Q52" s="33">
        <f t="shared" si="55"/>
        <v>1524</v>
      </c>
      <c r="R52" s="33">
        <f t="shared" si="56"/>
        <v>194</v>
      </c>
      <c r="S52" s="33">
        <f t="shared" si="57"/>
        <v>83</v>
      </c>
      <c r="T52" s="110">
        <v>0.05</v>
      </c>
      <c r="U52" s="110">
        <v>0.3</v>
      </c>
      <c r="V52" s="110">
        <v>0.55000000000000004</v>
      </c>
      <c r="W52" s="110">
        <v>7.0000000000000007E-2</v>
      </c>
      <c r="X52" s="111">
        <v>0.03</v>
      </c>
      <c r="Y52" s="109" t="str">
        <f t="shared" si="58"/>
        <v>Switch back</v>
      </c>
      <c r="Z52" s="33">
        <v>2770</v>
      </c>
      <c r="AA52" s="33">
        <f t="shared" si="59"/>
        <v>139</v>
      </c>
      <c r="AB52" s="33">
        <f t="shared" si="60"/>
        <v>831</v>
      </c>
      <c r="AC52" s="33">
        <f t="shared" si="61"/>
        <v>1524</v>
      </c>
      <c r="AD52" s="33">
        <f t="shared" si="62"/>
        <v>194</v>
      </c>
      <c r="AE52" s="33">
        <f t="shared" si="63"/>
        <v>83</v>
      </c>
      <c r="AF52" s="110">
        <v>0.05</v>
      </c>
      <c r="AG52" s="110">
        <v>0.3</v>
      </c>
      <c r="AH52" s="110">
        <v>0.55000000000000004</v>
      </c>
      <c r="AI52" s="110">
        <v>7.0000000000000007E-2</v>
      </c>
      <c r="AJ52" s="111">
        <v>0.03</v>
      </c>
      <c r="AK52" s="109" t="str">
        <f t="shared" si="64"/>
        <v>Switch back</v>
      </c>
      <c r="AL52" s="33">
        <v>2770</v>
      </c>
      <c r="AM52" s="33">
        <f t="shared" si="65"/>
        <v>139</v>
      </c>
      <c r="AN52" s="33">
        <f t="shared" si="66"/>
        <v>831</v>
      </c>
      <c r="AO52" s="33">
        <f t="shared" si="67"/>
        <v>1524</v>
      </c>
      <c r="AP52" s="33">
        <f t="shared" si="68"/>
        <v>194</v>
      </c>
      <c r="AQ52" s="33">
        <f t="shared" si="69"/>
        <v>83</v>
      </c>
      <c r="AR52" s="110">
        <v>0.05</v>
      </c>
      <c r="AS52" s="110">
        <v>0.3</v>
      </c>
      <c r="AT52" s="110">
        <v>0.55000000000000004</v>
      </c>
      <c r="AU52" s="110">
        <v>7.0000000000000007E-2</v>
      </c>
      <c r="AV52" s="111">
        <v>0.03</v>
      </c>
      <c r="AX52" s="16">
        <v>2770</v>
      </c>
      <c r="AY52" s="16">
        <v>2770</v>
      </c>
    </row>
    <row r="53" spans="1:51">
      <c r="A53" s="109" t="s">
        <v>531</v>
      </c>
      <c r="B53" s="33" cm="1">
        <f t="array" ref="B53">IF(INDEX('Dropdown list'!$G$1:$J$94,MATCH('Project information'!$A$4&amp;'Project information'!$B$7,'Dropdown list'!$G$1:$G$94&amp;'Dropdown list'!$I$1:$I$94,0),4)="Y",AX53,AY53)</f>
        <v>989</v>
      </c>
      <c r="C53" s="33">
        <f t="shared" si="47"/>
        <v>49</v>
      </c>
      <c r="D53" s="33">
        <f t="shared" si="48"/>
        <v>297</v>
      </c>
      <c r="E53" s="33">
        <f t="shared" si="49"/>
        <v>544</v>
      </c>
      <c r="F53" s="33">
        <f t="shared" si="50"/>
        <v>69</v>
      </c>
      <c r="G53" s="33">
        <f t="shared" si="51"/>
        <v>30</v>
      </c>
      <c r="H53" s="110">
        <v>0.05</v>
      </c>
      <c r="I53" s="110">
        <v>0.3</v>
      </c>
      <c r="J53" s="110">
        <v>0.55000000000000004</v>
      </c>
      <c r="K53" s="110">
        <v>7.0000000000000007E-2</v>
      </c>
      <c r="L53" s="111">
        <v>0.03</v>
      </c>
      <c r="M53" s="109" t="str">
        <f t="shared" si="52"/>
        <v>U-Mixer</v>
      </c>
      <c r="N53" s="33">
        <v>989</v>
      </c>
      <c r="O53" s="33">
        <f t="shared" si="53"/>
        <v>49</v>
      </c>
      <c r="P53" s="33">
        <f t="shared" si="54"/>
        <v>297</v>
      </c>
      <c r="Q53" s="33">
        <f t="shared" si="55"/>
        <v>544</v>
      </c>
      <c r="R53" s="33">
        <f t="shared" si="56"/>
        <v>69</v>
      </c>
      <c r="S53" s="33">
        <f t="shared" si="57"/>
        <v>30</v>
      </c>
      <c r="T53" s="110">
        <v>0.05</v>
      </c>
      <c r="U53" s="110">
        <v>0.3</v>
      </c>
      <c r="V53" s="110">
        <v>0.55000000000000004</v>
      </c>
      <c r="W53" s="110">
        <v>7.0000000000000007E-2</v>
      </c>
      <c r="X53" s="111">
        <v>0.03</v>
      </c>
      <c r="Y53" s="109" t="str">
        <f t="shared" si="58"/>
        <v>U-Mixer</v>
      </c>
      <c r="Z53" s="33">
        <v>989</v>
      </c>
      <c r="AA53" s="33">
        <f t="shared" si="59"/>
        <v>49</v>
      </c>
      <c r="AB53" s="33">
        <f t="shared" si="60"/>
        <v>297</v>
      </c>
      <c r="AC53" s="33">
        <f t="shared" si="61"/>
        <v>544</v>
      </c>
      <c r="AD53" s="33">
        <f t="shared" si="62"/>
        <v>69</v>
      </c>
      <c r="AE53" s="33">
        <f t="shared" si="63"/>
        <v>30</v>
      </c>
      <c r="AF53" s="110">
        <v>0.05</v>
      </c>
      <c r="AG53" s="110">
        <v>0.3</v>
      </c>
      <c r="AH53" s="110">
        <v>0.55000000000000004</v>
      </c>
      <c r="AI53" s="110">
        <v>7.0000000000000007E-2</v>
      </c>
      <c r="AJ53" s="111">
        <v>0.03</v>
      </c>
      <c r="AK53" s="109" t="str">
        <f t="shared" si="64"/>
        <v>U-Mixer</v>
      </c>
      <c r="AL53" s="33">
        <v>989</v>
      </c>
      <c r="AM53" s="33">
        <f t="shared" si="65"/>
        <v>49</v>
      </c>
      <c r="AN53" s="33">
        <f t="shared" si="66"/>
        <v>297</v>
      </c>
      <c r="AO53" s="33">
        <f t="shared" si="67"/>
        <v>544</v>
      </c>
      <c r="AP53" s="33">
        <f t="shared" si="68"/>
        <v>69</v>
      </c>
      <c r="AQ53" s="33">
        <f t="shared" si="69"/>
        <v>30</v>
      </c>
      <c r="AR53" s="110">
        <v>0.05</v>
      </c>
      <c r="AS53" s="110">
        <v>0.3</v>
      </c>
      <c r="AT53" s="110">
        <v>0.55000000000000004</v>
      </c>
      <c r="AU53" s="110">
        <v>7.0000000000000007E-2</v>
      </c>
      <c r="AV53" s="111">
        <v>0.03</v>
      </c>
      <c r="AX53" s="16">
        <v>989</v>
      </c>
      <c r="AY53" s="16">
        <v>989</v>
      </c>
    </row>
    <row r="54" spans="1:51" ht="13" thickBot="1">
      <c r="A54" s="112" t="s">
        <v>534</v>
      </c>
      <c r="B54" s="113" cm="1">
        <f t="array" ref="B54">IF(INDEX('Dropdown list'!$G$1:$J$94,MATCH('Project information'!$A$4&amp;'Project information'!$B$7,'Dropdown list'!$G$1:$G$94&amp;'Dropdown list'!$I$1:$I$94,0),4)="Y",AX54,AY54)</f>
        <v>2399</v>
      </c>
      <c r="C54" s="113">
        <f t="shared" si="47"/>
        <v>139</v>
      </c>
      <c r="D54" s="113">
        <f t="shared" si="48"/>
        <v>672</v>
      </c>
      <c r="E54" s="113">
        <f t="shared" si="49"/>
        <v>1365</v>
      </c>
      <c r="F54" s="113">
        <f t="shared" si="50"/>
        <v>168</v>
      </c>
      <c r="G54" s="113">
        <f t="shared" si="51"/>
        <v>55</v>
      </c>
      <c r="H54" s="114">
        <v>5.8000000000000003E-2</v>
      </c>
      <c r="I54" s="114">
        <v>0.28000000000000003</v>
      </c>
      <c r="J54" s="114">
        <v>0.56899999999999995</v>
      </c>
      <c r="K54" s="114">
        <v>7.0000000000000007E-2</v>
      </c>
      <c r="L54" s="115">
        <v>2.3E-2</v>
      </c>
      <c r="M54" s="112" t="str">
        <f t="shared" si="52"/>
        <v>U-shape</v>
      </c>
      <c r="N54" s="113">
        <v>2770</v>
      </c>
      <c r="O54" s="113">
        <f t="shared" si="53"/>
        <v>139</v>
      </c>
      <c r="P54" s="113">
        <f t="shared" si="54"/>
        <v>831</v>
      </c>
      <c r="Q54" s="113">
        <f t="shared" si="55"/>
        <v>1524</v>
      </c>
      <c r="R54" s="113">
        <f t="shared" si="56"/>
        <v>194</v>
      </c>
      <c r="S54" s="113">
        <f t="shared" si="57"/>
        <v>83</v>
      </c>
      <c r="T54" s="114">
        <v>0.05</v>
      </c>
      <c r="U54" s="114">
        <v>0.3</v>
      </c>
      <c r="V54" s="114">
        <v>0.55000000000000004</v>
      </c>
      <c r="W54" s="114">
        <v>7.0000000000000007E-2</v>
      </c>
      <c r="X54" s="115">
        <v>0.03</v>
      </c>
      <c r="Y54" s="112" t="s">
        <v>534</v>
      </c>
      <c r="Z54" s="113">
        <v>2770</v>
      </c>
      <c r="AA54" s="113">
        <f t="shared" si="59"/>
        <v>139</v>
      </c>
      <c r="AB54" s="113">
        <f t="shared" si="60"/>
        <v>831</v>
      </c>
      <c r="AC54" s="113">
        <f t="shared" si="61"/>
        <v>1524</v>
      </c>
      <c r="AD54" s="113">
        <f t="shared" si="62"/>
        <v>194</v>
      </c>
      <c r="AE54" s="113">
        <f t="shared" si="63"/>
        <v>83</v>
      </c>
      <c r="AF54" s="114">
        <v>0.05</v>
      </c>
      <c r="AG54" s="114">
        <v>0.3</v>
      </c>
      <c r="AH54" s="114">
        <v>0.55000000000000004</v>
      </c>
      <c r="AI54" s="114">
        <v>7.0000000000000007E-2</v>
      </c>
      <c r="AJ54" s="115">
        <v>0.03</v>
      </c>
      <c r="AK54" s="112" t="s">
        <v>534</v>
      </c>
      <c r="AL54" s="113">
        <v>2770</v>
      </c>
      <c r="AM54" s="113">
        <f t="shared" si="65"/>
        <v>139</v>
      </c>
      <c r="AN54" s="113">
        <f t="shared" si="66"/>
        <v>831</v>
      </c>
      <c r="AO54" s="113">
        <f t="shared" si="67"/>
        <v>1524</v>
      </c>
      <c r="AP54" s="113">
        <f t="shared" si="68"/>
        <v>194</v>
      </c>
      <c r="AQ54" s="113">
        <f t="shared" si="69"/>
        <v>83</v>
      </c>
      <c r="AR54" s="114">
        <v>0.05</v>
      </c>
      <c r="AS54" s="114">
        <v>0.3</v>
      </c>
      <c r="AT54" s="114">
        <v>0.55000000000000004</v>
      </c>
      <c r="AU54" s="114">
        <v>7.0000000000000007E-2</v>
      </c>
      <c r="AV54" s="115">
        <v>0.03</v>
      </c>
      <c r="AX54" s="16">
        <v>2399</v>
      </c>
      <c r="AY54" s="16">
        <v>2399</v>
      </c>
    </row>
    <row r="55" spans="1:51" s="56" customFormat="1" ht="25">
      <c r="A55" s="107" t="s">
        <v>460</v>
      </c>
      <c r="B55" s="108" t="s">
        <v>155</v>
      </c>
      <c r="C55" s="124" t="s">
        <v>120</v>
      </c>
      <c r="D55" s="124" t="s">
        <v>121</v>
      </c>
      <c r="E55" s="124" t="s">
        <v>122</v>
      </c>
      <c r="F55" s="126" t="s">
        <v>123</v>
      </c>
      <c r="G55" s="126" t="s">
        <v>124</v>
      </c>
      <c r="H55" s="127" t="s">
        <v>120</v>
      </c>
      <c r="I55" s="125" t="s">
        <v>121</v>
      </c>
      <c r="J55" s="125" t="s">
        <v>122</v>
      </c>
      <c r="K55" s="127" t="s">
        <v>123</v>
      </c>
      <c r="L55" s="128" t="s">
        <v>124</v>
      </c>
      <c r="M55" s="107" t="s">
        <v>93</v>
      </c>
      <c r="N55" s="108" t="str">
        <f>B55</f>
        <v>Acoustic Specialist</v>
      </c>
      <c r="O55" s="124" t="s">
        <v>120</v>
      </c>
      <c r="P55" s="124" t="s">
        <v>121</v>
      </c>
      <c r="Q55" s="124" t="s">
        <v>122</v>
      </c>
      <c r="R55" s="126" t="s">
        <v>123</v>
      </c>
      <c r="S55" s="126" t="s">
        <v>124</v>
      </c>
      <c r="T55" s="127" t="s">
        <v>120</v>
      </c>
      <c r="U55" s="125" t="s">
        <v>121</v>
      </c>
      <c r="V55" s="125" t="s">
        <v>122</v>
      </c>
      <c r="W55" s="127" t="s">
        <v>123</v>
      </c>
      <c r="X55" s="128" t="s">
        <v>124</v>
      </c>
      <c r="Y55" s="107" t="s">
        <v>483</v>
      </c>
      <c r="Z55" s="108" t="str">
        <f>N55</f>
        <v>Acoustic Specialist</v>
      </c>
      <c r="AA55" s="124" t="s">
        <v>120</v>
      </c>
      <c r="AB55" s="124" t="s">
        <v>121</v>
      </c>
      <c r="AC55" s="124" t="s">
        <v>122</v>
      </c>
      <c r="AD55" s="126" t="s">
        <v>123</v>
      </c>
      <c r="AE55" s="126" t="s">
        <v>124</v>
      </c>
      <c r="AF55" s="127" t="s">
        <v>120</v>
      </c>
      <c r="AG55" s="125" t="s">
        <v>121</v>
      </c>
      <c r="AH55" s="125" t="s">
        <v>122</v>
      </c>
      <c r="AI55" s="127" t="s">
        <v>123</v>
      </c>
      <c r="AJ55" s="128" t="s">
        <v>124</v>
      </c>
      <c r="AK55" s="107" t="s">
        <v>482</v>
      </c>
      <c r="AL55" s="108" t="str">
        <f>Z55</f>
        <v>Acoustic Specialist</v>
      </c>
      <c r="AM55" s="124" t="s">
        <v>120</v>
      </c>
      <c r="AN55" s="124" t="s">
        <v>121</v>
      </c>
      <c r="AO55" s="124" t="s">
        <v>122</v>
      </c>
      <c r="AP55" s="126" t="s">
        <v>123</v>
      </c>
      <c r="AQ55" s="126" t="s">
        <v>124</v>
      </c>
      <c r="AR55" s="127" t="s">
        <v>120</v>
      </c>
      <c r="AS55" s="125" t="s">
        <v>121</v>
      </c>
      <c r="AT55" s="125" t="s">
        <v>122</v>
      </c>
      <c r="AU55" s="127" t="s">
        <v>123</v>
      </c>
      <c r="AV55" s="128" t="s">
        <v>124</v>
      </c>
      <c r="AX55" s="56" t="s">
        <v>155</v>
      </c>
      <c r="AY55" s="56" t="s">
        <v>155</v>
      </c>
    </row>
    <row r="56" spans="1:51">
      <c r="A56" s="109" t="s">
        <v>490</v>
      </c>
      <c r="B56" s="33" cm="1">
        <f t="array" ref="B56">IF(INDEX('Dropdown list'!$G$1:$J$94,MATCH('Project information'!$A$4&amp;'Project information'!$B$7,'Dropdown list'!$G$1:$G$94&amp;'Dropdown list'!$I$1:$I$94,0),4)="Y",AX56,AY56)</f>
        <v>181.9</v>
      </c>
      <c r="C56" s="33">
        <f t="shared" ref="C56:C72" si="70">ROUND($B56*H56,0)</f>
        <v>25</v>
      </c>
      <c r="D56" s="33">
        <f t="shared" ref="D56:D72" si="71">ROUND($B56*I56,0)</f>
        <v>65</v>
      </c>
      <c r="E56" s="33">
        <f t="shared" ref="E56:E72" si="72">ROUND($B56*J56,0)</f>
        <v>45</v>
      </c>
      <c r="F56" s="33">
        <f t="shared" ref="F56:F72" si="73">ROUND($B56*K56,0)</f>
        <v>36</v>
      </c>
      <c r="G56" s="33">
        <f t="shared" ref="G56:G72" si="74">ROUND($B56*L56,0)</f>
        <v>9</v>
      </c>
      <c r="H56" s="120">
        <v>0.14000000000000001</v>
      </c>
      <c r="I56" s="120">
        <v>0.36</v>
      </c>
      <c r="J56" s="120">
        <v>0.25</v>
      </c>
      <c r="K56" s="120">
        <v>0.2</v>
      </c>
      <c r="L56" s="121">
        <v>0.05</v>
      </c>
      <c r="M56" s="109" t="str">
        <f t="shared" ref="M56:M72" si="75">$A56</f>
        <v>Cold End Complex</v>
      </c>
      <c r="N56" s="33">
        <v>70</v>
      </c>
      <c r="O56" s="33">
        <f t="shared" ref="O56:O72" si="76">ROUND($N56*T56,0)</f>
        <v>8</v>
      </c>
      <c r="P56" s="33">
        <f t="shared" ref="P56:P72" si="77">ROUND($N56*U56,0)</f>
        <v>22</v>
      </c>
      <c r="Q56" s="33">
        <f t="shared" ref="Q56:Q72" si="78">ROUND($N56*V56,0)</f>
        <v>29</v>
      </c>
      <c r="R56" s="33">
        <f t="shared" ref="R56:R72" si="79">ROUND($N56*W56,0)</f>
        <v>10</v>
      </c>
      <c r="S56" s="33">
        <f t="shared" ref="S56:S72" si="80">ROUND($N56*X56,0)</f>
        <v>1</v>
      </c>
      <c r="T56" s="110">
        <v>0.1142857142857143</v>
      </c>
      <c r="U56" s="110">
        <v>0.31428571428571428</v>
      </c>
      <c r="V56" s="110">
        <v>0.41428571428571431</v>
      </c>
      <c r="W56" s="110">
        <v>0.14285714285714279</v>
      </c>
      <c r="X56" s="111">
        <v>1.428571428571429E-2</v>
      </c>
      <c r="Y56" s="109" t="str">
        <f t="shared" ref="Y56:Y71" si="81">$A56</f>
        <v>Cold End Complex</v>
      </c>
      <c r="Z56" s="33">
        <v>150</v>
      </c>
      <c r="AA56" s="33">
        <f t="shared" ref="AA56:AA72" si="82">ROUND($Z56*AF56,0)</f>
        <v>27</v>
      </c>
      <c r="AB56" s="33">
        <f t="shared" ref="AB56:AB72" si="83">ROUND($Z56*AG56,0)</f>
        <v>60</v>
      </c>
      <c r="AC56" s="33">
        <f t="shared" ref="AC56:AC72" si="84">ROUND($Z56*AH56,0)</f>
        <v>45</v>
      </c>
      <c r="AD56" s="33">
        <f t="shared" ref="AD56:AD72" si="85">ROUND($Z56*AI56,0)</f>
        <v>15</v>
      </c>
      <c r="AE56" s="33">
        <f t="shared" ref="AE56:AE72" si="86">ROUND($Z56*AJ56,0)</f>
        <v>3</v>
      </c>
      <c r="AF56" s="110">
        <v>0.18</v>
      </c>
      <c r="AG56" s="110">
        <v>0.4</v>
      </c>
      <c r="AH56" s="110">
        <v>0.3</v>
      </c>
      <c r="AI56" s="110">
        <v>0.1</v>
      </c>
      <c r="AJ56" s="111">
        <v>0.02</v>
      </c>
      <c r="AK56" s="109" t="str">
        <f t="shared" ref="AK56:AK71" si="87">$A56</f>
        <v>Cold End Complex</v>
      </c>
      <c r="AL56" s="118"/>
      <c r="AM56" s="33">
        <f t="shared" ref="AM56:AM72" si="88">ROUND($AL56*AR56,0)</f>
        <v>0</v>
      </c>
      <c r="AN56" s="33">
        <f t="shared" ref="AN56:AN72" si="89">ROUND($AL56*AS56,0)</f>
        <v>0</v>
      </c>
      <c r="AO56" s="33">
        <f t="shared" ref="AO56:AO72" si="90">ROUND($AL56*AT56,0)</f>
        <v>0</v>
      </c>
      <c r="AP56" s="33">
        <f t="shared" ref="AP56:AP72" si="91">ROUND($AL56*AU56,0)</f>
        <v>0</v>
      </c>
      <c r="AQ56" s="33">
        <f t="shared" ref="AQ56:AQ72" si="92">ROUND($AL56*AV56,0)</f>
        <v>0</v>
      </c>
      <c r="AR56" s="132"/>
      <c r="AS56" s="132"/>
      <c r="AT56" s="132"/>
      <c r="AU56" s="132"/>
      <c r="AV56" s="133"/>
      <c r="AX56" s="204">
        <f>141.9+40</f>
        <v>181.9</v>
      </c>
      <c r="AY56" s="16">
        <f>141.9+40</f>
        <v>181.9</v>
      </c>
    </row>
    <row r="57" spans="1:51">
      <c r="A57" s="109" t="s">
        <v>494</v>
      </c>
      <c r="B57" s="33" cm="1">
        <f t="array" ref="B57">IF(INDEX('Dropdown list'!$G$1:$J$94,MATCH('Project information'!$A$4&amp;'Project information'!$B$7,'Dropdown list'!$G$1:$G$94&amp;'Dropdown list'!$I$1:$I$94,0),4)="Y",AX57,AY57)</f>
        <v>146.69999999999999</v>
      </c>
      <c r="C57" s="33">
        <f t="shared" si="70"/>
        <v>21</v>
      </c>
      <c r="D57" s="33">
        <f t="shared" si="71"/>
        <v>53</v>
      </c>
      <c r="E57" s="33">
        <f t="shared" si="72"/>
        <v>37</v>
      </c>
      <c r="F57" s="33">
        <f t="shared" si="73"/>
        <v>29</v>
      </c>
      <c r="G57" s="33">
        <f t="shared" si="74"/>
        <v>7</v>
      </c>
      <c r="H57" s="120">
        <v>0.14000000000000001</v>
      </c>
      <c r="I57" s="120">
        <v>0.36</v>
      </c>
      <c r="J57" s="120">
        <v>0.25</v>
      </c>
      <c r="K57" s="120">
        <v>0.2</v>
      </c>
      <c r="L57" s="121">
        <v>0.05</v>
      </c>
      <c r="M57" s="109" t="str">
        <f t="shared" si="75"/>
        <v>Cold End Simple</v>
      </c>
      <c r="N57" s="33">
        <v>70</v>
      </c>
      <c r="O57" s="33">
        <f t="shared" si="76"/>
        <v>8</v>
      </c>
      <c r="P57" s="33">
        <f t="shared" si="77"/>
        <v>22</v>
      </c>
      <c r="Q57" s="33">
        <f t="shared" si="78"/>
        <v>29</v>
      </c>
      <c r="R57" s="33">
        <f t="shared" si="79"/>
        <v>10</v>
      </c>
      <c r="S57" s="33">
        <f t="shared" si="80"/>
        <v>1</v>
      </c>
      <c r="T57" s="110">
        <v>0.1142857142857143</v>
      </c>
      <c r="U57" s="110">
        <v>0.31428571428571428</v>
      </c>
      <c r="V57" s="110">
        <v>0.41428571428571431</v>
      </c>
      <c r="W57" s="110">
        <v>0.14285714285714279</v>
      </c>
      <c r="X57" s="111">
        <v>1.428571428571429E-2</v>
      </c>
      <c r="Y57" s="109" t="str">
        <f t="shared" si="81"/>
        <v>Cold End Simple</v>
      </c>
      <c r="Z57" s="33">
        <v>100</v>
      </c>
      <c r="AA57" s="33">
        <f t="shared" si="82"/>
        <v>18</v>
      </c>
      <c r="AB57" s="33">
        <f t="shared" si="83"/>
        <v>40</v>
      </c>
      <c r="AC57" s="33">
        <f t="shared" si="84"/>
        <v>30</v>
      </c>
      <c r="AD57" s="33">
        <f t="shared" si="85"/>
        <v>10</v>
      </c>
      <c r="AE57" s="33">
        <f t="shared" si="86"/>
        <v>2</v>
      </c>
      <c r="AF57" s="110">
        <v>0.18</v>
      </c>
      <c r="AG57" s="110">
        <v>0.4</v>
      </c>
      <c r="AH57" s="110">
        <v>0.3</v>
      </c>
      <c r="AI57" s="110">
        <v>0.1</v>
      </c>
      <c r="AJ57" s="111">
        <v>0.02</v>
      </c>
      <c r="AK57" s="109" t="str">
        <f t="shared" si="87"/>
        <v>Cold End Simple</v>
      </c>
      <c r="AL57" s="118"/>
      <c r="AM57" s="33">
        <f t="shared" si="88"/>
        <v>0</v>
      </c>
      <c r="AN57" s="33">
        <f t="shared" si="89"/>
        <v>0</v>
      </c>
      <c r="AO57" s="33">
        <f t="shared" si="90"/>
        <v>0</v>
      </c>
      <c r="AP57" s="33">
        <f t="shared" si="91"/>
        <v>0</v>
      </c>
      <c r="AQ57" s="33">
        <f t="shared" si="92"/>
        <v>0</v>
      </c>
      <c r="AR57" s="132"/>
      <c r="AS57" s="132"/>
      <c r="AT57" s="132"/>
      <c r="AU57" s="132"/>
      <c r="AV57" s="133"/>
      <c r="AX57" s="204">
        <f>106.7+40</f>
        <v>146.69999999999999</v>
      </c>
      <c r="AY57" s="16">
        <f>106.7+40</f>
        <v>146.69999999999999</v>
      </c>
    </row>
    <row r="58" spans="1:51">
      <c r="A58" s="109" t="s">
        <v>498</v>
      </c>
      <c r="B58" s="33" cm="1">
        <f t="array" ref="B58">IF(INDEX('Dropdown list'!$G$1:$J$94,MATCH('Project information'!$A$4&amp;'Project information'!$B$7,'Dropdown list'!$G$1:$G$94&amp;'Dropdown list'!$I$1:$I$94,0),4)="Y",AX58,AY58)</f>
        <v>0</v>
      </c>
      <c r="C58" s="33">
        <f t="shared" si="70"/>
        <v>0</v>
      </c>
      <c r="D58" s="33">
        <f t="shared" si="71"/>
        <v>0</v>
      </c>
      <c r="E58" s="33">
        <f t="shared" si="72"/>
        <v>0</v>
      </c>
      <c r="F58" s="33">
        <f t="shared" si="73"/>
        <v>0</v>
      </c>
      <c r="G58" s="33">
        <f t="shared" si="74"/>
        <v>0</v>
      </c>
      <c r="H58" s="120">
        <v>0</v>
      </c>
      <c r="I58" s="120">
        <v>0</v>
      </c>
      <c r="J58" s="120">
        <v>0</v>
      </c>
      <c r="K58" s="120">
        <v>0</v>
      </c>
      <c r="L58" s="121">
        <v>0</v>
      </c>
      <c r="M58" s="109" t="str">
        <f t="shared" si="75"/>
        <v>Diesel (DOC+DPF)</v>
      </c>
      <c r="N58" s="33">
        <v>16</v>
      </c>
      <c r="O58" s="33">
        <f t="shared" si="76"/>
        <v>0</v>
      </c>
      <c r="P58" s="33">
        <f t="shared" si="77"/>
        <v>0</v>
      </c>
      <c r="Q58" s="33">
        <f t="shared" si="78"/>
        <v>4</v>
      </c>
      <c r="R58" s="33">
        <f t="shared" si="79"/>
        <v>4</v>
      </c>
      <c r="S58" s="33">
        <f t="shared" si="80"/>
        <v>0</v>
      </c>
      <c r="T58" s="110">
        <v>0</v>
      </c>
      <c r="U58" s="110">
        <v>0</v>
      </c>
      <c r="V58" s="110">
        <v>0.25</v>
      </c>
      <c r="W58" s="110">
        <v>0.25</v>
      </c>
      <c r="X58" s="111">
        <v>0</v>
      </c>
      <c r="Y58" s="109" t="str">
        <f t="shared" si="81"/>
        <v>Diesel (DOC+DPF)</v>
      </c>
      <c r="Z58" s="33">
        <v>0</v>
      </c>
      <c r="AA58" s="33">
        <f t="shared" si="82"/>
        <v>0</v>
      </c>
      <c r="AB58" s="33">
        <f t="shared" si="83"/>
        <v>0</v>
      </c>
      <c r="AC58" s="33">
        <f t="shared" si="84"/>
        <v>0</v>
      </c>
      <c r="AD58" s="33">
        <f t="shared" si="85"/>
        <v>0</v>
      </c>
      <c r="AE58" s="33">
        <f t="shared" si="86"/>
        <v>0</v>
      </c>
      <c r="AF58" s="110">
        <v>0.18</v>
      </c>
      <c r="AG58" s="110">
        <v>0.4</v>
      </c>
      <c r="AH58" s="110">
        <v>0.3</v>
      </c>
      <c r="AI58" s="110">
        <v>0.1</v>
      </c>
      <c r="AJ58" s="111">
        <v>0.02</v>
      </c>
      <c r="AK58" s="109" t="str">
        <f t="shared" si="87"/>
        <v>Diesel (DOC+DPF)</v>
      </c>
      <c r="AL58" s="118"/>
      <c r="AM58" s="33">
        <f t="shared" si="88"/>
        <v>0</v>
      </c>
      <c r="AN58" s="33">
        <f t="shared" si="89"/>
        <v>0</v>
      </c>
      <c r="AO58" s="33">
        <f t="shared" si="90"/>
        <v>0</v>
      </c>
      <c r="AP58" s="33">
        <f t="shared" si="91"/>
        <v>0</v>
      </c>
      <c r="AQ58" s="33">
        <f t="shared" si="92"/>
        <v>0</v>
      </c>
      <c r="AR58" s="132"/>
      <c r="AS58" s="132"/>
      <c r="AT58" s="132"/>
      <c r="AU58" s="132"/>
      <c r="AV58" s="133"/>
      <c r="AX58" s="16">
        <v>0</v>
      </c>
      <c r="AY58" s="16">
        <v>0</v>
      </c>
    </row>
    <row r="59" spans="1:51" ht="37.5">
      <c r="A59" s="109" t="s">
        <v>500</v>
      </c>
      <c r="B59" s="33" cm="1">
        <f t="array" ref="B59">IF(INDEX('Dropdown list'!$G$1:$J$94,MATCH('Project information'!$A$4&amp;'Project information'!$B$7,'Dropdown list'!$G$1:$G$94&amp;'Dropdown list'!$I$1:$I$94,0),4)="Y",AX59,AY59)</f>
        <v>0</v>
      </c>
      <c r="C59" s="33">
        <f t="shared" si="70"/>
        <v>0</v>
      </c>
      <c r="D59" s="33">
        <f t="shared" si="71"/>
        <v>0</v>
      </c>
      <c r="E59" s="33">
        <f t="shared" si="72"/>
        <v>0</v>
      </c>
      <c r="F59" s="33">
        <f t="shared" si="73"/>
        <v>0</v>
      </c>
      <c r="G59" s="33">
        <f t="shared" si="74"/>
        <v>0</v>
      </c>
      <c r="H59" s="120">
        <v>0</v>
      </c>
      <c r="I59" s="120">
        <v>0</v>
      </c>
      <c r="J59" s="120">
        <v>0</v>
      </c>
      <c r="K59" s="120">
        <v>0</v>
      </c>
      <c r="L59" s="121">
        <v>0</v>
      </c>
      <c r="M59" s="109" t="str">
        <f t="shared" si="75"/>
        <v>Diesel (DOC+DPF+SCR) Underfloor (with underfloor mixer &amp; underfloor SCR)</v>
      </c>
      <c r="N59" s="33">
        <v>24</v>
      </c>
      <c r="O59" s="33">
        <f t="shared" si="76"/>
        <v>0</v>
      </c>
      <c r="P59" s="33">
        <f t="shared" si="77"/>
        <v>0</v>
      </c>
      <c r="Q59" s="33">
        <f t="shared" si="78"/>
        <v>12</v>
      </c>
      <c r="R59" s="33">
        <f t="shared" si="79"/>
        <v>12</v>
      </c>
      <c r="S59" s="33">
        <f t="shared" si="80"/>
        <v>0</v>
      </c>
      <c r="T59" s="110">
        <v>0</v>
      </c>
      <c r="U59" s="110">
        <v>0</v>
      </c>
      <c r="V59" s="110">
        <v>0.5</v>
      </c>
      <c r="W59" s="110">
        <v>0.5</v>
      </c>
      <c r="X59" s="111">
        <v>0</v>
      </c>
      <c r="Y59" s="109" t="str">
        <f t="shared" si="81"/>
        <v>Diesel (DOC+DPF+SCR) Underfloor (with underfloor mixer &amp; underfloor SCR)</v>
      </c>
      <c r="Z59" s="33">
        <v>0</v>
      </c>
      <c r="AA59" s="33">
        <f t="shared" si="82"/>
        <v>0</v>
      </c>
      <c r="AB59" s="33">
        <f t="shared" si="83"/>
        <v>0</v>
      </c>
      <c r="AC59" s="33">
        <f t="shared" si="84"/>
        <v>0</v>
      </c>
      <c r="AD59" s="33">
        <f t="shared" si="85"/>
        <v>0</v>
      </c>
      <c r="AE59" s="33">
        <f t="shared" si="86"/>
        <v>0</v>
      </c>
      <c r="AF59" s="110">
        <v>0.18</v>
      </c>
      <c r="AG59" s="110">
        <v>0.4</v>
      </c>
      <c r="AH59" s="110">
        <v>0.3</v>
      </c>
      <c r="AI59" s="110">
        <v>0.1</v>
      </c>
      <c r="AJ59" s="111">
        <v>0.02</v>
      </c>
      <c r="AK59" s="109" t="str">
        <f t="shared" si="87"/>
        <v>Diesel (DOC+DPF+SCR) Underfloor (with underfloor mixer &amp; underfloor SCR)</v>
      </c>
      <c r="AL59" s="118"/>
      <c r="AM59" s="33">
        <f t="shared" si="88"/>
        <v>0</v>
      </c>
      <c r="AN59" s="33">
        <f t="shared" si="89"/>
        <v>0</v>
      </c>
      <c r="AO59" s="33">
        <f t="shared" si="90"/>
        <v>0</v>
      </c>
      <c r="AP59" s="33">
        <f t="shared" si="91"/>
        <v>0</v>
      </c>
      <c r="AQ59" s="33">
        <f t="shared" si="92"/>
        <v>0</v>
      </c>
      <c r="AR59" s="132"/>
      <c r="AS59" s="132"/>
      <c r="AT59" s="132"/>
      <c r="AU59" s="132"/>
      <c r="AV59" s="133"/>
      <c r="AX59" s="16">
        <v>0</v>
      </c>
      <c r="AY59" s="16">
        <v>0</v>
      </c>
    </row>
    <row r="60" spans="1:51" ht="37.5">
      <c r="A60" s="109" t="s">
        <v>505</v>
      </c>
      <c r="B60" s="33" cm="1">
        <f t="array" ref="B60">IF(INDEX('Dropdown list'!$G$1:$J$94,MATCH('Project information'!$A$4&amp;'Project information'!$B$7,'Dropdown list'!$G$1:$G$94&amp;'Dropdown list'!$I$1:$I$94,0),4)="Y",AX60,AY60)</f>
        <v>0</v>
      </c>
      <c r="C60" s="33">
        <f t="shared" si="70"/>
        <v>0</v>
      </c>
      <c r="D60" s="33">
        <f t="shared" si="71"/>
        <v>0</v>
      </c>
      <c r="E60" s="33">
        <f t="shared" si="72"/>
        <v>0</v>
      </c>
      <c r="F60" s="33">
        <f t="shared" si="73"/>
        <v>0</v>
      </c>
      <c r="G60" s="33">
        <f t="shared" si="74"/>
        <v>0</v>
      </c>
      <c r="H60" s="120">
        <v>0</v>
      </c>
      <c r="I60" s="120">
        <v>0</v>
      </c>
      <c r="J60" s="120">
        <v>0</v>
      </c>
      <c r="K60" s="120">
        <v>0</v>
      </c>
      <c r="L60" s="121">
        <v>0</v>
      </c>
      <c r="M60" s="109" t="str">
        <f t="shared" si="75"/>
        <v>Diesel (DOC+SDPF) Compact (Compact mixer in CCC ex: U shape, Chistera...)</v>
      </c>
      <c r="N60" s="33">
        <v>32</v>
      </c>
      <c r="O60" s="33">
        <f t="shared" si="76"/>
        <v>0</v>
      </c>
      <c r="P60" s="33">
        <f t="shared" si="77"/>
        <v>0</v>
      </c>
      <c r="Q60" s="33">
        <f t="shared" si="78"/>
        <v>16</v>
      </c>
      <c r="R60" s="33">
        <f t="shared" si="79"/>
        <v>16</v>
      </c>
      <c r="S60" s="33">
        <f t="shared" si="80"/>
        <v>0</v>
      </c>
      <c r="T60" s="110">
        <v>0</v>
      </c>
      <c r="U60" s="110">
        <v>0</v>
      </c>
      <c r="V60" s="110">
        <v>0.5</v>
      </c>
      <c r="W60" s="110">
        <v>0.5</v>
      </c>
      <c r="X60" s="111">
        <v>0</v>
      </c>
      <c r="Y60" s="109" t="str">
        <f t="shared" si="81"/>
        <v>Diesel (DOC+SDPF) Compact (Compact mixer in CCC ex: U shape, Chistera...)</v>
      </c>
      <c r="Z60" s="33">
        <v>0</v>
      </c>
      <c r="AA60" s="33">
        <f t="shared" si="82"/>
        <v>0</v>
      </c>
      <c r="AB60" s="33">
        <f t="shared" si="83"/>
        <v>0</v>
      </c>
      <c r="AC60" s="33">
        <f t="shared" si="84"/>
        <v>0</v>
      </c>
      <c r="AD60" s="33">
        <f t="shared" si="85"/>
        <v>0</v>
      </c>
      <c r="AE60" s="33">
        <f t="shared" si="86"/>
        <v>0</v>
      </c>
      <c r="AF60" s="110">
        <v>0.18</v>
      </c>
      <c r="AG60" s="110">
        <v>0.4</v>
      </c>
      <c r="AH60" s="110">
        <v>0.3</v>
      </c>
      <c r="AI60" s="110">
        <v>0.1</v>
      </c>
      <c r="AJ60" s="111">
        <v>0.02</v>
      </c>
      <c r="AK60" s="109" t="str">
        <f t="shared" si="87"/>
        <v>Diesel (DOC+SDPF) Compact (Compact mixer in CCC ex: U shape, Chistera...)</v>
      </c>
      <c r="AL60" s="118"/>
      <c r="AM60" s="33">
        <f t="shared" si="88"/>
        <v>0</v>
      </c>
      <c r="AN60" s="33">
        <f t="shared" si="89"/>
        <v>0</v>
      </c>
      <c r="AO60" s="33">
        <f t="shared" si="90"/>
        <v>0</v>
      </c>
      <c r="AP60" s="33">
        <f t="shared" si="91"/>
        <v>0</v>
      </c>
      <c r="AQ60" s="33">
        <f t="shared" si="92"/>
        <v>0</v>
      </c>
      <c r="AR60" s="132"/>
      <c r="AS60" s="132"/>
      <c r="AT60" s="132"/>
      <c r="AU60" s="132"/>
      <c r="AV60" s="133"/>
      <c r="AX60" s="16">
        <v>0</v>
      </c>
      <c r="AY60" s="16">
        <v>0</v>
      </c>
    </row>
    <row r="61" spans="1:51">
      <c r="A61" s="109" t="s">
        <v>509</v>
      </c>
      <c r="B61" s="33" cm="1">
        <f t="array" ref="B61">IF(INDEX('Dropdown list'!$G$1:$J$94,MATCH('Project information'!$A$4&amp;'Project information'!$B$7,'Dropdown list'!$G$1:$G$94&amp;'Dropdown list'!$I$1:$I$94,0),4)="Y",AX61,AY61)</f>
        <v>0</v>
      </c>
      <c r="C61" s="33">
        <f t="shared" si="70"/>
        <v>0</v>
      </c>
      <c r="D61" s="33">
        <f t="shared" si="71"/>
        <v>0</v>
      </c>
      <c r="E61" s="33">
        <f t="shared" si="72"/>
        <v>0</v>
      </c>
      <c r="F61" s="33">
        <f t="shared" si="73"/>
        <v>0</v>
      </c>
      <c r="G61" s="33">
        <f t="shared" si="74"/>
        <v>0</v>
      </c>
      <c r="H61" s="120">
        <v>0</v>
      </c>
      <c r="I61" s="120">
        <v>0</v>
      </c>
      <c r="J61" s="120">
        <v>0</v>
      </c>
      <c r="K61" s="120">
        <v>0</v>
      </c>
      <c r="L61" s="121">
        <v>0</v>
      </c>
      <c r="M61" s="109" t="str">
        <f t="shared" si="75"/>
        <v>Manifold</v>
      </c>
      <c r="N61" s="33">
        <v>10</v>
      </c>
      <c r="O61" s="33">
        <f t="shared" si="76"/>
        <v>2</v>
      </c>
      <c r="P61" s="33">
        <f t="shared" si="77"/>
        <v>4</v>
      </c>
      <c r="Q61" s="33">
        <f t="shared" si="78"/>
        <v>3</v>
      </c>
      <c r="R61" s="33">
        <f t="shared" si="79"/>
        <v>1</v>
      </c>
      <c r="S61" s="33">
        <f t="shared" si="80"/>
        <v>0</v>
      </c>
      <c r="T61" s="110">
        <v>0.18</v>
      </c>
      <c r="U61" s="110">
        <v>0.4</v>
      </c>
      <c r="V61" s="110">
        <v>0.3</v>
      </c>
      <c r="W61" s="110">
        <v>0.1</v>
      </c>
      <c r="X61" s="111">
        <v>0.02</v>
      </c>
      <c r="Y61" s="109" t="str">
        <f t="shared" si="81"/>
        <v>Manifold</v>
      </c>
      <c r="Z61" s="33">
        <v>0</v>
      </c>
      <c r="AA61" s="33">
        <f t="shared" si="82"/>
        <v>0</v>
      </c>
      <c r="AB61" s="33">
        <f t="shared" si="83"/>
        <v>0</v>
      </c>
      <c r="AC61" s="33">
        <f t="shared" si="84"/>
        <v>0</v>
      </c>
      <c r="AD61" s="33">
        <f t="shared" si="85"/>
        <v>0</v>
      </c>
      <c r="AE61" s="33">
        <f t="shared" si="86"/>
        <v>0</v>
      </c>
      <c r="AF61" s="110">
        <v>0.18</v>
      </c>
      <c r="AG61" s="110">
        <v>0.4</v>
      </c>
      <c r="AH61" s="110">
        <v>0.3</v>
      </c>
      <c r="AI61" s="110">
        <v>0.1</v>
      </c>
      <c r="AJ61" s="111">
        <v>0.02</v>
      </c>
      <c r="AK61" s="109" t="str">
        <f t="shared" si="87"/>
        <v>Manifold</v>
      </c>
      <c r="AL61" s="118"/>
      <c r="AM61" s="33">
        <f t="shared" si="88"/>
        <v>0</v>
      </c>
      <c r="AN61" s="33">
        <f t="shared" si="89"/>
        <v>0</v>
      </c>
      <c r="AO61" s="33">
        <f t="shared" si="90"/>
        <v>0</v>
      </c>
      <c r="AP61" s="33">
        <f t="shared" si="91"/>
        <v>0</v>
      </c>
      <c r="AQ61" s="33">
        <f t="shared" si="92"/>
        <v>0</v>
      </c>
      <c r="AR61" s="132"/>
      <c r="AS61" s="132"/>
      <c r="AT61" s="132"/>
      <c r="AU61" s="132"/>
      <c r="AV61" s="133"/>
      <c r="AX61" s="16">
        <v>0</v>
      </c>
      <c r="AY61" s="16">
        <v>0</v>
      </c>
    </row>
    <row r="62" spans="1:51">
      <c r="A62" s="109" t="s">
        <v>512</v>
      </c>
      <c r="B62" s="33" cm="1">
        <f t="array" ref="B62">IF(INDEX('Dropdown list'!$G$1:$J$94,MATCH('Project information'!$A$4&amp;'Project information'!$B$7,'Dropdown list'!$G$1:$G$94&amp;'Dropdown list'!$I$1:$I$94,0),4)="Y",AX62,AY62)</f>
        <v>0</v>
      </c>
      <c r="C62" s="33">
        <f t="shared" si="70"/>
        <v>0</v>
      </c>
      <c r="D62" s="33">
        <f t="shared" si="71"/>
        <v>0</v>
      </c>
      <c r="E62" s="33">
        <f t="shared" si="72"/>
        <v>0</v>
      </c>
      <c r="F62" s="33">
        <f t="shared" si="73"/>
        <v>0</v>
      </c>
      <c r="G62" s="33">
        <f t="shared" si="74"/>
        <v>0</v>
      </c>
      <c r="H62" s="120">
        <v>0</v>
      </c>
      <c r="I62" s="120">
        <v>0</v>
      </c>
      <c r="J62" s="120">
        <v>0</v>
      </c>
      <c r="K62" s="120">
        <v>0</v>
      </c>
      <c r="L62" s="121">
        <v>0</v>
      </c>
      <c r="M62" s="109" t="str">
        <f t="shared" si="75"/>
        <v xml:space="preserve">Maniverter </v>
      </c>
      <c r="N62" s="33">
        <v>16</v>
      </c>
      <c r="O62" s="33">
        <f t="shared" si="76"/>
        <v>0</v>
      </c>
      <c r="P62" s="33">
        <f t="shared" si="77"/>
        <v>0</v>
      </c>
      <c r="Q62" s="33">
        <f t="shared" si="78"/>
        <v>8</v>
      </c>
      <c r="R62" s="33">
        <f t="shared" si="79"/>
        <v>8</v>
      </c>
      <c r="S62" s="33">
        <f t="shared" si="80"/>
        <v>0</v>
      </c>
      <c r="T62" s="110">
        <v>0</v>
      </c>
      <c r="U62" s="110">
        <v>0</v>
      </c>
      <c r="V62" s="110">
        <v>0.5</v>
      </c>
      <c r="W62" s="110">
        <v>0.5</v>
      </c>
      <c r="X62" s="111">
        <v>0</v>
      </c>
      <c r="Y62" s="109" t="str">
        <f t="shared" si="81"/>
        <v xml:space="preserve">Maniverter </v>
      </c>
      <c r="Z62" s="33">
        <v>0</v>
      </c>
      <c r="AA62" s="33">
        <f t="shared" si="82"/>
        <v>0</v>
      </c>
      <c r="AB62" s="33">
        <f t="shared" si="83"/>
        <v>0</v>
      </c>
      <c r="AC62" s="33">
        <f t="shared" si="84"/>
        <v>0</v>
      </c>
      <c r="AD62" s="33">
        <f t="shared" si="85"/>
        <v>0</v>
      </c>
      <c r="AE62" s="33">
        <f t="shared" si="86"/>
        <v>0</v>
      </c>
      <c r="AF62" s="110">
        <v>0.18</v>
      </c>
      <c r="AG62" s="110">
        <v>0.4</v>
      </c>
      <c r="AH62" s="110">
        <v>0.3</v>
      </c>
      <c r="AI62" s="110">
        <v>0.1</v>
      </c>
      <c r="AJ62" s="111">
        <v>0.02</v>
      </c>
      <c r="AK62" s="109" t="str">
        <f t="shared" si="87"/>
        <v xml:space="preserve">Maniverter </v>
      </c>
      <c r="AL62" s="118"/>
      <c r="AM62" s="33">
        <f t="shared" si="88"/>
        <v>0</v>
      </c>
      <c r="AN62" s="33">
        <f t="shared" si="89"/>
        <v>0</v>
      </c>
      <c r="AO62" s="33">
        <f t="shared" si="90"/>
        <v>0</v>
      </c>
      <c r="AP62" s="33">
        <f t="shared" si="91"/>
        <v>0</v>
      </c>
      <c r="AQ62" s="33">
        <f t="shared" si="92"/>
        <v>0</v>
      </c>
      <c r="AR62" s="132"/>
      <c r="AS62" s="132"/>
      <c r="AT62" s="132"/>
      <c r="AU62" s="132"/>
      <c r="AV62" s="133"/>
      <c r="AX62" s="16">
        <v>0</v>
      </c>
      <c r="AY62" s="16">
        <v>0</v>
      </c>
    </row>
    <row r="63" spans="1:51">
      <c r="A63" s="109" t="s">
        <v>514</v>
      </c>
      <c r="B63" s="33" cm="1">
        <f t="array" ref="B63">IF(INDEX('Dropdown list'!$G$1:$J$94,MATCH('Project information'!$A$4&amp;'Project information'!$B$7,'Dropdown list'!$G$1:$G$94&amp;'Dropdown list'!$I$1:$I$94,0),4)="Y",AX63,AY63)</f>
        <v>38.5</v>
      </c>
      <c r="C63" s="33">
        <f t="shared" si="70"/>
        <v>0</v>
      </c>
      <c r="D63" s="33">
        <f t="shared" si="71"/>
        <v>0</v>
      </c>
      <c r="E63" s="33">
        <f t="shared" si="72"/>
        <v>0</v>
      </c>
      <c r="F63" s="33">
        <f t="shared" si="73"/>
        <v>0</v>
      </c>
      <c r="G63" s="33">
        <f t="shared" si="74"/>
        <v>0</v>
      </c>
      <c r="H63" s="120">
        <v>0</v>
      </c>
      <c r="I63" s="120">
        <v>0</v>
      </c>
      <c r="J63" s="120">
        <v>0</v>
      </c>
      <c r="K63" s="120">
        <v>0</v>
      </c>
      <c r="L63" s="121">
        <v>0</v>
      </c>
      <c r="M63" s="109" t="str">
        <f t="shared" si="75"/>
        <v>Turbo HE</v>
      </c>
      <c r="N63" s="33">
        <v>16</v>
      </c>
      <c r="O63" s="33">
        <f t="shared" si="76"/>
        <v>0</v>
      </c>
      <c r="P63" s="33">
        <f t="shared" si="77"/>
        <v>0</v>
      </c>
      <c r="Q63" s="33">
        <f t="shared" si="78"/>
        <v>4</v>
      </c>
      <c r="R63" s="33">
        <f t="shared" si="79"/>
        <v>4</v>
      </c>
      <c r="S63" s="33">
        <f t="shared" si="80"/>
        <v>0</v>
      </c>
      <c r="T63" s="110">
        <v>0</v>
      </c>
      <c r="U63" s="110">
        <v>0</v>
      </c>
      <c r="V63" s="110">
        <v>0.25</v>
      </c>
      <c r="W63" s="110">
        <v>0.25</v>
      </c>
      <c r="X63" s="111">
        <v>0</v>
      </c>
      <c r="Y63" s="109" t="str">
        <f t="shared" si="81"/>
        <v>Turbo HE</v>
      </c>
      <c r="Z63" s="33">
        <v>0</v>
      </c>
      <c r="AA63" s="33">
        <f t="shared" si="82"/>
        <v>0</v>
      </c>
      <c r="AB63" s="33">
        <f t="shared" si="83"/>
        <v>0</v>
      </c>
      <c r="AC63" s="33">
        <f t="shared" si="84"/>
        <v>0</v>
      </c>
      <c r="AD63" s="33">
        <f t="shared" si="85"/>
        <v>0</v>
      </c>
      <c r="AE63" s="33">
        <f t="shared" si="86"/>
        <v>0</v>
      </c>
      <c r="AF63" s="110">
        <v>0.18</v>
      </c>
      <c r="AG63" s="110">
        <v>0.4</v>
      </c>
      <c r="AH63" s="110">
        <v>0.3</v>
      </c>
      <c r="AI63" s="110">
        <v>0.1</v>
      </c>
      <c r="AJ63" s="111">
        <v>0.02</v>
      </c>
      <c r="AK63" s="109" t="str">
        <f t="shared" si="87"/>
        <v>Turbo HE</v>
      </c>
      <c r="AL63" s="118"/>
      <c r="AM63" s="33">
        <f t="shared" si="88"/>
        <v>0</v>
      </c>
      <c r="AN63" s="33">
        <f t="shared" si="89"/>
        <v>0</v>
      </c>
      <c r="AO63" s="33">
        <f t="shared" si="90"/>
        <v>0</v>
      </c>
      <c r="AP63" s="33">
        <f t="shared" si="91"/>
        <v>0</v>
      </c>
      <c r="AQ63" s="33">
        <f t="shared" si="92"/>
        <v>0</v>
      </c>
      <c r="AR63" s="132"/>
      <c r="AS63" s="132"/>
      <c r="AT63" s="132"/>
      <c r="AU63" s="132"/>
      <c r="AV63" s="133"/>
      <c r="AX63" s="16">
        <v>38.5</v>
      </c>
      <c r="AY63" s="16">
        <v>38.5</v>
      </c>
    </row>
    <row r="64" spans="1:51">
      <c r="A64" s="109" t="s">
        <v>516</v>
      </c>
      <c r="B64" s="33" cm="1">
        <f t="array" ref="B64">IF(INDEX('Dropdown list'!$G$1:$J$94,MATCH('Project information'!$A$4&amp;'Project information'!$B$7,'Dropdown list'!$G$1:$G$94&amp;'Dropdown list'!$I$1:$I$94,0),4)="Y",AX64,AY64)</f>
        <v>37.400000000000013</v>
      </c>
      <c r="C64" s="33">
        <f t="shared" si="70"/>
        <v>0</v>
      </c>
      <c r="D64" s="33">
        <f t="shared" si="71"/>
        <v>0</v>
      </c>
      <c r="E64" s="33">
        <f t="shared" si="72"/>
        <v>0</v>
      </c>
      <c r="F64" s="33">
        <f t="shared" si="73"/>
        <v>0</v>
      </c>
      <c r="G64" s="33">
        <f t="shared" si="74"/>
        <v>0</v>
      </c>
      <c r="H64" s="120">
        <v>0</v>
      </c>
      <c r="I64" s="120">
        <v>0</v>
      </c>
      <c r="J64" s="120">
        <v>0</v>
      </c>
      <c r="K64" s="120">
        <v>0</v>
      </c>
      <c r="L64" s="121">
        <v>0</v>
      </c>
      <c r="M64" s="109" t="str">
        <f t="shared" si="75"/>
        <v>Turbo HE + UCC</v>
      </c>
      <c r="N64" s="33">
        <v>32</v>
      </c>
      <c r="O64" s="33">
        <f t="shared" si="76"/>
        <v>0</v>
      </c>
      <c r="P64" s="33">
        <f t="shared" si="77"/>
        <v>0</v>
      </c>
      <c r="Q64" s="33">
        <f t="shared" si="78"/>
        <v>16</v>
      </c>
      <c r="R64" s="33">
        <f t="shared" si="79"/>
        <v>16</v>
      </c>
      <c r="S64" s="33">
        <f t="shared" si="80"/>
        <v>0</v>
      </c>
      <c r="T64" s="110">
        <v>0</v>
      </c>
      <c r="U64" s="110">
        <v>0</v>
      </c>
      <c r="V64" s="110">
        <v>0.5</v>
      </c>
      <c r="W64" s="110">
        <v>0.5</v>
      </c>
      <c r="X64" s="111">
        <v>0</v>
      </c>
      <c r="Y64" s="109" t="str">
        <f t="shared" si="81"/>
        <v>Turbo HE + UCC</v>
      </c>
      <c r="Z64" s="33">
        <v>32</v>
      </c>
      <c r="AA64" s="33">
        <f t="shared" si="82"/>
        <v>6</v>
      </c>
      <c r="AB64" s="33">
        <f t="shared" si="83"/>
        <v>13</v>
      </c>
      <c r="AC64" s="33">
        <f t="shared" si="84"/>
        <v>10</v>
      </c>
      <c r="AD64" s="33">
        <f t="shared" si="85"/>
        <v>3</v>
      </c>
      <c r="AE64" s="33">
        <f t="shared" si="86"/>
        <v>1</v>
      </c>
      <c r="AF64" s="110">
        <v>0.18</v>
      </c>
      <c r="AG64" s="110">
        <v>0.4</v>
      </c>
      <c r="AH64" s="110">
        <v>0.3</v>
      </c>
      <c r="AI64" s="110">
        <v>0.1</v>
      </c>
      <c r="AJ64" s="111">
        <v>0.02</v>
      </c>
      <c r="AK64" s="109" t="str">
        <f t="shared" si="87"/>
        <v>Turbo HE + UCC</v>
      </c>
      <c r="AL64" s="118"/>
      <c r="AM64" s="33">
        <f t="shared" si="88"/>
        <v>0</v>
      </c>
      <c r="AN64" s="33">
        <f t="shared" si="89"/>
        <v>0</v>
      </c>
      <c r="AO64" s="33">
        <f t="shared" si="90"/>
        <v>0</v>
      </c>
      <c r="AP64" s="33">
        <f t="shared" si="91"/>
        <v>0</v>
      </c>
      <c r="AQ64" s="33">
        <f t="shared" si="92"/>
        <v>0</v>
      </c>
      <c r="AR64" s="132"/>
      <c r="AS64" s="132"/>
      <c r="AT64" s="132"/>
      <c r="AU64" s="132"/>
      <c r="AV64" s="133"/>
      <c r="AX64" s="16">
        <v>37.400000000000013</v>
      </c>
      <c r="AY64" s="16">
        <v>37.400000000000013</v>
      </c>
    </row>
    <row r="65" spans="1:53">
      <c r="A65" s="109" t="s">
        <v>518</v>
      </c>
      <c r="B65" s="33" cm="1">
        <f t="array" ref="B65">IF(INDEX('Dropdown list'!$G$1:$J$94,MATCH('Project information'!$A$4&amp;'Project information'!$B$7,'Dropdown list'!$G$1:$G$94&amp;'Dropdown list'!$I$1:$I$94,0),4)="Y",AX65,AY65)</f>
        <v>0</v>
      </c>
      <c r="C65" s="33">
        <f t="shared" si="70"/>
        <v>0</v>
      </c>
      <c r="D65" s="33">
        <f t="shared" si="71"/>
        <v>0</v>
      </c>
      <c r="E65" s="33">
        <f t="shared" si="72"/>
        <v>0</v>
      </c>
      <c r="F65" s="33">
        <f t="shared" si="73"/>
        <v>0</v>
      </c>
      <c r="G65" s="33">
        <f t="shared" si="74"/>
        <v>0</v>
      </c>
      <c r="H65" s="120">
        <v>0</v>
      </c>
      <c r="I65" s="120">
        <v>0</v>
      </c>
      <c r="J65" s="120">
        <v>0</v>
      </c>
      <c r="K65" s="120">
        <v>0</v>
      </c>
      <c r="L65" s="121">
        <v>0</v>
      </c>
      <c r="M65" s="109" t="str">
        <f t="shared" si="75"/>
        <v>UCC</v>
      </c>
      <c r="N65" s="33">
        <v>16</v>
      </c>
      <c r="O65" s="33">
        <f t="shared" si="76"/>
        <v>0</v>
      </c>
      <c r="P65" s="33">
        <f t="shared" si="77"/>
        <v>0</v>
      </c>
      <c r="Q65" s="33">
        <f t="shared" si="78"/>
        <v>8</v>
      </c>
      <c r="R65" s="33">
        <f t="shared" si="79"/>
        <v>8</v>
      </c>
      <c r="S65" s="33">
        <f t="shared" si="80"/>
        <v>0</v>
      </c>
      <c r="T65" s="110">
        <v>0</v>
      </c>
      <c r="U65" s="110">
        <v>0</v>
      </c>
      <c r="V65" s="110">
        <v>0.5</v>
      </c>
      <c r="W65" s="110">
        <v>0.5</v>
      </c>
      <c r="X65" s="111">
        <v>0</v>
      </c>
      <c r="Y65" s="109" t="str">
        <f t="shared" si="81"/>
        <v>UCC</v>
      </c>
      <c r="Z65" s="33">
        <v>0</v>
      </c>
      <c r="AA65" s="33">
        <f t="shared" si="82"/>
        <v>0</v>
      </c>
      <c r="AB65" s="33">
        <f t="shared" si="83"/>
        <v>0</v>
      </c>
      <c r="AC65" s="33">
        <f t="shared" si="84"/>
        <v>0</v>
      </c>
      <c r="AD65" s="33">
        <f t="shared" si="85"/>
        <v>0</v>
      </c>
      <c r="AE65" s="33">
        <f t="shared" si="86"/>
        <v>0</v>
      </c>
      <c r="AF65" s="110">
        <v>0.18</v>
      </c>
      <c r="AG65" s="110">
        <v>0.4</v>
      </c>
      <c r="AH65" s="110">
        <v>0.3</v>
      </c>
      <c r="AI65" s="110">
        <v>0.1</v>
      </c>
      <c r="AJ65" s="111">
        <v>0.02</v>
      </c>
      <c r="AK65" s="109" t="str">
        <f t="shared" si="87"/>
        <v>UCC</v>
      </c>
      <c r="AL65" s="118"/>
      <c r="AM65" s="33">
        <f t="shared" si="88"/>
        <v>0</v>
      </c>
      <c r="AN65" s="33">
        <f t="shared" si="89"/>
        <v>0</v>
      </c>
      <c r="AO65" s="33">
        <f t="shared" si="90"/>
        <v>0</v>
      </c>
      <c r="AP65" s="33">
        <f t="shared" si="91"/>
        <v>0</v>
      </c>
      <c r="AQ65" s="33">
        <f t="shared" si="92"/>
        <v>0</v>
      </c>
      <c r="AR65" s="132"/>
      <c r="AS65" s="132"/>
      <c r="AT65" s="132"/>
      <c r="AU65" s="132"/>
      <c r="AV65" s="133"/>
      <c r="AX65" s="16">
        <v>0</v>
      </c>
      <c r="AY65" s="16">
        <v>0</v>
      </c>
    </row>
    <row r="66" spans="1:53">
      <c r="A66" s="109" t="s">
        <v>520</v>
      </c>
      <c r="B66" s="33" cm="1">
        <f t="array" ref="B66">IF(INDEX('Dropdown list'!$G$1:$J$94,MATCH('Project information'!$A$4&amp;'Project information'!$B$7,'Dropdown list'!$G$1:$G$94&amp;'Dropdown list'!$I$1:$I$94,0),4)="Y",AX66,AY66)</f>
        <v>126</v>
      </c>
      <c r="C66" s="33">
        <f t="shared" si="70"/>
        <v>23</v>
      </c>
      <c r="D66" s="33">
        <f t="shared" si="71"/>
        <v>47</v>
      </c>
      <c r="E66" s="33">
        <f t="shared" si="72"/>
        <v>47</v>
      </c>
      <c r="F66" s="33">
        <f t="shared" si="73"/>
        <v>5</v>
      </c>
      <c r="G66" s="33">
        <f t="shared" si="74"/>
        <v>5</v>
      </c>
      <c r="H66" s="110">
        <v>0.18</v>
      </c>
      <c r="I66" s="110">
        <v>0.37</v>
      </c>
      <c r="J66" s="110">
        <v>0.37</v>
      </c>
      <c r="K66" s="110">
        <v>0.04</v>
      </c>
      <c r="L66" s="111">
        <v>0.04</v>
      </c>
      <c r="M66" s="109" t="str">
        <f t="shared" si="75"/>
        <v>Box</v>
      </c>
      <c r="N66" s="33">
        <v>120</v>
      </c>
      <c r="O66" s="33">
        <f t="shared" si="76"/>
        <v>22</v>
      </c>
      <c r="P66" s="33">
        <f t="shared" si="77"/>
        <v>44</v>
      </c>
      <c r="Q66" s="33">
        <f t="shared" si="78"/>
        <v>44</v>
      </c>
      <c r="R66" s="33">
        <f t="shared" si="79"/>
        <v>5</v>
      </c>
      <c r="S66" s="33">
        <f t="shared" si="80"/>
        <v>5</v>
      </c>
      <c r="T66" s="110">
        <v>0.18</v>
      </c>
      <c r="U66" s="110">
        <v>0.37</v>
      </c>
      <c r="V66" s="110">
        <v>0.37</v>
      </c>
      <c r="W66" s="110">
        <v>0.04</v>
      </c>
      <c r="X66" s="111">
        <v>0.04</v>
      </c>
      <c r="Y66" s="109" t="str">
        <f t="shared" si="81"/>
        <v>Box</v>
      </c>
      <c r="Z66" s="33">
        <v>120</v>
      </c>
      <c r="AA66" s="33">
        <f t="shared" si="82"/>
        <v>22</v>
      </c>
      <c r="AB66" s="33">
        <f t="shared" si="83"/>
        <v>44</v>
      </c>
      <c r="AC66" s="33">
        <f t="shared" si="84"/>
        <v>44</v>
      </c>
      <c r="AD66" s="33">
        <f t="shared" si="85"/>
        <v>5</v>
      </c>
      <c r="AE66" s="33">
        <f t="shared" si="86"/>
        <v>5</v>
      </c>
      <c r="AF66" s="110">
        <v>0.18</v>
      </c>
      <c r="AG66" s="110">
        <v>0.37</v>
      </c>
      <c r="AH66" s="110">
        <v>0.37</v>
      </c>
      <c r="AI66" s="110">
        <v>0.04</v>
      </c>
      <c r="AJ66" s="111">
        <v>0.04</v>
      </c>
      <c r="AK66" s="109" t="str">
        <f t="shared" si="87"/>
        <v>Box</v>
      </c>
      <c r="AL66" s="33">
        <v>120</v>
      </c>
      <c r="AM66" s="33">
        <f t="shared" si="88"/>
        <v>22</v>
      </c>
      <c r="AN66" s="33">
        <f t="shared" si="89"/>
        <v>44</v>
      </c>
      <c r="AO66" s="33">
        <f t="shared" si="90"/>
        <v>44</v>
      </c>
      <c r="AP66" s="33">
        <f t="shared" si="91"/>
        <v>5</v>
      </c>
      <c r="AQ66" s="33">
        <f t="shared" si="92"/>
        <v>5</v>
      </c>
      <c r="AR66" s="110">
        <v>0.18</v>
      </c>
      <c r="AS66" s="110">
        <v>0.37</v>
      </c>
      <c r="AT66" s="110">
        <v>0.37</v>
      </c>
      <c r="AU66" s="110">
        <v>0.04</v>
      </c>
      <c r="AV66" s="111">
        <v>0.04</v>
      </c>
      <c r="AX66" s="16">
        <v>126</v>
      </c>
      <c r="AY66" s="16">
        <v>126</v>
      </c>
    </row>
    <row r="67" spans="1:53">
      <c r="A67" s="109" t="s">
        <v>523</v>
      </c>
      <c r="B67" s="33" cm="1">
        <f t="array" ref="B67">IF(INDEX('Dropdown list'!$G$1:$J$94,MATCH('Project information'!$A$4&amp;'Project information'!$B$7,'Dropdown list'!$G$1:$G$94&amp;'Dropdown list'!$I$1:$I$94,0),4)="Y",AX67,AY67)</f>
        <v>0</v>
      </c>
      <c r="C67" s="33">
        <f t="shared" si="70"/>
        <v>0</v>
      </c>
      <c r="D67" s="33">
        <f t="shared" si="71"/>
        <v>0</v>
      </c>
      <c r="E67" s="33">
        <f t="shared" si="72"/>
        <v>0</v>
      </c>
      <c r="F67" s="33">
        <f t="shared" si="73"/>
        <v>0</v>
      </c>
      <c r="G67" s="33">
        <f t="shared" si="74"/>
        <v>0</v>
      </c>
      <c r="H67" s="110">
        <v>0.18</v>
      </c>
      <c r="I67" s="110">
        <v>0.37</v>
      </c>
      <c r="J67" s="110">
        <v>0.37</v>
      </c>
      <c r="K67" s="110">
        <v>0.04</v>
      </c>
      <c r="L67" s="111">
        <v>0.04</v>
      </c>
      <c r="M67" s="109" t="str">
        <f t="shared" si="75"/>
        <v>Decomposition pipe</v>
      </c>
      <c r="N67" s="33">
        <v>0</v>
      </c>
      <c r="O67" s="33">
        <f t="shared" si="76"/>
        <v>0</v>
      </c>
      <c r="P67" s="33">
        <f t="shared" si="77"/>
        <v>0</v>
      </c>
      <c r="Q67" s="33">
        <f t="shared" si="78"/>
        <v>0</v>
      </c>
      <c r="R67" s="33">
        <f t="shared" si="79"/>
        <v>0</v>
      </c>
      <c r="S67" s="33">
        <f t="shared" si="80"/>
        <v>0</v>
      </c>
      <c r="T67" s="110">
        <v>0.18</v>
      </c>
      <c r="U67" s="110">
        <v>0.37</v>
      </c>
      <c r="V67" s="110">
        <v>0.37</v>
      </c>
      <c r="W67" s="110">
        <v>0.04</v>
      </c>
      <c r="X67" s="111">
        <v>0.04</v>
      </c>
      <c r="Y67" s="109" t="str">
        <f t="shared" si="81"/>
        <v>Decomposition pipe</v>
      </c>
      <c r="Z67" s="33">
        <v>0</v>
      </c>
      <c r="AA67" s="33">
        <f t="shared" si="82"/>
        <v>0</v>
      </c>
      <c r="AB67" s="33">
        <f t="shared" si="83"/>
        <v>0</v>
      </c>
      <c r="AC67" s="33">
        <f t="shared" si="84"/>
        <v>0</v>
      </c>
      <c r="AD67" s="33">
        <f t="shared" si="85"/>
        <v>0</v>
      </c>
      <c r="AE67" s="33">
        <f t="shared" si="86"/>
        <v>0</v>
      </c>
      <c r="AF67" s="110">
        <v>0.18</v>
      </c>
      <c r="AG67" s="110">
        <v>0.37</v>
      </c>
      <c r="AH67" s="110">
        <v>0.37</v>
      </c>
      <c r="AI67" s="110">
        <v>0.04</v>
      </c>
      <c r="AJ67" s="111">
        <v>0.04</v>
      </c>
      <c r="AK67" s="109" t="str">
        <f t="shared" si="87"/>
        <v>Decomposition pipe</v>
      </c>
      <c r="AL67" s="33">
        <v>0</v>
      </c>
      <c r="AM67" s="33">
        <f t="shared" si="88"/>
        <v>0</v>
      </c>
      <c r="AN67" s="33">
        <f t="shared" si="89"/>
        <v>0</v>
      </c>
      <c r="AO67" s="33">
        <f t="shared" si="90"/>
        <v>0</v>
      </c>
      <c r="AP67" s="33">
        <f t="shared" si="91"/>
        <v>0</v>
      </c>
      <c r="AQ67" s="33">
        <f t="shared" si="92"/>
        <v>0</v>
      </c>
      <c r="AR67" s="110">
        <v>0.18</v>
      </c>
      <c r="AS67" s="110">
        <v>0.37</v>
      </c>
      <c r="AT67" s="110">
        <v>0.37</v>
      </c>
      <c r="AU67" s="110">
        <v>0.04</v>
      </c>
      <c r="AV67" s="111">
        <v>0.04</v>
      </c>
      <c r="AX67" s="16">
        <v>0</v>
      </c>
      <c r="AY67" s="16">
        <v>0</v>
      </c>
    </row>
    <row r="68" spans="1:53">
      <c r="A68" s="109" t="s">
        <v>524</v>
      </c>
      <c r="B68" s="33" cm="1">
        <f t="array" ref="B68">IF(INDEX('Dropdown list'!$G$1:$J$94,MATCH('Project information'!$A$4&amp;'Project information'!$B$7,'Dropdown list'!$G$1:$G$94&amp;'Dropdown list'!$I$1:$I$94,0),4)="Y",AX68,AY68)</f>
        <v>53</v>
      </c>
      <c r="C68" s="33">
        <f t="shared" si="70"/>
        <v>10</v>
      </c>
      <c r="D68" s="33">
        <f t="shared" si="71"/>
        <v>20</v>
      </c>
      <c r="E68" s="33">
        <f t="shared" si="72"/>
        <v>20</v>
      </c>
      <c r="F68" s="33">
        <f t="shared" si="73"/>
        <v>2</v>
      </c>
      <c r="G68" s="33">
        <f t="shared" si="74"/>
        <v>2</v>
      </c>
      <c r="H68" s="110">
        <v>0.18</v>
      </c>
      <c r="I68" s="110">
        <v>0.37</v>
      </c>
      <c r="J68" s="110">
        <v>0.37</v>
      </c>
      <c r="K68" s="110">
        <v>0.04</v>
      </c>
      <c r="L68" s="111">
        <v>0.04</v>
      </c>
      <c r="M68" s="109" t="str">
        <f t="shared" si="75"/>
        <v>Inline</v>
      </c>
      <c r="N68" s="33">
        <v>50</v>
      </c>
      <c r="O68" s="33">
        <f t="shared" si="76"/>
        <v>9</v>
      </c>
      <c r="P68" s="33">
        <f t="shared" si="77"/>
        <v>19</v>
      </c>
      <c r="Q68" s="33">
        <f t="shared" si="78"/>
        <v>19</v>
      </c>
      <c r="R68" s="33">
        <f t="shared" si="79"/>
        <v>2</v>
      </c>
      <c r="S68" s="33">
        <f t="shared" si="80"/>
        <v>2</v>
      </c>
      <c r="T68" s="110">
        <v>0.18</v>
      </c>
      <c r="U68" s="110">
        <v>0.37</v>
      </c>
      <c r="V68" s="110">
        <v>0.37</v>
      </c>
      <c r="W68" s="110">
        <v>0.04</v>
      </c>
      <c r="X68" s="111">
        <v>0.04</v>
      </c>
      <c r="Y68" s="109" t="str">
        <f t="shared" si="81"/>
        <v>Inline</v>
      </c>
      <c r="Z68" s="33">
        <v>50</v>
      </c>
      <c r="AA68" s="33">
        <f t="shared" si="82"/>
        <v>9</v>
      </c>
      <c r="AB68" s="33">
        <f t="shared" si="83"/>
        <v>19</v>
      </c>
      <c r="AC68" s="33">
        <f t="shared" si="84"/>
        <v>19</v>
      </c>
      <c r="AD68" s="33">
        <f t="shared" si="85"/>
        <v>2</v>
      </c>
      <c r="AE68" s="33">
        <f t="shared" si="86"/>
        <v>2</v>
      </c>
      <c r="AF68" s="110">
        <v>0.18</v>
      </c>
      <c r="AG68" s="110">
        <v>0.37</v>
      </c>
      <c r="AH68" s="110">
        <v>0.37</v>
      </c>
      <c r="AI68" s="110">
        <v>0.04</v>
      </c>
      <c r="AJ68" s="111">
        <v>0.04</v>
      </c>
      <c r="AK68" s="109" t="str">
        <f t="shared" si="87"/>
        <v>Inline</v>
      </c>
      <c r="AL68" s="33">
        <v>50</v>
      </c>
      <c r="AM68" s="33">
        <f t="shared" si="88"/>
        <v>9</v>
      </c>
      <c r="AN68" s="33">
        <f t="shared" si="89"/>
        <v>19</v>
      </c>
      <c r="AO68" s="33">
        <f t="shared" si="90"/>
        <v>19</v>
      </c>
      <c r="AP68" s="33">
        <f t="shared" si="91"/>
        <v>2</v>
      </c>
      <c r="AQ68" s="33">
        <f t="shared" si="92"/>
        <v>2</v>
      </c>
      <c r="AR68" s="110">
        <v>0.18</v>
      </c>
      <c r="AS68" s="110">
        <v>0.37</v>
      </c>
      <c r="AT68" s="110">
        <v>0.37</v>
      </c>
      <c r="AU68" s="110">
        <v>0.04</v>
      </c>
      <c r="AV68" s="111">
        <v>0.04</v>
      </c>
      <c r="AX68" s="16">
        <v>53</v>
      </c>
      <c r="AY68" s="16">
        <v>53</v>
      </c>
    </row>
    <row r="69" spans="1:53">
      <c r="A69" s="109" t="s">
        <v>526</v>
      </c>
      <c r="B69" s="33" cm="1">
        <f t="array" ref="B69">IF(INDEX('Dropdown list'!$G$1:$J$94,MATCH('Project information'!$A$4&amp;'Project information'!$B$7,'Dropdown list'!$G$1:$G$94&amp;'Dropdown list'!$I$1:$I$94,0),4)="Y",AX69,AY69)</f>
        <v>0</v>
      </c>
      <c r="C69" s="33">
        <f t="shared" si="70"/>
        <v>0</v>
      </c>
      <c r="D69" s="33">
        <f t="shared" si="71"/>
        <v>0</v>
      </c>
      <c r="E69" s="33">
        <f t="shared" si="72"/>
        <v>0</v>
      </c>
      <c r="F69" s="33">
        <f t="shared" si="73"/>
        <v>0</v>
      </c>
      <c r="G69" s="33">
        <f t="shared" si="74"/>
        <v>0</v>
      </c>
      <c r="H69" s="110">
        <v>0.18</v>
      </c>
      <c r="I69" s="110">
        <v>0.37</v>
      </c>
      <c r="J69" s="110">
        <v>0.37</v>
      </c>
      <c r="K69" s="110">
        <v>0.04</v>
      </c>
      <c r="L69" s="111">
        <v>0.04</v>
      </c>
      <c r="M69" s="109" t="str">
        <f t="shared" si="75"/>
        <v>Compact Mixer</v>
      </c>
      <c r="N69" s="33">
        <v>0</v>
      </c>
      <c r="O69" s="33">
        <f t="shared" si="76"/>
        <v>0</v>
      </c>
      <c r="P69" s="33">
        <f t="shared" si="77"/>
        <v>0</v>
      </c>
      <c r="Q69" s="33">
        <f t="shared" si="78"/>
        <v>0</v>
      </c>
      <c r="R69" s="33">
        <f t="shared" si="79"/>
        <v>0</v>
      </c>
      <c r="S69" s="33">
        <f t="shared" si="80"/>
        <v>0</v>
      </c>
      <c r="T69" s="110">
        <v>0.18</v>
      </c>
      <c r="U69" s="110">
        <v>0.37</v>
      </c>
      <c r="V69" s="110">
        <v>0.37</v>
      </c>
      <c r="W69" s="110">
        <v>0.04</v>
      </c>
      <c r="X69" s="111">
        <v>0.04</v>
      </c>
      <c r="Y69" s="109" t="str">
        <f t="shared" si="81"/>
        <v>Compact Mixer</v>
      </c>
      <c r="Z69" s="33">
        <v>0</v>
      </c>
      <c r="AA69" s="33">
        <f t="shared" si="82"/>
        <v>0</v>
      </c>
      <c r="AB69" s="33">
        <f t="shared" si="83"/>
        <v>0</v>
      </c>
      <c r="AC69" s="33">
        <f t="shared" si="84"/>
        <v>0</v>
      </c>
      <c r="AD69" s="33">
        <f t="shared" si="85"/>
        <v>0</v>
      </c>
      <c r="AE69" s="33">
        <f t="shared" si="86"/>
        <v>0</v>
      </c>
      <c r="AF69" s="110">
        <v>0.18</v>
      </c>
      <c r="AG69" s="110">
        <v>0.37</v>
      </c>
      <c r="AH69" s="110">
        <v>0.37</v>
      </c>
      <c r="AI69" s="110">
        <v>0.04</v>
      </c>
      <c r="AJ69" s="111">
        <v>0.04</v>
      </c>
      <c r="AK69" s="109" t="str">
        <f t="shared" si="87"/>
        <v>Compact Mixer</v>
      </c>
      <c r="AL69" s="33">
        <v>0</v>
      </c>
      <c r="AM69" s="33">
        <f t="shared" si="88"/>
        <v>0</v>
      </c>
      <c r="AN69" s="33">
        <f t="shared" si="89"/>
        <v>0</v>
      </c>
      <c r="AO69" s="33">
        <f t="shared" si="90"/>
        <v>0</v>
      </c>
      <c r="AP69" s="33">
        <f t="shared" si="91"/>
        <v>0</v>
      </c>
      <c r="AQ69" s="33">
        <f t="shared" si="92"/>
        <v>0</v>
      </c>
      <c r="AR69" s="110">
        <v>0.18</v>
      </c>
      <c r="AS69" s="110">
        <v>0.37</v>
      </c>
      <c r="AT69" s="110">
        <v>0.37</v>
      </c>
      <c r="AU69" s="110">
        <v>0.04</v>
      </c>
      <c r="AV69" s="111">
        <v>0.04</v>
      </c>
      <c r="AX69" s="16">
        <v>0</v>
      </c>
      <c r="AY69" s="16">
        <v>0</v>
      </c>
    </row>
    <row r="70" spans="1:53">
      <c r="A70" s="109" t="s">
        <v>528</v>
      </c>
      <c r="B70" s="33" cm="1">
        <f t="array" ref="B70">IF(INDEX('Dropdown list'!$G$1:$J$94,MATCH('Project information'!$A$4&amp;'Project information'!$B$7,'Dropdown list'!$G$1:$G$94&amp;'Dropdown list'!$I$1:$I$94,0),4)="Y",AX70,AY70)</f>
        <v>53</v>
      </c>
      <c r="C70" s="33">
        <f t="shared" si="70"/>
        <v>10</v>
      </c>
      <c r="D70" s="33">
        <f t="shared" si="71"/>
        <v>20</v>
      </c>
      <c r="E70" s="33">
        <f t="shared" si="72"/>
        <v>20</v>
      </c>
      <c r="F70" s="33">
        <f t="shared" si="73"/>
        <v>2</v>
      </c>
      <c r="G70" s="33">
        <f t="shared" si="74"/>
        <v>2</v>
      </c>
      <c r="H70" s="110">
        <v>0.18</v>
      </c>
      <c r="I70" s="110">
        <v>0.37</v>
      </c>
      <c r="J70" s="110">
        <v>0.37</v>
      </c>
      <c r="K70" s="110">
        <v>0.04</v>
      </c>
      <c r="L70" s="111">
        <v>0.04</v>
      </c>
      <c r="M70" s="109" t="str">
        <f t="shared" si="75"/>
        <v>Switch back</v>
      </c>
      <c r="N70" s="33">
        <v>50</v>
      </c>
      <c r="O70" s="33">
        <f t="shared" si="76"/>
        <v>9</v>
      </c>
      <c r="P70" s="33">
        <f t="shared" si="77"/>
        <v>19</v>
      </c>
      <c r="Q70" s="33">
        <f t="shared" si="78"/>
        <v>19</v>
      </c>
      <c r="R70" s="33">
        <f t="shared" si="79"/>
        <v>2</v>
      </c>
      <c r="S70" s="33">
        <f t="shared" si="80"/>
        <v>2</v>
      </c>
      <c r="T70" s="110">
        <v>0.18</v>
      </c>
      <c r="U70" s="110">
        <v>0.37</v>
      </c>
      <c r="V70" s="110">
        <v>0.37</v>
      </c>
      <c r="W70" s="110">
        <v>0.04</v>
      </c>
      <c r="X70" s="111">
        <v>0.04</v>
      </c>
      <c r="Y70" s="109" t="str">
        <f t="shared" si="81"/>
        <v>Switch back</v>
      </c>
      <c r="Z70" s="33">
        <v>50</v>
      </c>
      <c r="AA70" s="33">
        <f t="shared" si="82"/>
        <v>9</v>
      </c>
      <c r="AB70" s="33">
        <f t="shared" si="83"/>
        <v>19</v>
      </c>
      <c r="AC70" s="33">
        <f t="shared" si="84"/>
        <v>19</v>
      </c>
      <c r="AD70" s="33">
        <f t="shared" si="85"/>
        <v>2</v>
      </c>
      <c r="AE70" s="33">
        <f t="shared" si="86"/>
        <v>2</v>
      </c>
      <c r="AF70" s="110">
        <v>0.18</v>
      </c>
      <c r="AG70" s="110">
        <v>0.37</v>
      </c>
      <c r="AH70" s="110">
        <v>0.37</v>
      </c>
      <c r="AI70" s="110">
        <v>0.04</v>
      </c>
      <c r="AJ70" s="111">
        <v>0.04</v>
      </c>
      <c r="AK70" s="109" t="str">
        <f t="shared" si="87"/>
        <v>Switch back</v>
      </c>
      <c r="AL70" s="33">
        <v>50</v>
      </c>
      <c r="AM70" s="33">
        <f t="shared" si="88"/>
        <v>9</v>
      </c>
      <c r="AN70" s="33">
        <f t="shared" si="89"/>
        <v>19</v>
      </c>
      <c r="AO70" s="33">
        <f t="shared" si="90"/>
        <v>19</v>
      </c>
      <c r="AP70" s="33">
        <f t="shared" si="91"/>
        <v>2</v>
      </c>
      <c r="AQ70" s="33">
        <f t="shared" si="92"/>
        <v>2</v>
      </c>
      <c r="AR70" s="110">
        <v>0.18</v>
      </c>
      <c r="AS70" s="110">
        <v>0.37</v>
      </c>
      <c r="AT70" s="110">
        <v>0.37</v>
      </c>
      <c r="AU70" s="110">
        <v>0.04</v>
      </c>
      <c r="AV70" s="111">
        <v>0.04</v>
      </c>
      <c r="AX70" s="16">
        <v>53</v>
      </c>
      <c r="AY70" s="16">
        <v>53</v>
      </c>
    </row>
    <row r="71" spans="1:53">
      <c r="A71" s="109" t="s">
        <v>531</v>
      </c>
      <c r="B71" s="33" cm="1">
        <f t="array" ref="B71">IF(INDEX('Dropdown list'!$G$1:$J$94,MATCH('Project information'!$A$4&amp;'Project information'!$B$7,'Dropdown list'!$G$1:$G$94&amp;'Dropdown list'!$I$1:$I$94,0),4)="Y",AX71,AY71)</f>
        <v>0</v>
      </c>
      <c r="C71" s="33">
        <f t="shared" si="70"/>
        <v>0</v>
      </c>
      <c r="D71" s="33">
        <f t="shared" si="71"/>
        <v>0</v>
      </c>
      <c r="E71" s="33">
        <f t="shared" si="72"/>
        <v>0</v>
      </c>
      <c r="F71" s="33">
        <f t="shared" si="73"/>
        <v>0</v>
      </c>
      <c r="G71" s="33">
        <f t="shared" si="74"/>
        <v>0</v>
      </c>
      <c r="H71" s="110">
        <v>0.18</v>
      </c>
      <c r="I71" s="110">
        <v>0.37</v>
      </c>
      <c r="J71" s="110">
        <v>0.37</v>
      </c>
      <c r="K71" s="110">
        <v>0.04</v>
      </c>
      <c r="L71" s="111">
        <v>0.04</v>
      </c>
      <c r="M71" s="109" t="str">
        <f t="shared" si="75"/>
        <v>U-Mixer</v>
      </c>
      <c r="N71" s="33">
        <v>0</v>
      </c>
      <c r="O71" s="33">
        <f t="shared" si="76"/>
        <v>0</v>
      </c>
      <c r="P71" s="33">
        <f t="shared" si="77"/>
        <v>0</v>
      </c>
      <c r="Q71" s="33">
        <f t="shared" si="78"/>
        <v>0</v>
      </c>
      <c r="R71" s="33">
        <f t="shared" si="79"/>
        <v>0</v>
      </c>
      <c r="S71" s="33">
        <f t="shared" si="80"/>
        <v>0</v>
      </c>
      <c r="T71" s="110">
        <v>0.18</v>
      </c>
      <c r="U71" s="110">
        <v>0.37</v>
      </c>
      <c r="V71" s="110">
        <v>0.37</v>
      </c>
      <c r="W71" s="110">
        <v>0.04</v>
      </c>
      <c r="X71" s="111">
        <v>0.04</v>
      </c>
      <c r="Y71" s="109" t="str">
        <f t="shared" si="81"/>
        <v>U-Mixer</v>
      </c>
      <c r="Z71" s="33">
        <v>0</v>
      </c>
      <c r="AA71" s="33">
        <f t="shared" si="82"/>
        <v>0</v>
      </c>
      <c r="AB71" s="33">
        <f t="shared" si="83"/>
        <v>0</v>
      </c>
      <c r="AC71" s="33">
        <f t="shared" si="84"/>
        <v>0</v>
      </c>
      <c r="AD71" s="33">
        <f t="shared" si="85"/>
        <v>0</v>
      </c>
      <c r="AE71" s="33">
        <f t="shared" si="86"/>
        <v>0</v>
      </c>
      <c r="AF71" s="110">
        <v>0.18</v>
      </c>
      <c r="AG71" s="110">
        <v>0.37</v>
      </c>
      <c r="AH71" s="110">
        <v>0.37</v>
      </c>
      <c r="AI71" s="110">
        <v>0.04</v>
      </c>
      <c r="AJ71" s="111">
        <v>0.04</v>
      </c>
      <c r="AK71" s="109" t="str">
        <f t="shared" si="87"/>
        <v>U-Mixer</v>
      </c>
      <c r="AL71" s="33">
        <v>0</v>
      </c>
      <c r="AM71" s="33">
        <f t="shared" si="88"/>
        <v>0</v>
      </c>
      <c r="AN71" s="33">
        <f t="shared" si="89"/>
        <v>0</v>
      </c>
      <c r="AO71" s="33">
        <f t="shared" si="90"/>
        <v>0</v>
      </c>
      <c r="AP71" s="33">
        <f t="shared" si="91"/>
        <v>0</v>
      </c>
      <c r="AQ71" s="33">
        <f t="shared" si="92"/>
        <v>0</v>
      </c>
      <c r="AR71" s="110">
        <v>0.18</v>
      </c>
      <c r="AS71" s="110">
        <v>0.37</v>
      </c>
      <c r="AT71" s="110">
        <v>0.37</v>
      </c>
      <c r="AU71" s="110">
        <v>0.04</v>
      </c>
      <c r="AV71" s="111">
        <v>0.04</v>
      </c>
      <c r="AX71" s="16">
        <v>0</v>
      </c>
      <c r="AY71" s="16">
        <v>0</v>
      </c>
    </row>
    <row r="72" spans="1:53" ht="13" thickBot="1">
      <c r="A72" s="112" t="s">
        <v>534</v>
      </c>
      <c r="B72" s="113" cm="1">
        <f t="array" ref="B72">IF(INDEX('Dropdown list'!$G$1:$J$94,MATCH('Project information'!$A$4&amp;'Project information'!$B$7,'Dropdown list'!$G$1:$G$94&amp;'Dropdown list'!$I$1:$I$94,0),4)="Y",AX72,AY72)</f>
        <v>53</v>
      </c>
      <c r="C72" s="113">
        <f t="shared" si="70"/>
        <v>10</v>
      </c>
      <c r="D72" s="113">
        <f t="shared" si="71"/>
        <v>20</v>
      </c>
      <c r="E72" s="113">
        <f t="shared" si="72"/>
        <v>20</v>
      </c>
      <c r="F72" s="113">
        <f t="shared" si="73"/>
        <v>2</v>
      </c>
      <c r="G72" s="113">
        <f t="shared" si="74"/>
        <v>2</v>
      </c>
      <c r="H72" s="114">
        <v>0.18</v>
      </c>
      <c r="I72" s="114">
        <v>0.37</v>
      </c>
      <c r="J72" s="114">
        <v>0.37</v>
      </c>
      <c r="K72" s="114">
        <v>0.04</v>
      </c>
      <c r="L72" s="115">
        <v>0.04</v>
      </c>
      <c r="M72" s="112" t="str">
        <f t="shared" si="75"/>
        <v>U-shape</v>
      </c>
      <c r="N72" s="113">
        <v>50</v>
      </c>
      <c r="O72" s="113">
        <f t="shared" si="76"/>
        <v>9</v>
      </c>
      <c r="P72" s="113">
        <f t="shared" si="77"/>
        <v>19</v>
      </c>
      <c r="Q72" s="113">
        <f t="shared" si="78"/>
        <v>19</v>
      </c>
      <c r="R72" s="113">
        <f t="shared" si="79"/>
        <v>2</v>
      </c>
      <c r="S72" s="113">
        <f t="shared" si="80"/>
        <v>2</v>
      </c>
      <c r="T72" s="114">
        <v>0.18</v>
      </c>
      <c r="U72" s="114">
        <v>0.37</v>
      </c>
      <c r="V72" s="114">
        <v>0.37</v>
      </c>
      <c r="W72" s="114">
        <v>0.04</v>
      </c>
      <c r="X72" s="115">
        <v>0.04</v>
      </c>
      <c r="Y72" s="112" t="s">
        <v>534</v>
      </c>
      <c r="Z72" s="113">
        <v>50</v>
      </c>
      <c r="AA72" s="113">
        <f t="shared" si="82"/>
        <v>9</v>
      </c>
      <c r="AB72" s="113">
        <f t="shared" si="83"/>
        <v>19</v>
      </c>
      <c r="AC72" s="113">
        <f t="shared" si="84"/>
        <v>19</v>
      </c>
      <c r="AD72" s="113">
        <f t="shared" si="85"/>
        <v>2</v>
      </c>
      <c r="AE72" s="113">
        <f t="shared" si="86"/>
        <v>2</v>
      </c>
      <c r="AF72" s="114">
        <v>0.18</v>
      </c>
      <c r="AG72" s="114">
        <v>0.37</v>
      </c>
      <c r="AH72" s="114">
        <v>0.37</v>
      </c>
      <c r="AI72" s="114">
        <v>0.04</v>
      </c>
      <c r="AJ72" s="115">
        <v>0.04</v>
      </c>
      <c r="AK72" s="112" t="s">
        <v>534</v>
      </c>
      <c r="AL72" s="113">
        <v>50</v>
      </c>
      <c r="AM72" s="113">
        <f t="shared" si="88"/>
        <v>9</v>
      </c>
      <c r="AN72" s="113">
        <f t="shared" si="89"/>
        <v>19</v>
      </c>
      <c r="AO72" s="113">
        <f t="shared" si="90"/>
        <v>19</v>
      </c>
      <c r="AP72" s="113">
        <f t="shared" si="91"/>
        <v>2</v>
      </c>
      <c r="AQ72" s="113">
        <f t="shared" si="92"/>
        <v>2</v>
      </c>
      <c r="AR72" s="114">
        <v>0.18</v>
      </c>
      <c r="AS72" s="114">
        <v>0.37</v>
      </c>
      <c r="AT72" s="114">
        <v>0.37</v>
      </c>
      <c r="AU72" s="114">
        <v>0.04</v>
      </c>
      <c r="AV72" s="115">
        <v>0.04</v>
      </c>
      <c r="AX72" s="16">
        <v>53</v>
      </c>
      <c r="AY72" s="16">
        <v>53</v>
      </c>
    </row>
    <row r="73" spans="1:53" s="56" customFormat="1" ht="37.5">
      <c r="A73" s="107" t="s">
        <v>460</v>
      </c>
      <c r="B73" s="108" t="s">
        <v>156</v>
      </c>
      <c r="C73" s="124" t="s">
        <v>120</v>
      </c>
      <c r="D73" s="124" t="s">
        <v>121</v>
      </c>
      <c r="E73" s="124" t="s">
        <v>122</v>
      </c>
      <c r="F73" s="126" t="s">
        <v>123</v>
      </c>
      <c r="G73" s="126" t="s">
        <v>124</v>
      </c>
      <c r="H73" s="127" t="s">
        <v>120</v>
      </c>
      <c r="I73" s="125" t="s">
        <v>121</v>
      </c>
      <c r="J73" s="125" t="s">
        <v>122</v>
      </c>
      <c r="K73" s="127" t="s">
        <v>123</v>
      </c>
      <c r="L73" s="128" t="s">
        <v>124</v>
      </c>
      <c r="M73" s="107" t="s">
        <v>93</v>
      </c>
      <c r="N73" s="108" t="str">
        <f>B73</f>
        <v>Durability Specialist</v>
      </c>
      <c r="O73" s="124" t="s">
        <v>120</v>
      </c>
      <c r="P73" s="124" t="s">
        <v>121</v>
      </c>
      <c r="Q73" s="124" t="s">
        <v>122</v>
      </c>
      <c r="R73" s="126" t="s">
        <v>123</v>
      </c>
      <c r="S73" s="126" t="s">
        <v>124</v>
      </c>
      <c r="T73" s="127" t="s">
        <v>120</v>
      </c>
      <c r="U73" s="125" t="s">
        <v>121</v>
      </c>
      <c r="V73" s="125" t="s">
        <v>122</v>
      </c>
      <c r="W73" s="127" t="s">
        <v>123</v>
      </c>
      <c r="X73" s="128" t="s">
        <v>124</v>
      </c>
      <c r="Y73" s="107" t="s">
        <v>483</v>
      </c>
      <c r="Z73" s="108" t="str">
        <f>N73</f>
        <v>Durability Specialist</v>
      </c>
      <c r="AA73" s="124" t="s">
        <v>120</v>
      </c>
      <c r="AB73" s="124" t="s">
        <v>121</v>
      </c>
      <c r="AC73" s="124" t="s">
        <v>122</v>
      </c>
      <c r="AD73" s="126" t="s">
        <v>123</v>
      </c>
      <c r="AE73" s="126" t="s">
        <v>124</v>
      </c>
      <c r="AF73" s="127" t="s">
        <v>120</v>
      </c>
      <c r="AG73" s="125" t="s">
        <v>121</v>
      </c>
      <c r="AH73" s="125" t="s">
        <v>122</v>
      </c>
      <c r="AI73" s="127" t="s">
        <v>123</v>
      </c>
      <c r="AJ73" s="128" t="s">
        <v>124</v>
      </c>
      <c r="AK73" s="107" t="s">
        <v>482</v>
      </c>
      <c r="AL73" s="108" t="str">
        <f>Z73</f>
        <v>Durability Specialist</v>
      </c>
      <c r="AM73" s="124" t="s">
        <v>120</v>
      </c>
      <c r="AN73" s="124" t="s">
        <v>121</v>
      </c>
      <c r="AO73" s="124" t="s">
        <v>122</v>
      </c>
      <c r="AP73" s="126" t="s">
        <v>123</v>
      </c>
      <c r="AQ73" s="126" t="s">
        <v>124</v>
      </c>
      <c r="AR73" s="127" t="s">
        <v>120</v>
      </c>
      <c r="AS73" s="125" t="s">
        <v>121</v>
      </c>
      <c r="AT73" s="125" t="s">
        <v>122</v>
      </c>
      <c r="AU73" s="127" t="s">
        <v>123</v>
      </c>
      <c r="AV73" s="128" t="s">
        <v>124</v>
      </c>
      <c r="AX73" s="56" t="s">
        <v>1340</v>
      </c>
      <c r="AY73" s="56" t="s">
        <v>1340</v>
      </c>
      <c r="AZ73" s="56" t="s">
        <v>1341</v>
      </c>
      <c r="BA73" s="56" t="s">
        <v>1341</v>
      </c>
    </row>
    <row r="74" spans="1:53">
      <c r="A74" s="109" t="s">
        <v>490</v>
      </c>
      <c r="B74" s="223" cm="1">
        <f t="array" ref="B74">IF(INDEX('Dropdown list'!$G$1:$J$94,MATCH('Project information'!$A$4&amp;'Project information'!$B$7,'Dropdown list'!$G$1:$G$94&amp;'Dropdown list'!$I$1:$I$94,0),4)="Y",IF('Project information'!$F$3="PDL",AX74,AZ74),IF('Project information'!$F$3="PDL",AY74,BA74))</f>
        <v>88</v>
      </c>
      <c r="C74" s="33">
        <f t="shared" ref="C74:C90" si="93">ROUND($B74*H74,0)</f>
        <v>8</v>
      </c>
      <c r="D74" s="33">
        <f t="shared" ref="D74:D90" si="94">ROUND($B74*I74,0)</f>
        <v>23</v>
      </c>
      <c r="E74" s="33">
        <f t="shared" ref="E74:E90" si="95">ROUND($B74*J74,0)</f>
        <v>46</v>
      </c>
      <c r="F74" s="33">
        <f t="shared" ref="F74:F90" si="96">ROUND($B74*K74,0)</f>
        <v>9</v>
      </c>
      <c r="G74" s="33">
        <f t="shared" ref="G74:G90" si="97">ROUND($B74*L74,0)</f>
        <v>3</v>
      </c>
      <c r="H74" s="120">
        <v>0.09</v>
      </c>
      <c r="I74" s="120">
        <v>0.26</v>
      </c>
      <c r="J74" s="120">
        <v>0.52</v>
      </c>
      <c r="K74" s="120">
        <v>0.1</v>
      </c>
      <c r="L74" s="121">
        <v>0.03</v>
      </c>
      <c r="M74" s="109" t="str">
        <f t="shared" ref="M74:M90" si="98">$A74</f>
        <v>Cold End Complex</v>
      </c>
      <c r="N74" s="33">
        <v>20</v>
      </c>
      <c r="O74" s="33">
        <f t="shared" ref="O74:O90" si="99">ROUND($N74*T74,0)</f>
        <v>3</v>
      </c>
      <c r="P74" s="33">
        <f t="shared" ref="P74:P90" si="100">ROUND($N74*U74,0)</f>
        <v>7</v>
      </c>
      <c r="Q74" s="33">
        <f t="shared" ref="Q74:Q90" si="101">ROUND($N74*V74,0)</f>
        <v>7</v>
      </c>
      <c r="R74" s="33">
        <f t="shared" ref="R74:R90" si="102">ROUND($N74*W74,0)</f>
        <v>3</v>
      </c>
      <c r="S74" s="33">
        <f t="shared" ref="S74:S90" si="103">ROUND($N74*X74,0)</f>
        <v>0</v>
      </c>
      <c r="T74" s="120">
        <v>0.15</v>
      </c>
      <c r="U74" s="120">
        <v>0.35</v>
      </c>
      <c r="V74" s="120">
        <v>0.35</v>
      </c>
      <c r="W74" s="120">
        <v>0.15</v>
      </c>
      <c r="X74" s="121">
        <v>0</v>
      </c>
      <c r="Y74" s="109" t="str">
        <f t="shared" ref="Y74:Y89" si="104">$A74</f>
        <v>Cold End Complex</v>
      </c>
      <c r="Z74" s="33">
        <v>120</v>
      </c>
      <c r="AA74" s="33">
        <f t="shared" ref="AA74:AA90" si="105">ROUND($Z74*AF74,0)</f>
        <v>18</v>
      </c>
      <c r="AB74" s="33">
        <f t="shared" ref="AB74:AB90" si="106">ROUND($Z74*AG74,0)</f>
        <v>36</v>
      </c>
      <c r="AC74" s="33">
        <f t="shared" ref="AC74:AC90" si="107">ROUND($Z74*AH74,0)</f>
        <v>42</v>
      </c>
      <c r="AD74" s="33">
        <f t="shared" ref="AD74:AD90" si="108">ROUND($Z74*AI74,0)</f>
        <v>22</v>
      </c>
      <c r="AE74" s="33">
        <f t="shared" ref="AE74:AE90" si="109">ROUND($Z74*AJ74,0)</f>
        <v>2</v>
      </c>
      <c r="AF74" s="120">
        <v>0.15</v>
      </c>
      <c r="AG74" s="120">
        <v>0.3</v>
      </c>
      <c r="AH74" s="120">
        <v>0.35</v>
      </c>
      <c r="AI74" s="120">
        <v>0.18</v>
      </c>
      <c r="AJ74" s="121">
        <v>0.02</v>
      </c>
      <c r="AK74" s="109" t="str">
        <f t="shared" ref="AK74:AK89" si="110">$A74</f>
        <v>Cold End Complex</v>
      </c>
      <c r="AL74" s="33"/>
      <c r="AM74" s="33">
        <f t="shared" ref="AM74:AM90" si="111">ROUND($AL74*AR74,0)</f>
        <v>0</v>
      </c>
      <c r="AN74" s="33">
        <f t="shared" ref="AN74:AN90" si="112">ROUND($AL74*AS74,0)</f>
        <v>0</v>
      </c>
      <c r="AO74" s="33">
        <f t="shared" ref="AO74:AO90" si="113">ROUND($AL74*AT74,0)</f>
        <v>0</v>
      </c>
      <c r="AP74" s="33">
        <f t="shared" ref="AP74:AP90" si="114">ROUND($AL74*AU74,0)</f>
        <v>0</v>
      </c>
      <c r="AQ74" s="33">
        <f t="shared" ref="AQ74:AQ90" si="115">ROUND($AL74*AV74,0)</f>
        <v>0</v>
      </c>
      <c r="AR74" s="120"/>
      <c r="AS74" s="120"/>
      <c r="AT74" s="120"/>
      <c r="AU74" s="120"/>
      <c r="AV74" s="121"/>
      <c r="AX74" s="16">
        <v>88</v>
      </c>
      <c r="AY74" s="16">
        <v>88</v>
      </c>
      <c r="AZ74" s="220">
        <v>10.66666666666667</v>
      </c>
      <c r="BA74" s="220">
        <v>10.66666666666667</v>
      </c>
    </row>
    <row r="75" spans="1:53">
      <c r="A75" s="109" t="s">
        <v>494</v>
      </c>
      <c r="B75" s="223" cm="1">
        <f t="array" ref="B75">IF(INDEX('Dropdown list'!$G$1:$J$94,MATCH('Project information'!$A$4&amp;'Project information'!$B$7,'Dropdown list'!$G$1:$G$94&amp;'Dropdown list'!$I$1:$I$94,0),4)="Y",IF('Project information'!$F$3="PDL",AX75,AZ75),IF('Project information'!$F$3="PDL",AY75,BA75))</f>
        <v>82.5</v>
      </c>
      <c r="C75" s="33">
        <f t="shared" si="93"/>
        <v>7</v>
      </c>
      <c r="D75" s="33">
        <f t="shared" si="94"/>
        <v>21</v>
      </c>
      <c r="E75" s="33">
        <f t="shared" si="95"/>
        <v>43</v>
      </c>
      <c r="F75" s="33">
        <f t="shared" si="96"/>
        <v>8</v>
      </c>
      <c r="G75" s="33">
        <f t="shared" si="97"/>
        <v>2</v>
      </c>
      <c r="H75" s="120">
        <v>0.09</v>
      </c>
      <c r="I75" s="120">
        <v>0.26</v>
      </c>
      <c r="J75" s="120">
        <v>0.52</v>
      </c>
      <c r="K75" s="120">
        <v>0.1</v>
      </c>
      <c r="L75" s="121">
        <v>0.03</v>
      </c>
      <c r="M75" s="109" t="str">
        <f t="shared" si="98"/>
        <v>Cold End Simple</v>
      </c>
      <c r="N75" s="33">
        <v>20</v>
      </c>
      <c r="O75" s="33">
        <f t="shared" si="99"/>
        <v>3</v>
      </c>
      <c r="P75" s="33">
        <f t="shared" si="100"/>
        <v>7</v>
      </c>
      <c r="Q75" s="33">
        <f t="shared" si="101"/>
        <v>7</v>
      </c>
      <c r="R75" s="33">
        <f t="shared" si="102"/>
        <v>3</v>
      </c>
      <c r="S75" s="33">
        <f t="shared" si="103"/>
        <v>0</v>
      </c>
      <c r="T75" s="120">
        <v>0.15</v>
      </c>
      <c r="U75" s="120">
        <v>0.35</v>
      </c>
      <c r="V75" s="120">
        <v>0.35</v>
      </c>
      <c r="W75" s="120">
        <v>0.15</v>
      </c>
      <c r="X75" s="121">
        <v>0</v>
      </c>
      <c r="Y75" s="109" t="str">
        <f t="shared" si="104"/>
        <v>Cold End Simple</v>
      </c>
      <c r="Z75" s="33">
        <v>80</v>
      </c>
      <c r="AA75" s="33">
        <f t="shared" si="105"/>
        <v>12</v>
      </c>
      <c r="AB75" s="33">
        <f t="shared" si="106"/>
        <v>24</v>
      </c>
      <c r="AC75" s="33">
        <f t="shared" si="107"/>
        <v>28</v>
      </c>
      <c r="AD75" s="33">
        <f t="shared" si="108"/>
        <v>14</v>
      </c>
      <c r="AE75" s="33">
        <f t="shared" si="109"/>
        <v>2</v>
      </c>
      <c r="AF75" s="120">
        <v>0.15</v>
      </c>
      <c r="AG75" s="120">
        <v>0.3</v>
      </c>
      <c r="AH75" s="120">
        <v>0.35</v>
      </c>
      <c r="AI75" s="120">
        <v>0.18</v>
      </c>
      <c r="AJ75" s="121">
        <v>0.02</v>
      </c>
      <c r="AK75" s="109" t="str">
        <f t="shared" si="110"/>
        <v>Cold End Simple</v>
      </c>
      <c r="AL75" s="33"/>
      <c r="AM75" s="33">
        <f t="shared" si="111"/>
        <v>0</v>
      </c>
      <c r="AN75" s="33">
        <f t="shared" si="112"/>
        <v>0</v>
      </c>
      <c r="AO75" s="33">
        <f t="shared" si="113"/>
        <v>0</v>
      </c>
      <c r="AP75" s="33">
        <f t="shared" si="114"/>
        <v>0</v>
      </c>
      <c r="AQ75" s="33">
        <f t="shared" si="115"/>
        <v>0</v>
      </c>
      <c r="AR75" s="120"/>
      <c r="AS75" s="120"/>
      <c r="AT75" s="120"/>
      <c r="AU75" s="120"/>
      <c r="AV75" s="121"/>
      <c r="AX75" s="16">
        <v>82.5</v>
      </c>
      <c r="AY75" s="16">
        <v>82.5</v>
      </c>
      <c r="AZ75" s="220">
        <v>10</v>
      </c>
      <c r="BA75" s="220">
        <v>10</v>
      </c>
    </row>
    <row r="76" spans="1:53">
      <c r="A76" s="109" t="s">
        <v>498</v>
      </c>
      <c r="B76" s="223" cm="1">
        <f t="array" ref="B76">IF(INDEX('Dropdown list'!$G$1:$J$94,MATCH('Project information'!$A$4&amp;'Project information'!$B$7,'Dropdown list'!$G$1:$G$94&amp;'Dropdown list'!$I$1:$I$94,0),4)="Y",IF('Project information'!$F$3="PDL",AX76,AZ76),IF('Project information'!$F$3="PDL",AY76,BA76))</f>
        <v>223.3</v>
      </c>
      <c r="C76" s="33">
        <f t="shared" si="93"/>
        <v>20</v>
      </c>
      <c r="D76" s="33">
        <f t="shared" si="94"/>
        <v>80</v>
      </c>
      <c r="E76" s="33">
        <f t="shared" si="95"/>
        <v>94</v>
      </c>
      <c r="F76" s="33">
        <f t="shared" si="96"/>
        <v>22</v>
      </c>
      <c r="G76" s="33">
        <f t="shared" si="97"/>
        <v>7</v>
      </c>
      <c r="H76" s="120">
        <v>0.09</v>
      </c>
      <c r="I76" s="120">
        <v>0.36</v>
      </c>
      <c r="J76" s="120">
        <v>0.42</v>
      </c>
      <c r="K76" s="120">
        <v>0.1</v>
      </c>
      <c r="L76" s="121">
        <v>0.03</v>
      </c>
      <c r="M76" s="109" t="str">
        <f t="shared" si="98"/>
        <v>Diesel (DOC+DPF)</v>
      </c>
      <c r="N76" s="33">
        <v>62</v>
      </c>
      <c r="O76" s="33">
        <f t="shared" si="99"/>
        <v>12</v>
      </c>
      <c r="P76" s="33">
        <f t="shared" si="100"/>
        <v>16</v>
      </c>
      <c r="Q76" s="33">
        <f t="shared" si="101"/>
        <v>20</v>
      </c>
      <c r="R76" s="33">
        <f t="shared" si="102"/>
        <v>12</v>
      </c>
      <c r="S76" s="33">
        <f t="shared" si="103"/>
        <v>2</v>
      </c>
      <c r="T76" s="120">
        <v>0.19354838709677419</v>
      </c>
      <c r="U76" s="120">
        <v>0.25806451612903231</v>
      </c>
      <c r="V76" s="120">
        <v>0.32258064516129031</v>
      </c>
      <c r="W76" s="120">
        <v>0.19354838709677419</v>
      </c>
      <c r="X76" s="121">
        <v>3.2258064516129031E-2</v>
      </c>
      <c r="Y76" s="109" t="str">
        <f t="shared" si="104"/>
        <v>Diesel (DOC+DPF)</v>
      </c>
      <c r="Z76" s="33">
        <v>190</v>
      </c>
      <c r="AA76" s="33">
        <f t="shared" si="105"/>
        <v>29</v>
      </c>
      <c r="AB76" s="33">
        <f t="shared" si="106"/>
        <v>57</v>
      </c>
      <c r="AC76" s="33">
        <f t="shared" si="107"/>
        <v>67</v>
      </c>
      <c r="AD76" s="33">
        <f t="shared" si="108"/>
        <v>34</v>
      </c>
      <c r="AE76" s="33">
        <f t="shared" si="109"/>
        <v>4</v>
      </c>
      <c r="AF76" s="120">
        <v>0.15</v>
      </c>
      <c r="AG76" s="120">
        <v>0.3</v>
      </c>
      <c r="AH76" s="120">
        <v>0.35</v>
      </c>
      <c r="AI76" s="120">
        <v>0.18</v>
      </c>
      <c r="AJ76" s="121">
        <v>0.02</v>
      </c>
      <c r="AK76" s="109" t="str">
        <f t="shared" si="110"/>
        <v>Diesel (DOC+DPF)</v>
      </c>
      <c r="AL76" s="33"/>
      <c r="AM76" s="33">
        <f t="shared" si="111"/>
        <v>0</v>
      </c>
      <c r="AN76" s="33">
        <f t="shared" si="112"/>
        <v>0</v>
      </c>
      <c r="AO76" s="33">
        <f t="shared" si="113"/>
        <v>0</v>
      </c>
      <c r="AP76" s="33">
        <f t="shared" si="114"/>
        <v>0</v>
      </c>
      <c r="AQ76" s="33">
        <f t="shared" si="115"/>
        <v>0</v>
      </c>
      <c r="AR76" s="120"/>
      <c r="AS76" s="120"/>
      <c r="AT76" s="120"/>
      <c r="AU76" s="120"/>
      <c r="AV76" s="121"/>
      <c r="AX76" s="16">
        <v>223.3</v>
      </c>
      <c r="AY76" s="16">
        <v>223.3</v>
      </c>
      <c r="AZ76" s="220">
        <v>27.06666666666667</v>
      </c>
      <c r="BA76" s="220">
        <v>27.06666666666667</v>
      </c>
    </row>
    <row r="77" spans="1:53" ht="37.5">
      <c r="A77" s="109" t="s">
        <v>500</v>
      </c>
      <c r="B77" s="223" cm="1">
        <f t="array" ref="B77">IF(INDEX('Dropdown list'!$G$1:$J$94,MATCH('Project information'!$A$4&amp;'Project information'!$B$7,'Dropdown list'!$G$1:$G$94&amp;'Dropdown list'!$I$1:$I$94,0),4)="Y",IF('Project information'!$F$3="PDL",AX77,AZ77),IF('Project information'!$F$3="PDL",AY77,BA77))</f>
        <v>281.60000000000002</v>
      </c>
      <c r="C77" s="33">
        <f t="shared" si="93"/>
        <v>25</v>
      </c>
      <c r="D77" s="33">
        <f t="shared" si="94"/>
        <v>101</v>
      </c>
      <c r="E77" s="33">
        <f t="shared" si="95"/>
        <v>118</v>
      </c>
      <c r="F77" s="33">
        <f t="shared" si="96"/>
        <v>28</v>
      </c>
      <c r="G77" s="33">
        <f t="shared" si="97"/>
        <v>8</v>
      </c>
      <c r="H77" s="120">
        <v>0.09</v>
      </c>
      <c r="I77" s="120">
        <v>0.36</v>
      </c>
      <c r="J77" s="120">
        <v>0.42</v>
      </c>
      <c r="K77" s="120">
        <v>0.1</v>
      </c>
      <c r="L77" s="121">
        <v>0.03</v>
      </c>
      <c r="M77" s="109" t="str">
        <f t="shared" si="98"/>
        <v>Diesel (DOC+DPF+SCR) Underfloor (with underfloor mixer &amp; underfloor SCR)</v>
      </c>
      <c r="N77" s="33">
        <v>138</v>
      </c>
      <c r="O77" s="33">
        <f t="shared" si="99"/>
        <v>36</v>
      </c>
      <c r="P77" s="33">
        <f t="shared" si="100"/>
        <v>52</v>
      </c>
      <c r="Q77" s="33">
        <f t="shared" si="101"/>
        <v>32</v>
      </c>
      <c r="R77" s="33">
        <f t="shared" si="102"/>
        <v>16</v>
      </c>
      <c r="S77" s="33">
        <f t="shared" si="103"/>
        <v>2</v>
      </c>
      <c r="T77" s="120">
        <v>0.2608695652173913</v>
      </c>
      <c r="U77" s="120">
        <v>0.37681159420289861</v>
      </c>
      <c r="V77" s="120">
        <v>0.2318840579710145</v>
      </c>
      <c r="W77" s="120">
        <v>0.11594202898550721</v>
      </c>
      <c r="X77" s="121">
        <v>1.4492753623188409E-2</v>
      </c>
      <c r="Y77" s="109" t="str">
        <f t="shared" si="104"/>
        <v>Diesel (DOC+DPF+SCR) Underfloor (with underfloor mixer &amp; underfloor SCR)</v>
      </c>
      <c r="Z77" s="33">
        <v>240</v>
      </c>
      <c r="AA77" s="33">
        <f t="shared" si="105"/>
        <v>36</v>
      </c>
      <c r="AB77" s="33">
        <f t="shared" si="106"/>
        <v>72</v>
      </c>
      <c r="AC77" s="33">
        <f t="shared" si="107"/>
        <v>84</v>
      </c>
      <c r="AD77" s="33">
        <f t="shared" si="108"/>
        <v>43</v>
      </c>
      <c r="AE77" s="33">
        <f t="shared" si="109"/>
        <v>5</v>
      </c>
      <c r="AF77" s="120">
        <v>0.15</v>
      </c>
      <c r="AG77" s="120">
        <v>0.3</v>
      </c>
      <c r="AH77" s="120">
        <v>0.35</v>
      </c>
      <c r="AI77" s="120">
        <v>0.18</v>
      </c>
      <c r="AJ77" s="121">
        <v>0.02</v>
      </c>
      <c r="AK77" s="109" t="str">
        <f t="shared" si="110"/>
        <v>Diesel (DOC+DPF+SCR) Underfloor (with underfloor mixer &amp; underfloor SCR)</v>
      </c>
      <c r="AL77" s="33"/>
      <c r="AM77" s="33">
        <f t="shared" si="111"/>
        <v>0</v>
      </c>
      <c r="AN77" s="33">
        <f t="shared" si="112"/>
        <v>0</v>
      </c>
      <c r="AO77" s="33">
        <f t="shared" si="113"/>
        <v>0</v>
      </c>
      <c r="AP77" s="33">
        <f t="shared" si="114"/>
        <v>0</v>
      </c>
      <c r="AQ77" s="33">
        <f t="shared" si="115"/>
        <v>0</v>
      </c>
      <c r="AR77" s="120"/>
      <c r="AS77" s="120"/>
      <c r="AT77" s="120"/>
      <c r="AU77" s="120"/>
      <c r="AV77" s="121"/>
      <c r="AX77" s="16">
        <v>281.60000000000002</v>
      </c>
      <c r="AY77" s="16">
        <v>281.60000000000002</v>
      </c>
      <c r="AZ77" s="220">
        <v>281.60000000000002</v>
      </c>
      <c r="BA77" s="220">
        <v>281.60000000000002</v>
      </c>
    </row>
    <row r="78" spans="1:53" ht="37.5">
      <c r="A78" s="109" t="s">
        <v>505</v>
      </c>
      <c r="B78" s="223" cm="1">
        <f t="array" ref="B78">IF(INDEX('Dropdown list'!$G$1:$J$94,MATCH('Project information'!$A$4&amp;'Project information'!$B$7,'Dropdown list'!$G$1:$G$94&amp;'Dropdown list'!$I$1:$I$94,0),4)="Y",IF('Project information'!$F$3="PDL",AX78,AZ78),IF('Project information'!$F$3="PDL",AY78,BA78))</f>
        <v>304.7</v>
      </c>
      <c r="C78" s="33">
        <f t="shared" si="93"/>
        <v>27</v>
      </c>
      <c r="D78" s="33">
        <f t="shared" si="94"/>
        <v>110</v>
      </c>
      <c r="E78" s="33">
        <f t="shared" si="95"/>
        <v>128</v>
      </c>
      <c r="F78" s="33">
        <f t="shared" si="96"/>
        <v>30</v>
      </c>
      <c r="G78" s="33">
        <f t="shared" si="97"/>
        <v>9</v>
      </c>
      <c r="H78" s="120">
        <v>0.09</v>
      </c>
      <c r="I78" s="120">
        <v>0.36</v>
      </c>
      <c r="J78" s="120">
        <v>0.42</v>
      </c>
      <c r="K78" s="120">
        <v>0.1</v>
      </c>
      <c r="L78" s="121">
        <v>0.03</v>
      </c>
      <c r="M78" s="109" t="str">
        <f t="shared" si="98"/>
        <v>Diesel (DOC+SDPF) Compact (Compact mixer in CCC ex: U shape, Chistera...)</v>
      </c>
      <c r="N78" s="33">
        <v>94</v>
      </c>
      <c r="O78" s="33">
        <f t="shared" si="99"/>
        <v>16</v>
      </c>
      <c r="P78" s="33">
        <f t="shared" si="100"/>
        <v>20</v>
      </c>
      <c r="Q78" s="33">
        <f t="shared" si="101"/>
        <v>32</v>
      </c>
      <c r="R78" s="33">
        <f t="shared" si="102"/>
        <v>24</v>
      </c>
      <c r="S78" s="33">
        <f t="shared" si="103"/>
        <v>2</v>
      </c>
      <c r="T78" s="120">
        <v>0.1702127659574468</v>
      </c>
      <c r="U78" s="120">
        <v>0.21276595744680851</v>
      </c>
      <c r="V78" s="120">
        <v>0.34042553191489361</v>
      </c>
      <c r="W78" s="120">
        <v>0.25531914893617019</v>
      </c>
      <c r="X78" s="121">
        <v>2.1276595744680851E-2</v>
      </c>
      <c r="Y78" s="109" t="str">
        <f t="shared" si="104"/>
        <v>Diesel (DOC+SDPF) Compact (Compact mixer in CCC ex: U shape, Chistera...)</v>
      </c>
      <c r="Z78" s="33">
        <v>260</v>
      </c>
      <c r="AA78" s="33">
        <f t="shared" si="105"/>
        <v>39</v>
      </c>
      <c r="AB78" s="33">
        <f t="shared" si="106"/>
        <v>78</v>
      </c>
      <c r="AC78" s="33">
        <f t="shared" si="107"/>
        <v>91</v>
      </c>
      <c r="AD78" s="33">
        <f t="shared" si="108"/>
        <v>47</v>
      </c>
      <c r="AE78" s="33">
        <f t="shared" si="109"/>
        <v>5</v>
      </c>
      <c r="AF78" s="120">
        <v>0.15</v>
      </c>
      <c r="AG78" s="120">
        <v>0.3</v>
      </c>
      <c r="AH78" s="120">
        <v>0.35</v>
      </c>
      <c r="AI78" s="120">
        <v>0.18</v>
      </c>
      <c r="AJ78" s="121">
        <v>0.02</v>
      </c>
      <c r="AK78" s="109" t="str">
        <f t="shared" si="110"/>
        <v>Diesel (DOC+SDPF) Compact (Compact mixer in CCC ex: U shape, Chistera...)</v>
      </c>
      <c r="AL78" s="33"/>
      <c r="AM78" s="33">
        <f t="shared" si="111"/>
        <v>0</v>
      </c>
      <c r="AN78" s="33">
        <f t="shared" si="112"/>
        <v>0</v>
      </c>
      <c r="AO78" s="33">
        <f t="shared" si="113"/>
        <v>0</v>
      </c>
      <c r="AP78" s="33">
        <f t="shared" si="114"/>
        <v>0</v>
      </c>
      <c r="AQ78" s="33">
        <f t="shared" si="115"/>
        <v>0</v>
      </c>
      <c r="AR78" s="120"/>
      <c r="AS78" s="120"/>
      <c r="AT78" s="120"/>
      <c r="AU78" s="120"/>
      <c r="AV78" s="121"/>
      <c r="AX78" s="16">
        <v>304.7</v>
      </c>
      <c r="AY78" s="16">
        <v>304.7</v>
      </c>
      <c r="AZ78" s="220">
        <v>304.7</v>
      </c>
      <c r="BA78" s="220">
        <v>304.7</v>
      </c>
    </row>
    <row r="79" spans="1:53">
      <c r="A79" s="109" t="s">
        <v>509</v>
      </c>
      <c r="B79" s="223" cm="1">
        <f t="array" ref="B79">IF(INDEX('Dropdown list'!$G$1:$J$94,MATCH('Project information'!$A$4&amp;'Project information'!$B$7,'Dropdown list'!$G$1:$G$94&amp;'Dropdown list'!$I$1:$I$94,0),4)="Y",IF('Project information'!$F$3="PDL",AX79,AZ79),IF('Project information'!$F$3="PDL",AY79,BA79))</f>
        <v>122.1</v>
      </c>
      <c r="C79" s="33">
        <f t="shared" si="93"/>
        <v>11</v>
      </c>
      <c r="D79" s="33">
        <f t="shared" si="94"/>
        <v>44</v>
      </c>
      <c r="E79" s="33">
        <f t="shared" si="95"/>
        <v>51</v>
      </c>
      <c r="F79" s="33">
        <f t="shared" si="96"/>
        <v>12</v>
      </c>
      <c r="G79" s="33">
        <f t="shared" si="97"/>
        <v>4</v>
      </c>
      <c r="H79" s="120">
        <v>0.09</v>
      </c>
      <c r="I79" s="120">
        <v>0.36</v>
      </c>
      <c r="J79" s="120">
        <v>0.42</v>
      </c>
      <c r="K79" s="120">
        <v>0.1</v>
      </c>
      <c r="L79" s="121">
        <v>0.03</v>
      </c>
      <c r="M79" s="109" t="str">
        <f t="shared" si="98"/>
        <v>Manifold</v>
      </c>
      <c r="N79" s="33">
        <v>150</v>
      </c>
      <c r="O79" s="33">
        <f t="shared" si="99"/>
        <v>23</v>
      </c>
      <c r="P79" s="33">
        <f t="shared" si="100"/>
        <v>45</v>
      </c>
      <c r="Q79" s="33">
        <f t="shared" si="101"/>
        <v>53</v>
      </c>
      <c r="R79" s="33">
        <f t="shared" si="102"/>
        <v>27</v>
      </c>
      <c r="S79" s="33">
        <f t="shared" si="103"/>
        <v>3</v>
      </c>
      <c r="T79" s="120">
        <v>0.15</v>
      </c>
      <c r="U79" s="120">
        <v>0.3</v>
      </c>
      <c r="V79" s="120">
        <v>0.35</v>
      </c>
      <c r="W79" s="120">
        <v>0.18</v>
      </c>
      <c r="X79" s="121">
        <v>0.02</v>
      </c>
      <c r="Y79" s="109" t="str">
        <f t="shared" si="104"/>
        <v>Manifold</v>
      </c>
      <c r="Z79" s="33">
        <v>100</v>
      </c>
      <c r="AA79" s="33">
        <f t="shared" si="105"/>
        <v>15</v>
      </c>
      <c r="AB79" s="33">
        <f t="shared" si="106"/>
        <v>30</v>
      </c>
      <c r="AC79" s="33">
        <f t="shared" si="107"/>
        <v>35</v>
      </c>
      <c r="AD79" s="33">
        <f t="shared" si="108"/>
        <v>18</v>
      </c>
      <c r="AE79" s="33">
        <f t="shared" si="109"/>
        <v>2</v>
      </c>
      <c r="AF79" s="120">
        <v>0.15</v>
      </c>
      <c r="AG79" s="120">
        <v>0.3</v>
      </c>
      <c r="AH79" s="120">
        <v>0.35</v>
      </c>
      <c r="AI79" s="120">
        <v>0.18</v>
      </c>
      <c r="AJ79" s="121">
        <v>0.02</v>
      </c>
      <c r="AK79" s="109" t="str">
        <f t="shared" si="110"/>
        <v>Manifold</v>
      </c>
      <c r="AL79" s="33"/>
      <c r="AM79" s="33">
        <f t="shared" si="111"/>
        <v>0</v>
      </c>
      <c r="AN79" s="33">
        <f t="shared" si="112"/>
        <v>0</v>
      </c>
      <c r="AO79" s="33">
        <f t="shared" si="113"/>
        <v>0</v>
      </c>
      <c r="AP79" s="33">
        <f t="shared" si="114"/>
        <v>0</v>
      </c>
      <c r="AQ79" s="33">
        <f t="shared" si="115"/>
        <v>0</v>
      </c>
      <c r="AR79" s="120"/>
      <c r="AS79" s="120"/>
      <c r="AT79" s="120"/>
      <c r="AU79" s="120"/>
      <c r="AV79" s="121"/>
      <c r="AX79" s="16">
        <v>122.1</v>
      </c>
      <c r="AY79" s="16">
        <v>122.1</v>
      </c>
      <c r="AZ79" s="220">
        <v>14.8</v>
      </c>
      <c r="BA79" s="220">
        <v>14.8</v>
      </c>
    </row>
    <row r="80" spans="1:53">
      <c r="A80" s="109" t="s">
        <v>512</v>
      </c>
      <c r="B80" s="223" cm="1">
        <f t="array" ref="B80">IF(INDEX('Dropdown list'!$G$1:$J$94,MATCH('Project information'!$A$4&amp;'Project information'!$B$7,'Dropdown list'!$G$1:$G$94&amp;'Dropdown list'!$I$1:$I$94,0),4)="Y",IF('Project information'!$F$3="PDL",AX80,AZ80),IF('Project information'!$F$3="PDL",AY80,BA80))</f>
        <v>140.80000000000001</v>
      </c>
      <c r="C80" s="33">
        <f t="shared" si="93"/>
        <v>13</v>
      </c>
      <c r="D80" s="33">
        <f t="shared" si="94"/>
        <v>51</v>
      </c>
      <c r="E80" s="33">
        <f t="shared" si="95"/>
        <v>59</v>
      </c>
      <c r="F80" s="33">
        <f t="shared" si="96"/>
        <v>14</v>
      </c>
      <c r="G80" s="33">
        <f t="shared" si="97"/>
        <v>4</v>
      </c>
      <c r="H80" s="120">
        <v>0.09</v>
      </c>
      <c r="I80" s="120">
        <v>0.36</v>
      </c>
      <c r="J80" s="120">
        <v>0.42</v>
      </c>
      <c r="K80" s="120">
        <v>0.1</v>
      </c>
      <c r="L80" s="121">
        <v>0.03</v>
      </c>
      <c r="M80" s="109" t="str">
        <f t="shared" si="98"/>
        <v xml:space="preserve">Maniverter </v>
      </c>
      <c r="N80" s="33">
        <v>66</v>
      </c>
      <c r="O80" s="33">
        <f t="shared" si="99"/>
        <v>16</v>
      </c>
      <c r="P80" s="33">
        <f t="shared" si="100"/>
        <v>16</v>
      </c>
      <c r="Q80" s="33">
        <f t="shared" si="101"/>
        <v>20</v>
      </c>
      <c r="R80" s="33">
        <f t="shared" si="102"/>
        <v>12</v>
      </c>
      <c r="S80" s="33">
        <f t="shared" si="103"/>
        <v>2</v>
      </c>
      <c r="T80" s="120">
        <v>0.2424242424242424</v>
      </c>
      <c r="U80" s="120">
        <v>0.2424242424242424</v>
      </c>
      <c r="V80" s="120">
        <v>0.30303030303030298</v>
      </c>
      <c r="W80" s="120">
        <v>0.1818181818181818</v>
      </c>
      <c r="X80" s="121">
        <v>3.03030303030303E-2</v>
      </c>
      <c r="Y80" s="109" t="str">
        <f t="shared" si="104"/>
        <v xml:space="preserve">Maniverter </v>
      </c>
      <c r="Z80" s="33">
        <v>118</v>
      </c>
      <c r="AA80" s="33">
        <f t="shared" si="105"/>
        <v>18</v>
      </c>
      <c r="AB80" s="33">
        <f t="shared" si="106"/>
        <v>35</v>
      </c>
      <c r="AC80" s="33">
        <f t="shared" si="107"/>
        <v>41</v>
      </c>
      <c r="AD80" s="33">
        <f t="shared" si="108"/>
        <v>21</v>
      </c>
      <c r="AE80" s="33">
        <f t="shared" si="109"/>
        <v>2</v>
      </c>
      <c r="AF80" s="120">
        <v>0.15</v>
      </c>
      <c r="AG80" s="120">
        <v>0.3</v>
      </c>
      <c r="AH80" s="120">
        <v>0.35</v>
      </c>
      <c r="AI80" s="120">
        <v>0.18</v>
      </c>
      <c r="AJ80" s="121">
        <v>0.02</v>
      </c>
      <c r="AK80" s="109" t="str">
        <f t="shared" si="110"/>
        <v xml:space="preserve">Maniverter </v>
      </c>
      <c r="AL80" s="33"/>
      <c r="AM80" s="33">
        <f t="shared" si="111"/>
        <v>0</v>
      </c>
      <c r="AN80" s="33">
        <f t="shared" si="112"/>
        <v>0</v>
      </c>
      <c r="AO80" s="33">
        <f t="shared" si="113"/>
        <v>0</v>
      </c>
      <c r="AP80" s="33">
        <f t="shared" si="114"/>
        <v>0</v>
      </c>
      <c r="AQ80" s="33">
        <f t="shared" si="115"/>
        <v>0</v>
      </c>
      <c r="AR80" s="120"/>
      <c r="AS80" s="120"/>
      <c r="AT80" s="120"/>
      <c r="AU80" s="120"/>
      <c r="AV80" s="121"/>
      <c r="AX80" s="16">
        <v>140.80000000000001</v>
      </c>
      <c r="AY80" s="16">
        <v>140.80000000000001</v>
      </c>
      <c r="AZ80" s="220">
        <v>17.06666666666667</v>
      </c>
      <c r="BA80" s="220">
        <v>17.06666666666667</v>
      </c>
    </row>
    <row r="81" spans="1:53">
      <c r="A81" s="109" t="s">
        <v>514</v>
      </c>
      <c r="B81" s="223" cm="1">
        <f t="array" ref="B81">IF(INDEX('Dropdown list'!$G$1:$J$94,MATCH('Project information'!$A$4&amp;'Project information'!$B$7,'Dropdown list'!$G$1:$G$94&amp;'Dropdown list'!$I$1:$I$94,0),4)="Y",IF('Project information'!$F$3="PDL",AX81,AZ81),IF('Project information'!$F$3="PDL",AY81,BA81))</f>
        <v>179.7</v>
      </c>
      <c r="C81" s="33">
        <f t="shared" si="93"/>
        <v>16</v>
      </c>
      <c r="D81" s="33">
        <f t="shared" si="94"/>
        <v>65</v>
      </c>
      <c r="E81" s="33">
        <f t="shared" si="95"/>
        <v>75</v>
      </c>
      <c r="F81" s="33">
        <f t="shared" si="96"/>
        <v>18</v>
      </c>
      <c r="G81" s="33">
        <f t="shared" si="97"/>
        <v>5</v>
      </c>
      <c r="H81" s="120">
        <v>0.09</v>
      </c>
      <c r="I81" s="120">
        <v>0.36</v>
      </c>
      <c r="J81" s="120">
        <v>0.42</v>
      </c>
      <c r="K81" s="120">
        <v>0.1</v>
      </c>
      <c r="L81" s="121">
        <v>0.03</v>
      </c>
      <c r="M81" s="109" t="str">
        <f t="shared" si="98"/>
        <v>Turbo HE</v>
      </c>
      <c r="N81" s="33">
        <v>62</v>
      </c>
      <c r="O81" s="33">
        <f t="shared" si="99"/>
        <v>12</v>
      </c>
      <c r="P81" s="33">
        <f t="shared" si="100"/>
        <v>16</v>
      </c>
      <c r="Q81" s="33">
        <f t="shared" si="101"/>
        <v>20</v>
      </c>
      <c r="R81" s="33">
        <f t="shared" si="102"/>
        <v>12</v>
      </c>
      <c r="S81" s="33">
        <f t="shared" si="103"/>
        <v>2</v>
      </c>
      <c r="T81" s="120">
        <v>0.19354838709677419</v>
      </c>
      <c r="U81" s="120">
        <v>0.25806451612903231</v>
      </c>
      <c r="V81" s="120">
        <v>0.32258064516129031</v>
      </c>
      <c r="W81" s="120">
        <v>0.19354838709677419</v>
      </c>
      <c r="X81" s="121">
        <v>3.2258064516129031E-2</v>
      </c>
      <c r="Y81" s="109" t="str">
        <f t="shared" si="104"/>
        <v>Turbo HE</v>
      </c>
      <c r="Z81" s="33">
        <v>118</v>
      </c>
      <c r="AA81" s="33">
        <f t="shared" si="105"/>
        <v>18</v>
      </c>
      <c r="AB81" s="33">
        <f t="shared" si="106"/>
        <v>35</v>
      </c>
      <c r="AC81" s="33">
        <f t="shared" si="107"/>
        <v>41</v>
      </c>
      <c r="AD81" s="33">
        <f t="shared" si="108"/>
        <v>21</v>
      </c>
      <c r="AE81" s="33">
        <f t="shared" si="109"/>
        <v>2</v>
      </c>
      <c r="AF81" s="120">
        <v>0.15</v>
      </c>
      <c r="AG81" s="120">
        <v>0.3</v>
      </c>
      <c r="AH81" s="120">
        <v>0.35</v>
      </c>
      <c r="AI81" s="120">
        <v>0.18</v>
      </c>
      <c r="AJ81" s="121">
        <v>0.02</v>
      </c>
      <c r="AK81" s="109" t="str">
        <f t="shared" si="110"/>
        <v>Turbo HE</v>
      </c>
      <c r="AL81" s="33"/>
      <c r="AM81" s="33">
        <f t="shared" si="111"/>
        <v>0</v>
      </c>
      <c r="AN81" s="33">
        <f t="shared" si="112"/>
        <v>0</v>
      </c>
      <c r="AO81" s="33">
        <f t="shared" si="113"/>
        <v>0</v>
      </c>
      <c r="AP81" s="33">
        <f t="shared" si="114"/>
        <v>0</v>
      </c>
      <c r="AQ81" s="33">
        <f t="shared" si="115"/>
        <v>0</v>
      </c>
      <c r="AR81" s="120"/>
      <c r="AS81" s="120"/>
      <c r="AT81" s="120"/>
      <c r="AU81" s="120"/>
      <c r="AV81" s="121"/>
      <c r="AX81" s="204">
        <v>179.7</v>
      </c>
      <c r="AY81" s="204">
        <v>179.7</v>
      </c>
      <c r="AZ81" s="220">
        <v>20</v>
      </c>
      <c r="BA81" s="220">
        <v>20</v>
      </c>
    </row>
    <row r="82" spans="1:53">
      <c r="A82" s="109" t="s">
        <v>516</v>
      </c>
      <c r="B82" s="223" cm="1">
        <f t="array" ref="B82">IF(INDEX('Dropdown list'!$G$1:$J$94,MATCH('Project information'!$A$4&amp;'Project information'!$B$7,'Dropdown list'!$G$1:$G$94&amp;'Dropdown list'!$I$1:$I$94,0),4)="Y",IF('Project information'!$F$3="PDL",AX82,AZ82),IF('Project information'!$F$3="PDL",AY82,BA82))</f>
        <v>199.5</v>
      </c>
      <c r="C82" s="33">
        <f t="shared" si="93"/>
        <v>18</v>
      </c>
      <c r="D82" s="33">
        <f t="shared" si="94"/>
        <v>72</v>
      </c>
      <c r="E82" s="33">
        <f t="shared" si="95"/>
        <v>84</v>
      </c>
      <c r="F82" s="33">
        <f t="shared" si="96"/>
        <v>20</v>
      </c>
      <c r="G82" s="33">
        <f t="shared" si="97"/>
        <v>6</v>
      </c>
      <c r="H82" s="120">
        <v>0.09</v>
      </c>
      <c r="I82" s="120">
        <v>0.36</v>
      </c>
      <c r="J82" s="120">
        <v>0.42</v>
      </c>
      <c r="K82" s="120">
        <v>0.1</v>
      </c>
      <c r="L82" s="121">
        <v>0.03</v>
      </c>
      <c r="M82" s="109" t="str">
        <f t="shared" si="98"/>
        <v>Turbo HE + UCC</v>
      </c>
      <c r="N82" s="33">
        <v>94</v>
      </c>
      <c r="O82" s="33">
        <f t="shared" si="99"/>
        <v>27</v>
      </c>
      <c r="P82" s="33">
        <f t="shared" si="100"/>
        <v>36</v>
      </c>
      <c r="Q82" s="33">
        <f t="shared" si="101"/>
        <v>45</v>
      </c>
      <c r="R82" s="33">
        <f t="shared" si="102"/>
        <v>27</v>
      </c>
      <c r="S82" s="33">
        <f t="shared" si="103"/>
        <v>6</v>
      </c>
      <c r="T82" s="120">
        <v>0.29032258064516131</v>
      </c>
      <c r="U82" s="120">
        <v>0.38709677419354838</v>
      </c>
      <c r="V82" s="120">
        <v>0.4838709677419355</v>
      </c>
      <c r="W82" s="120">
        <v>0.29032258064516131</v>
      </c>
      <c r="X82" s="121">
        <v>6.4516129032258063E-2</v>
      </c>
      <c r="Y82" s="109" t="str">
        <f t="shared" si="104"/>
        <v>Turbo HE + UCC</v>
      </c>
      <c r="Z82" s="33">
        <v>135</v>
      </c>
      <c r="AA82" s="33">
        <f t="shared" si="105"/>
        <v>20</v>
      </c>
      <c r="AB82" s="33">
        <f t="shared" si="106"/>
        <v>41</v>
      </c>
      <c r="AC82" s="33">
        <f t="shared" si="107"/>
        <v>47</v>
      </c>
      <c r="AD82" s="33">
        <f t="shared" si="108"/>
        <v>24</v>
      </c>
      <c r="AE82" s="33">
        <f t="shared" si="109"/>
        <v>3</v>
      </c>
      <c r="AF82" s="120">
        <v>0.15</v>
      </c>
      <c r="AG82" s="120">
        <v>0.3</v>
      </c>
      <c r="AH82" s="120">
        <v>0.35</v>
      </c>
      <c r="AI82" s="120">
        <v>0.18</v>
      </c>
      <c r="AJ82" s="121">
        <v>0.02</v>
      </c>
      <c r="AK82" s="109" t="str">
        <f t="shared" si="110"/>
        <v>Turbo HE + UCC</v>
      </c>
      <c r="AL82" s="33"/>
      <c r="AM82" s="33">
        <f t="shared" si="111"/>
        <v>0</v>
      </c>
      <c r="AN82" s="33">
        <f t="shared" si="112"/>
        <v>0</v>
      </c>
      <c r="AO82" s="33">
        <f t="shared" si="113"/>
        <v>0</v>
      </c>
      <c r="AP82" s="33">
        <f t="shared" si="114"/>
        <v>0</v>
      </c>
      <c r="AQ82" s="33">
        <f t="shared" si="115"/>
        <v>0</v>
      </c>
      <c r="AR82" s="120"/>
      <c r="AS82" s="120"/>
      <c r="AT82" s="120"/>
      <c r="AU82" s="120"/>
      <c r="AV82" s="121"/>
      <c r="AX82" s="204">
        <v>199.5</v>
      </c>
      <c r="AY82" s="204">
        <v>199.5</v>
      </c>
      <c r="AZ82" s="220">
        <v>22.203672787979968</v>
      </c>
      <c r="BA82" s="220">
        <v>22.203672787979968</v>
      </c>
    </row>
    <row r="83" spans="1:53">
      <c r="A83" s="109" t="s">
        <v>518</v>
      </c>
      <c r="B83" s="223" cm="1">
        <f t="array" ref="B83">IF(INDEX('Dropdown list'!$G$1:$J$94,MATCH('Project information'!$A$4&amp;'Project information'!$B$7,'Dropdown list'!$G$1:$G$94&amp;'Dropdown list'!$I$1:$I$94,0),4)="Y",IF('Project information'!$F$3="PDL",AX83,AZ83),IF('Project information'!$F$3="PDL",AY83,BA83))</f>
        <v>85</v>
      </c>
      <c r="C83" s="33">
        <f t="shared" si="93"/>
        <v>8</v>
      </c>
      <c r="D83" s="33">
        <f t="shared" si="94"/>
        <v>31</v>
      </c>
      <c r="E83" s="33">
        <f t="shared" si="95"/>
        <v>36</v>
      </c>
      <c r="F83" s="33">
        <f t="shared" si="96"/>
        <v>9</v>
      </c>
      <c r="G83" s="33">
        <f t="shared" si="97"/>
        <v>3</v>
      </c>
      <c r="H83" s="120">
        <v>0.09</v>
      </c>
      <c r="I83" s="120">
        <v>0.36</v>
      </c>
      <c r="J83" s="120">
        <v>0.42</v>
      </c>
      <c r="K83" s="120">
        <v>0.1</v>
      </c>
      <c r="L83" s="121">
        <v>0.03</v>
      </c>
      <c r="M83" s="109" t="str">
        <f t="shared" si="98"/>
        <v>UCC</v>
      </c>
      <c r="N83" s="33">
        <v>32</v>
      </c>
      <c r="O83" s="33">
        <f t="shared" si="99"/>
        <v>6</v>
      </c>
      <c r="P83" s="33">
        <f t="shared" si="100"/>
        <v>8</v>
      </c>
      <c r="Q83" s="33">
        <f t="shared" si="101"/>
        <v>10</v>
      </c>
      <c r="R83" s="33">
        <f t="shared" si="102"/>
        <v>6</v>
      </c>
      <c r="S83" s="33">
        <f t="shared" si="103"/>
        <v>2</v>
      </c>
      <c r="T83" s="120">
        <v>0.1875</v>
      </c>
      <c r="U83" s="120">
        <v>0.25</v>
      </c>
      <c r="V83" s="120">
        <v>0.3125</v>
      </c>
      <c r="W83" s="120">
        <v>0.1875</v>
      </c>
      <c r="X83" s="121">
        <v>6.25E-2</v>
      </c>
      <c r="Y83" s="109" t="str">
        <f t="shared" si="104"/>
        <v>UCC</v>
      </c>
      <c r="Z83" s="33">
        <v>75</v>
      </c>
      <c r="AA83" s="33">
        <f t="shared" si="105"/>
        <v>11</v>
      </c>
      <c r="AB83" s="33">
        <f t="shared" si="106"/>
        <v>23</v>
      </c>
      <c r="AC83" s="33">
        <f t="shared" si="107"/>
        <v>26</v>
      </c>
      <c r="AD83" s="33">
        <f t="shared" si="108"/>
        <v>14</v>
      </c>
      <c r="AE83" s="33">
        <f t="shared" si="109"/>
        <v>2</v>
      </c>
      <c r="AF83" s="120">
        <v>0.15</v>
      </c>
      <c r="AG83" s="120">
        <v>0.3</v>
      </c>
      <c r="AH83" s="120">
        <v>0.35</v>
      </c>
      <c r="AI83" s="120">
        <v>0.18</v>
      </c>
      <c r="AJ83" s="121">
        <v>0.02</v>
      </c>
      <c r="AK83" s="109" t="str">
        <f t="shared" si="110"/>
        <v>UCC</v>
      </c>
      <c r="AL83" s="33"/>
      <c r="AM83" s="33">
        <f t="shared" si="111"/>
        <v>0</v>
      </c>
      <c r="AN83" s="33">
        <f t="shared" si="112"/>
        <v>0</v>
      </c>
      <c r="AO83" s="33">
        <f t="shared" si="113"/>
        <v>0</v>
      </c>
      <c r="AP83" s="33">
        <f t="shared" si="114"/>
        <v>0</v>
      </c>
      <c r="AQ83" s="33">
        <f t="shared" si="115"/>
        <v>0</v>
      </c>
      <c r="AR83" s="120"/>
      <c r="AS83" s="120"/>
      <c r="AT83" s="120"/>
      <c r="AU83" s="120"/>
      <c r="AV83" s="121"/>
      <c r="AX83" s="16">
        <v>85</v>
      </c>
      <c r="AY83" s="16">
        <v>85</v>
      </c>
      <c r="AZ83" s="220">
        <v>9.4602114635503618</v>
      </c>
      <c r="BA83" s="220">
        <v>9.4602114635503618</v>
      </c>
    </row>
    <row r="84" spans="1:53">
      <c r="A84" s="109" t="s">
        <v>520</v>
      </c>
      <c r="B84" s="223" cm="1">
        <f t="array" ref="B84">IF(INDEX('Dropdown list'!$G$1:$J$94,MATCH('Project information'!$A$4&amp;'Project information'!$B$7,'Dropdown list'!$G$1:$G$94&amp;'Dropdown list'!$I$1:$I$94,0),4)="Y",IF('Project information'!$F$3="PDL",AX84,AZ84),IF('Project information'!$F$3="PDL",AY84,BA84))</f>
        <v>651</v>
      </c>
      <c r="C84" s="33">
        <f t="shared" si="93"/>
        <v>57</v>
      </c>
      <c r="D84" s="33">
        <f t="shared" si="94"/>
        <v>243</v>
      </c>
      <c r="E84" s="33">
        <f t="shared" si="95"/>
        <v>243</v>
      </c>
      <c r="F84" s="33">
        <f t="shared" si="96"/>
        <v>96</v>
      </c>
      <c r="G84" s="33">
        <f t="shared" si="97"/>
        <v>12</v>
      </c>
      <c r="H84" s="120">
        <v>8.6999999999999994E-2</v>
      </c>
      <c r="I84" s="120">
        <v>0.373</v>
      </c>
      <c r="J84" s="120">
        <v>0.373</v>
      </c>
      <c r="K84" s="120">
        <v>0.14799999999999999</v>
      </c>
      <c r="L84" s="121">
        <v>1.9E-2</v>
      </c>
      <c r="M84" s="109" t="str">
        <f t="shared" si="98"/>
        <v>Box</v>
      </c>
      <c r="N84" s="33">
        <v>300</v>
      </c>
      <c r="O84" s="33">
        <f t="shared" si="99"/>
        <v>54</v>
      </c>
      <c r="P84" s="33">
        <f t="shared" si="100"/>
        <v>111</v>
      </c>
      <c r="Q84" s="33">
        <f t="shared" si="101"/>
        <v>111</v>
      </c>
      <c r="R84" s="33">
        <f t="shared" si="102"/>
        <v>12</v>
      </c>
      <c r="S84" s="33">
        <f t="shared" si="103"/>
        <v>12</v>
      </c>
      <c r="T84" s="120">
        <v>0.18</v>
      </c>
      <c r="U84" s="120">
        <v>0.37</v>
      </c>
      <c r="V84" s="120">
        <v>0.37</v>
      </c>
      <c r="W84" s="120">
        <v>0.04</v>
      </c>
      <c r="X84" s="121">
        <v>0.04</v>
      </c>
      <c r="Y84" s="109" t="str">
        <f t="shared" si="104"/>
        <v>Box</v>
      </c>
      <c r="Z84" s="33">
        <v>620</v>
      </c>
      <c r="AA84" s="33">
        <f t="shared" si="105"/>
        <v>112</v>
      </c>
      <c r="AB84" s="33">
        <f t="shared" si="106"/>
        <v>229</v>
      </c>
      <c r="AC84" s="33">
        <f t="shared" si="107"/>
        <v>229</v>
      </c>
      <c r="AD84" s="33">
        <f t="shared" si="108"/>
        <v>25</v>
      </c>
      <c r="AE84" s="33">
        <f t="shared" si="109"/>
        <v>25</v>
      </c>
      <c r="AF84" s="120">
        <v>0.18</v>
      </c>
      <c r="AG84" s="120">
        <v>0.37</v>
      </c>
      <c r="AH84" s="120">
        <v>0.37</v>
      </c>
      <c r="AI84" s="120">
        <v>0.04</v>
      </c>
      <c r="AJ84" s="121">
        <v>0.04</v>
      </c>
      <c r="AK84" s="109" t="str">
        <f t="shared" si="110"/>
        <v>Box</v>
      </c>
      <c r="AL84" s="33">
        <v>300</v>
      </c>
      <c r="AM84" s="33">
        <f t="shared" si="111"/>
        <v>54</v>
      </c>
      <c r="AN84" s="33">
        <f t="shared" si="112"/>
        <v>111</v>
      </c>
      <c r="AO84" s="33">
        <f t="shared" si="113"/>
        <v>111</v>
      </c>
      <c r="AP84" s="33">
        <f t="shared" si="114"/>
        <v>12</v>
      </c>
      <c r="AQ84" s="33">
        <f t="shared" si="115"/>
        <v>12</v>
      </c>
      <c r="AR84" s="120">
        <v>0.18</v>
      </c>
      <c r="AS84" s="120">
        <v>0.37</v>
      </c>
      <c r="AT84" s="120">
        <v>0.37</v>
      </c>
      <c r="AU84" s="120">
        <v>0.04</v>
      </c>
      <c r="AV84" s="121">
        <v>0.04</v>
      </c>
      <c r="AX84" s="16">
        <v>651</v>
      </c>
      <c r="AY84" s="16">
        <v>651</v>
      </c>
      <c r="AZ84" s="220">
        <v>651</v>
      </c>
      <c r="BA84" s="220">
        <v>651</v>
      </c>
    </row>
    <row r="85" spans="1:53">
      <c r="A85" s="109" t="s">
        <v>523</v>
      </c>
      <c r="B85" s="223" cm="1">
        <f t="array" ref="B85">IF(INDEX('Dropdown list'!$G$1:$J$94,MATCH('Project information'!$A$4&amp;'Project information'!$B$7,'Dropdown list'!$G$1:$G$94&amp;'Dropdown list'!$I$1:$I$94,0),4)="Y",IF('Project information'!$F$3="PDL",AX85,AZ85),IF('Project information'!$F$3="PDL",AY85,BA85))</f>
        <v>107</v>
      </c>
      <c r="C85" s="33">
        <f t="shared" si="93"/>
        <v>19</v>
      </c>
      <c r="D85" s="33">
        <f t="shared" si="94"/>
        <v>40</v>
      </c>
      <c r="E85" s="33">
        <f t="shared" si="95"/>
        <v>40</v>
      </c>
      <c r="F85" s="33">
        <f t="shared" si="96"/>
        <v>4</v>
      </c>
      <c r="G85" s="33">
        <f t="shared" si="97"/>
        <v>4</v>
      </c>
      <c r="H85" s="120">
        <v>0.18</v>
      </c>
      <c r="I85" s="120">
        <v>0.37</v>
      </c>
      <c r="J85" s="120">
        <v>0.37</v>
      </c>
      <c r="K85" s="120">
        <v>0.04</v>
      </c>
      <c r="L85" s="121">
        <v>0.04</v>
      </c>
      <c r="M85" s="109" t="str">
        <f t="shared" si="98"/>
        <v>Decomposition pipe</v>
      </c>
      <c r="N85" s="33">
        <v>100</v>
      </c>
      <c r="O85" s="33">
        <f t="shared" si="99"/>
        <v>18</v>
      </c>
      <c r="P85" s="33">
        <f t="shared" si="100"/>
        <v>37</v>
      </c>
      <c r="Q85" s="33">
        <f t="shared" si="101"/>
        <v>37</v>
      </c>
      <c r="R85" s="33">
        <f t="shared" si="102"/>
        <v>4</v>
      </c>
      <c r="S85" s="33">
        <f t="shared" si="103"/>
        <v>4</v>
      </c>
      <c r="T85" s="120">
        <v>0.18</v>
      </c>
      <c r="U85" s="120">
        <v>0.37</v>
      </c>
      <c r="V85" s="120">
        <v>0.37</v>
      </c>
      <c r="W85" s="120">
        <v>0.04</v>
      </c>
      <c r="X85" s="121">
        <v>0.04</v>
      </c>
      <c r="Y85" s="109" t="str">
        <f t="shared" si="104"/>
        <v>Decomposition pipe</v>
      </c>
      <c r="Z85" s="33">
        <v>100</v>
      </c>
      <c r="AA85" s="33">
        <f t="shared" si="105"/>
        <v>18</v>
      </c>
      <c r="AB85" s="33">
        <f t="shared" si="106"/>
        <v>37</v>
      </c>
      <c r="AC85" s="33">
        <f t="shared" si="107"/>
        <v>37</v>
      </c>
      <c r="AD85" s="33">
        <f t="shared" si="108"/>
        <v>4</v>
      </c>
      <c r="AE85" s="33">
        <f t="shared" si="109"/>
        <v>4</v>
      </c>
      <c r="AF85" s="120">
        <v>0.18</v>
      </c>
      <c r="AG85" s="120">
        <v>0.37</v>
      </c>
      <c r="AH85" s="120">
        <v>0.37</v>
      </c>
      <c r="AI85" s="120">
        <v>0.04</v>
      </c>
      <c r="AJ85" s="121">
        <v>0.04</v>
      </c>
      <c r="AK85" s="109" t="str">
        <f t="shared" si="110"/>
        <v>Decomposition pipe</v>
      </c>
      <c r="AL85" s="33">
        <v>100</v>
      </c>
      <c r="AM85" s="33">
        <f t="shared" si="111"/>
        <v>18</v>
      </c>
      <c r="AN85" s="33">
        <f t="shared" si="112"/>
        <v>37</v>
      </c>
      <c r="AO85" s="33">
        <f t="shared" si="113"/>
        <v>37</v>
      </c>
      <c r="AP85" s="33">
        <f t="shared" si="114"/>
        <v>4</v>
      </c>
      <c r="AQ85" s="33">
        <f t="shared" si="115"/>
        <v>4</v>
      </c>
      <c r="AR85" s="120">
        <v>0.18</v>
      </c>
      <c r="AS85" s="120">
        <v>0.37</v>
      </c>
      <c r="AT85" s="120">
        <v>0.37</v>
      </c>
      <c r="AU85" s="120">
        <v>0.04</v>
      </c>
      <c r="AV85" s="121">
        <v>0.04</v>
      </c>
      <c r="AX85" s="16">
        <v>107</v>
      </c>
      <c r="AY85" s="16">
        <v>107</v>
      </c>
      <c r="AZ85" s="220">
        <v>107</v>
      </c>
      <c r="BA85" s="220">
        <v>107</v>
      </c>
    </row>
    <row r="86" spans="1:53">
      <c r="A86" s="109" t="s">
        <v>524</v>
      </c>
      <c r="B86" s="223" cm="1">
        <f t="array" ref="B86">IF(INDEX('Dropdown list'!$G$1:$J$94,MATCH('Project information'!$A$4&amp;'Project information'!$B$7,'Dropdown list'!$G$1:$G$94&amp;'Dropdown list'!$I$1:$I$94,0),4)="Y",IF('Project information'!$F$3="PDL",AX86,AZ86),IF('Project information'!$F$3="PDL",AY86,BA86))</f>
        <v>423</v>
      </c>
      <c r="C86" s="33">
        <f t="shared" si="93"/>
        <v>38</v>
      </c>
      <c r="D86" s="33">
        <f t="shared" si="94"/>
        <v>163</v>
      </c>
      <c r="E86" s="33">
        <f t="shared" si="95"/>
        <v>163</v>
      </c>
      <c r="F86" s="33">
        <f t="shared" si="96"/>
        <v>51</v>
      </c>
      <c r="G86" s="33">
        <f t="shared" si="97"/>
        <v>8</v>
      </c>
      <c r="H86" s="120">
        <v>0.09</v>
      </c>
      <c r="I86" s="120">
        <v>0.38500000000000001</v>
      </c>
      <c r="J86" s="120">
        <v>0.38500000000000001</v>
      </c>
      <c r="K86" s="120">
        <v>0.12</v>
      </c>
      <c r="L86" s="121">
        <v>0.02</v>
      </c>
      <c r="M86" s="109" t="str">
        <f t="shared" si="98"/>
        <v>Inline</v>
      </c>
      <c r="N86" s="33">
        <v>200</v>
      </c>
      <c r="O86" s="33">
        <f t="shared" si="99"/>
        <v>36</v>
      </c>
      <c r="P86" s="33">
        <f t="shared" si="100"/>
        <v>74</v>
      </c>
      <c r="Q86" s="33">
        <f t="shared" si="101"/>
        <v>74</v>
      </c>
      <c r="R86" s="33">
        <f t="shared" si="102"/>
        <v>8</v>
      </c>
      <c r="S86" s="33">
        <f t="shared" si="103"/>
        <v>8</v>
      </c>
      <c r="T86" s="120">
        <v>0.18</v>
      </c>
      <c r="U86" s="120">
        <v>0.37</v>
      </c>
      <c r="V86" s="120">
        <v>0.37</v>
      </c>
      <c r="W86" s="120">
        <v>0.04</v>
      </c>
      <c r="X86" s="121">
        <v>0.04</v>
      </c>
      <c r="Y86" s="109" t="str">
        <f t="shared" si="104"/>
        <v>Inline</v>
      </c>
      <c r="Z86" s="33">
        <v>400</v>
      </c>
      <c r="AA86" s="33">
        <f t="shared" si="105"/>
        <v>72</v>
      </c>
      <c r="AB86" s="33">
        <f t="shared" si="106"/>
        <v>148</v>
      </c>
      <c r="AC86" s="33">
        <f t="shared" si="107"/>
        <v>148</v>
      </c>
      <c r="AD86" s="33">
        <f t="shared" si="108"/>
        <v>16</v>
      </c>
      <c r="AE86" s="33">
        <f t="shared" si="109"/>
        <v>16</v>
      </c>
      <c r="AF86" s="120">
        <v>0.18</v>
      </c>
      <c r="AG86" s="120">
        <v>0.37</v>
      </c>
      <c r="AH86" s="120">
        <v>0.37</v>
      </c>
      <c r="AI86" s="120">
        <v>0.04</v>
      </c>
      <c r="AJ86" s="121">
        <v>0.04</v>
      </c>
      <c r="AK86" s="109" t="str">
        <f t="shared" si="110"/>
        <v>Inline</v>
      </c>
      <c r="AL86" s="33">
        <v>200</v>
      </c>
      <c r="AM86" s="33">
        <f t="shared" si="111"/>
        <v>36</v>
      </c>
      <c r="AN86" s="33">
        <f t="shared" si="112"/>
        <v>74</v>
      </c>
      <c r="AO86" s="33">
        <f t="shared" si="113"/>
        <v>74</v>
      </c>
      <c r="AP86" s="33">
        <f t="shared" si="114"/>
        <v>8</v>
      </c>
      <c r="AQ86" s="33">
        <f t="shared" si="115"/>
        <v>8</v>
      </c>
      <c r="AR86" s="120">
        <v>0.18</v>
      </c>
      <c r="AS86" s="120">
        <v>0.37</v>
      </c>
      <c r="AT86" s="120">
        <v>0.37</v>
      </c>
      <c r="AU86" s="120">
        <v>0.04</v>
      </c>
      <c r="AV86" s="121">
        <v>0.04</v>
      </c>
      <c r="AX86" s="16">
        <v>423</v>
      </c>
      <c r="AY86" s="16">
        <v>423</v>
      </c>
      <c r="AZ86" s="220">
        <v>423</v>
      </c>
      <c r="BA86" s="220">
        <v>423</v>
      </c>
    </row>
    <row r="87" spans="1:53">
      <c r="A87" s="109" t="s">
        <v>526</v>
      </c>
      <c r="B87" s="223" cm="1">
        <f t="array" ref="B87">IF(INDEX('Dropdown list'!$G$1:$J$94,MATCH('Project information'!$A$4&amp;'Project information'!$B$7,'Dropdown list'!$G$1:$G$94&amp;'Dropdown list'!$I$1:$I$94,0),4)="Y",IF('Project information'!$F$3="PDL",AX87,AZ87),IF('Project information'!$F$3="PDL",AY87,BA87))</f>
        <v>108</v>
      </c>
      <c r="C87" s="33">
        <f t="shared" si="93"/>
        <v>19</v>
      </c>
      <c r="D87" s="33">
        <f t="shared" si="94"/>
        <v>40</v>
      </c>
      <c r="E87" s="33">
        <f t="shared" si="95"/>
        <v>40</v>
      </c>
      <c r="F87" s="33">
        <f t="shared" si="96"/>
        <v>4</v>
      </c>
      <c r="G87" s="33">
        <f t="shared" si="97"/>
        <v>4</v>
      </c>
      <c r="H87" s="120">
        <v>0.18</v>
      </c>
      <c r="I87" s="120">
        <v>0.37</v>
      </c>
      <c r="J87" s="120">
        <v>0.37</v>
      </c>
      <c r="K87" s="120">
        <v>0.04</v>
      </c>
      <c r="L87" s="121">
        <v>0.04</v>
      </c>
      <c r="M87" s="109" t="str">
        <f t="shared" si="98"/>
        <v>Compact Mixer</v>
      </c>
      <c r="N87" s="33">
        <v>100</v>
      </c>
      <c r="O87" s="33">
        <f t="shared" si="99"/>
        <v>18</v>
      </c>
      <c r="P87" s="33">
        <f t="shared" si="100"/>
        <v>37</v>
      </c>
      <c r="Q87" s="33">
        <f t="shared" si="101"/>
        <v>37</v>
      </c>
      <c r="R87" s="33">
        <f t="shared" si="102"/>
        <v>4</v>
      </c>
      <c r="S87" s="33">
        <f t="shared" si="103"/>
        <v>4</v>
      </c>
      <c r="T87" s="120">
        <v>0.18</v>
      </c>
      <c r="U87" s="120">
        <v>0.37</v>
      </c>
      <c r="V87" s="120">
        <v>0.37</v>
      </c>
      <c r="W87" s="120">
        <v>0.04</v>
      </c>
      <c r="X87" s="121">
        <v>0.04</v>
      </c>
      <c r="Y87" s="109" t="str">
        <f t="shared" si="104"/>
        <v>Compact Mixer</v>
      </c>
      <c r="Z87" s="33">
        <v>100</v>
      </c>
      <c r="AA87" s="33">
        <f t="shared" si="105"/>
        <v>18</v>
      </c>
      <c r="AB87" s="33">
        <f t="shared" si="106"/>
        <v>37</v>
      </c>
      <c r="AC87" s="33">
        <f t="shared" si="107"/>
        <v>37</v>
      </c>
      <c r="AD87" s="33">
        <f t="shared" si="108"/>
        <v>4</v>
      </c>
      <c r="AE87" s="33">
        <f t="shared" si="109"/>
        <v>4</v>
      </c>
      <c r="AF87" s="120">
        <v>0.18</v>
      </c>
      <c r="AG87" s="120">
        <v>0.37</v>
      </c>
      <c r="AH87" s="120">
        <v>0.37</v>
      </c>
      <c r="AI87" s="120">
        <v>0.04</v>
      </c>
      <c r="AJ87" s="121">
        <v>0.04</v>
      </c>
      <c r="AK87" s="109" t="str">
        <f t="shared" si="110"/>
        <v>Compact Mixer</v>
      </c>
      <c r="AL87" s="33">
        <v>100</v>
      </c>
      <c r="AM87" s="33">
        <f t="shared" si="111"/>
        <v>18</v>
      </c>
      <c r="AN87" s="33">
        <f t="shared" si="112"/>
        <v>37</v>
      </c>
      <c r="AO87" s="33">
        <f t="shared" si="113"/>
        <v>37</v>
      </c>
      <c r="AP87" s="33">
        <f t="shared" si="114"/>
        <v>4</v>
      </c>
      <c r="AQ87" s="33">
        <f t="shared" si="115"/>
        <v>4</v>
      </c>
      <c r="AR87" s="120">
        <v>0.18</v>
      </c>
      <c r="AS87" s="120">
        <v>0.37</v>
      </c>
      <c r="AT87" s="120">
        <v>0.37</v>
      </c>
      <c r="AU87" s="120">
        <v>0.04</v>
      </c>
      <c r="AV87" s="121">
        <v>0.04</v>
      </c>
      <c r="AX87" s="16">
        <v>108</v>
      </c>
      <c r="AY87" s="16">
        <v>108</v>
      </c>
      <c r="AZ87" s="220">
        <v>108</v>
      </c>
      <c r="BA87" s="220">
        <v>108</v>
      </c>
    </row>
    <row r="88" spans="1:53">
      <c r="A88" s="109" t="s">
        <v>528</v>
      </c>
      <c r="B88" s="223" cm="1">
        <f t="array" ref="B88">IF(INDEX('Dropdown list'!$G$1:$J$94,MATCH('Project information'!$A$4&amp;'Project information'!$B$7,'Dropdown list'!$G$1:$G$94&amp;'Dropdown list'!$I$1:$I$94,0),4)="Y",IF('Project information'!$F$3="PDL",AX88,AZ88),IF('Project information'!$F$3="PDL",AY88,BA88))</f>
        <v>263</v>
      </c>
      <c r="C88" s="33">
        <f t="shared" si="93"/>
        <v>47</v>
      </c>
      <c r="D88" s="33">
        <f t="shared" si="94"/>
        <v>97</v>
      </c>
      <c r="E88" s="33">
        <f t="shared" si="95"/>
        <v>97</v>
      </c>
      <c r="F88" s="33">
        <f t="shared" si="96"/>
        <v>11</v>
      </c>
      <c r="G88" s="33">
        <f t="shared" si="97"/>
        <v>11</v>
      </c>
      <c r="H88" s="120">
        <v>0.18</v>
      </c>
      <c r="I88" s="120">
        <v>0.37</v>
      </c>
      <c r="J88" s="120">
        <v>0.37</v>
      </c>
      <c r="K88" s="120">
        <v>0.04</v>
      </c>
      <c r="L88" s="121">
        <v>0.04</v>
      </c>
      <c r="M88" s="109" t="str">
        <f t="shared" si="98"/>
        <v>Switch back</v>
      </c>
      <c r="N88" s="33">
        <v>250</v>
      </c>
      <c r="O88" s="33">
        <f t="shared" si="99"/>
        <v>45</v>
      </c>
      <c r="P88" s="33">
        <f t="shared" si="100"/>
        <v>93</v>
      </c>
      <c r="Q88" s="33">
        <f t="shared" si="101"/>
        <v>93</v>
      </c>
      <c r="R88" s="33">
        <f t="shared" si="102"/>
        <v>10</v>
      </c>
      <c r="S88" s="33">
        <f t="shared" si="103"/>
        <v>10</v>
      </c>
      <c r="T88" s="120">
        <v>0.18</v>
      </c>
      <c r="U88" s="120">
        <v>0.37</v>
      </c>
      <c r="V88" s="120">
        <v>0.37</v>
      </c>
      <c r="W88" s="120">
        <v>0.04</v>
      </c>
      <c r="X88" s="121">
        <v>0.04</v>
      </c>
      <c r="Y88" s="109" t="str">
        <f t="shared" si="104"/>
        <v>Switch back</v>
      </c>
      <c r="Z88" s="33">
        <v>250</v>
      </c>
      <c r="AA88" s="33">
        <f t="shared" si="105"/>
        <v>45</v>
      </c>
      <c r="AB88" s="33">
        <f t="shared" si="106"/>
        <v>93</v>
      </c>
      <c r="AC88" s="33">
        <f t="shared" si="107"/>
        <v>93</v>
      </c>
      <c r="AD88" s="33">
        <f t="shared" si="108"/>
        <v>10</v>
      </c>
      <c r="AE88" s="33">
        <f t="shared" si="109"/>
        <v>10</v>
      </c>
      <c r="AF88" s="120">
        <v>0.18</v>
      </c>
      <c r="AG88" s="120">
        <v>0.37</v>
      </c>
      <c r="AH88" s="120">
        <v>0.37</v>
      </c>
      <c r="AI88" s="120">
        <v>0.04</v>
      </c>
      <c r="AJ88" s="121">
        <v>0.04</v>
      </c>
      <c r="AK88" s="109" t="str">
        <f t="shared" si="110"/>
        <v>Switch back</v>
      </c>
      <c r="AL88" s="33">
        <v>250</v>
      </c>
      <c r="AM88" s="33">
        <f t="shared" si="111"/>
        <v>45</v>
      </c>
      <c r="AN88" s="33">
        <f t="shared" si="112"/>
        <v>93</v>
      </c>
      <c r="AO88" s="33">
        <f t="shared" si="113"/>
        <v>93</v>
      </c>
      <c r="AP88" s="33">
        <f t="shared" si="114"/>
        <v>10</v>
      </c>
      <c r="AQ88" s="33">
        <f t="shared" si="115"/>
        <v>10</v>
      </c>
      <c r="AR88" s="120">
        <v>0.18</v>
      </c>
      <c r="AS88" s="120">
        <v>0.37</v>
      </c>
      <c r="AT88" s="120">
        <v>0.37</v>
      </c>
      <c r="AU88" s="120">
        <v>0.04</v>
      </c>
      <c r="AV88" s="121">
        <v>0.04</v>
      </c>
      <c r="AX88" s="16">
        <v>263</v>
      </c>
      <c r="AY88" s="16">
        <v>263</v>
      </c>
      <c r="AZ88" s="220">
        <v>263</v>
      </c>
      <c r="BA88" s="220">
        <v>263</v>
      </c>
    </row>
    <row r="89" spans="1:53">
      <c r="A89" s="109" t="s">
        <v>531</v>
      </c>
      <c r="B89" s="223" cm="1">
        <f t="array" ref="B89">IF(INDEX('Dropdown list'!$G$1:$J$94,MATCH('Project information'!$A$4&amp;'Project information'!$B$7,'Dropdown list'!$G$1:$G$94&amp;'Dropdown list'!$I$1:$I$94,0),4)="Y",IF('Project information'!$F$3="PDL",AX89,AZ89),IF('Project information'!$F$3="PDL",AY89,BA89))</f>
        <v>108</v>
      </c>
      <c r="C89" s="33">
        <f t="shared" si="93"/>
        <v>19</v>
      </c>
      <c r="D89" s="33">
        <f t="shared" si="94"/>
        <v>40</v>
      </c>
      <c r="E89" s="33">
        <f t="shared" si="95"/>
        <v>40</v>
      </c>
      <c r="F89" s="33">
        <f t="shared" si="96"/>
        <v>4</v>
      </c>
      <c r="G89" s="33">
        <f t="shared" si="97"/>
        <v>4</v>
      </c>
      <c r="H89" s="120">
        <v>0.18</v>
      </c>
      <c r="I89" s="120">
        <v>0.37</v>
      </c>
      <c r="J89" s="120">
        <v>0.37</v>
      </c>
      <c r="K89" s="120">
        <v>0.04</v>
      </c>
      <c r="L89" s="121">
        <v>0.04</v>
      </c>
      <c r="M89" s="109" t="str">
        <f t="shared" si="98"/>
        <v>U-Mixer</v>
      </c>
      <c r="N89" s="33">
        <v>100</v>
      </c>
      <c r="O89" s="33">
        <f t="shared" si="99"/>
        <v>18</v>
      </c>
      <c r="P89" s="33">
        <f t="shared" si="100"/>
        <v>37</v>
      </c>
      <c r="Q89" s="33">
        <f t="shared" si="101"/>
        <v>37</v>
      </c>
      <c r="R89" s="33">
        <f t="shared" si="102"/>
        <v>4</v>
      </c>
      <c r="S89" s="33">
        <f t="shared" si="103"/>
        <v>4</v>
      </c>
      <c r="T89" s="120">
        <v>0.18</v>
      </c>
      <c r="U89" s="120">
        <v>0.37</v>
      </c>
      <c r="V89" s="120">
        <v>0.37</v>
      </c>
      <c r="W89" s="120">
        <v>0.04</v>
      </c>
      <c r="X89" s="121">
        <v>0.04</v>
      </c>
      <c r="Y89" s="109" t="str">
        <f t="shared" si="104"/>
        <v>U-Mixer</v>
      </c>
      <c r="Z89" s="33">
        <v>100</v>
      </c>
      <c r="AA89" s="33">
        <f t="shared" si="105"/>
        <v>18</v>
      </c>
      <c r="AB89" s="33">
        <f t="shared" si="106"/>
        <v>37</v>
      </c>
      <c r="AC89" s="33">
        <f t="shared" si="107"/>
        <v>37</v>
      </c>
      <c r="AD89" s="33">
        <f t="shared" si="108"/>
        <v>4</v>
      </c>
      <c r="AE89" s="33">
        <f t="shared" si="109"/>
        <v>4</v>
      </c>
      <c r="AF89" s="120">
        <v>0.18</v>
      </c>
      <c r="AG89" s="120">
        <v>0.37</v>
      </c>
      <c r="AH89" s="120">
        <v>0.37</v>
      </c>
      <c r="AI89" s="120">
        <v>0.04</v>
      </c>
      <c r="AJ89" s="121">
        <v>0.04</v>
      </c>
      <c r="AK89" s="109" t="str">
        <f t="shared" si="110"/>
        <v>U-Mixer</v>
      </c>
      <c r="AL89" s="33">
        <v>100</v>
      </c>
      <c r="AM89" s="33">
        <f t="shared" si="111"/>
        <v>18</v>
      </c>
      <c r="AN89" s="33">
        <f t="shared" si="112"/>
        <v>37</v>
      </c>
      <c r="AO89" s="33">
        <f t="shared" si="113"/>
        <v>37</v>
      </c>
      <c r="AP89" s="33">
        <f t="shared" si="114"/>
        <v>4</v>
      </c>
      <c r="AQ89" s="33">
        <f t="shared" si="115"/>
        <v>4</v>
      </c>
      <c r="AR89" s="120">
        <v>0.18</v>
      </c>
      <c r="AS89" s="120">
        <v>0.37</v>
      </c>
      <c r="AT89" s="120">
        <v>0.37</v>
      </c>
      <c r="AU89" s="120">
        <v>0.04</v>
      </c>
      <c r="AV89" s="121">
        <v>0.04</v>
      </c>
      <c r="AX89" s="16">
        <v>108</v>
      </c>
      <c r="AY89" s="16">
        <v>108</v>
      </c>
      <c r="AZ89" s="220">
        <v>108</v>
      </c>
      <c r="BA89" s="220">
        <v>108</v>
      </c>
    </row>
    <row r="90" spans="1:53" ht="13" thickBot="1">
      <c r="A90" s="112" t="s">
        <v>534</v>
      </c>
      <c r="B90" s="224" cm="1">
        <f t="array" ref="B90">IF(INDEX('Dropdown list'!$G$1:$J$94,MATCH('Project information'!$A$4&amp;'Project information'!$B$7,'Dropdown list'!$G$1:$G$94&amp;'Dropdown list'!$I$1:$I$94,0),4)="Y",IF('Project information'!$F$3="PDL",AX90,AZ90),IF('Project information'!$F$3="PDL",AY90,BA90))</f>
        <v>527</v>
      </c>
      <c r="C90" s="113">
        <f t="shared" si="93"/>
        <v>47</v>
      </c>
      <c r="D90" s="113">
        <f t="shared" si="94"/>
        <v>203</v>
      </c>
      <c r="E90" s="113">
        <f t="shared" si="95"/>
        <v>203</v>
      </c>
      <c r="F90" s="113">
        <f t="shared" si="96"/>
        <v>63</v>
      </c>
      <c r="G90" s="113">
        <f t="shared" si="97"/>
        <v>11</v>
      </c>
      <c r="H90" s="122">
        <v>0.09</v>
      </c>
      <c r="I90" s="122">
        <v>0.38500000000000001</v>
      </c>
      <c r="J90" s="122">
        <v>0.38500000000000001</v>
      </c>
      <c r="K90" s="122">
        <v>0.12</v>
      </c>
      <c r="L90" s="123">
        <v>0.02</v>
      </c>
      <c r="M90" s="112" t="str">
        <f t="shared" si="98"/>
        <v>U-shape</v>
      </c>
      <c r="N90" s="113">
        <v>250</v>
      </c>
      <c r="O90" s="113">
        <f t="shared" si="99"/>
        <v>45</v>
      </c>
      <c r="P90" s="113">
        <f t="shared" si="100"/>
        <v>93</v>
      </c>
      <c r="Q90" s="113">
        <f t="shared" si="101"/>
        <v>93</v>
      </c>
      <c r="R90" s="113">
        <f t="shared" si="102"/>
        <v>10</v>
      </c>
      <c r="S90" s="113">
        <f t="shared" si="103"/>
        <v>10</v>
      </c>
      <c r="T90" s="122">
        <v>0.18</v>
      </c>
      <c r="U90" s="122">
        <v>0.37</v>
      </c>
      <c r="V90" s="122">
        <v>0.37</v>
      </c>
      <c r="W90" s="122">
        <v>0.04</v>
      </c>
      <c r="X90" s="123">
        <v>0.04</v>
      </c>
      <c r="Y90" s="112" t="s">
        <v>534</v>
      </c>
      <c r="Z90" s="113">
        <v>501</v>
      </c>
      <c r="AA90" s="113">
        <f t="shared" si="105"/>
        <v>90</v>
      </c>
      <c r="AB90" s="113">
        <f t="shared" si="106"/>
        <v>185</v>
      </c>
      <c r="AC90" s="113">
        <f t="shared" si="107"/>
        <v>185</v>
      </c>
      <c r="AD90" s="113">
        <f t="shared" si="108"/>
        <v>20</v>
      </c>
      <c r="AE90" s="113">
        <f t="shared" si="109"/>
        <v>20</v>
      </c>
      <c r="AF90" s="122">
        <v>0.18</v>
      </c>
      <c r="AG90" s="122">
        <v>0.37</v>
      </c>
      <c r="AH90" s="122">
        <v>0.37</v>
      </c>
      <c r="AI90" s="122">
        <v>0.04</v>
      </c>
      <c r="AJ90" s="123">
        <v>0.04</v>
      </c>
      <c r="AK90" s="112" t="s">
        <v>534</v>
      </c>
      <c r="AL90" s="113">
        <v>250</v>
      </c>
      <c r="AM90" s="113">
        <f t="shared" si="111"/>
        <v>45</v>
      </c>
      <c r="AN90" s="113">
        <f t="shared" si="112"/>
        <v>93</v>
      </c>
      <c r="AO90" s="113">
        <f t="shared" si="113"/>
        <v>93</v>
      </c>
      <c r="AP90" s="113">
        <f t="shared" si="114"/>
        <v>10</v>
      </c>
      <c r="AQ90" s="113">
        <f t="shared" si="115"/>
        <v>10</v>
      </c>
      <c r="AR90" s="122">
        <v>0.18</v>
      </c>
      <c r="AS90" s="122">
        <v>0.37</v>
      </c>
      <c r="AT90" s="122">
        <v>0.37</v>
      </c>
      <c r="AU90" s="122">
        <v>0.04</v>
      </c>
      <c r="AV90" s="123">
        <v>0.04</v>
      </c>
      <c r="AX90" s="16">
        <v>527</v>
      </c>
      <c r="AY90" s="16">
        <v>527</v>
      </c>
      <c r="AZ90" s="220">
        <v>527</v>
      </c>
      <c r="BA90" s="220">
        <v>527</v>
      </c>
    </row>
    <row r="91" spans="1:53" s="56" customFormat="1" ht="25">
      <c r="A91" s="107" t="s">
        <v>460</v>
      </c>
      <c r="B91" s="108" t="s">
        <v>1335</v>
      </c>
      <c r="C91" s="124" t="s">
        <v>120</v>
      </c>
      <c r="D91" s="124" t="s">
        <v>121</v>
      </c>
      <c r="E91" s="124" t="s">
        <v>122</v>
      </c>
      <c r="F91" s="126" t="s">
        <v>123</v>
      </c>
      <c r="G91" s="126" t="s">
        <v>124</v>
      </c>
      <c r="H91" s="127" t="s">
        <v>120</v>
      </c>
      <c r="I91" s="125" t="s">
        <v>121</v>
      </c>
      <c r="J91" s="125" t="s">
        <v>122</v>
      </c>
      <c r="K91" s="127" t="s">
        <v>123</v>
      </c>
      <c r="L91" s="128" t="s">
        <v>124</v>
      </c>
      <c r="M91" s="107" t="s">
        <v>93</v>
      </c>
      <c r="N91" s="108" t="str">
        <f>B91</f>
        <v>Process specialist</v>
      </c>
      <c r="O91" s="124" t="s">
        <v>120</v>
      </c>
      <c r="P91" s="124" t="s">
        <v>121</v>
      </c>
      <c r="Q91" s="124" t="s">
        <v>122</v>
      </c>
      <c r="R91" s="126" t="s">
        <v>123</v>
      </c>
      <c r="S91" s="126" t="s">
        <v>124</v>
      </c>
      <c r="T91" s="127" t="s">
        <v>120</v>
      </c>
      <c r="U91" s="125" t="s">
        <v>121</v>
      </c>
      <c r="V91" s="125" t="s">
        <v>122</v>
      </c>
      <c r="W91" s="127" t="s">
        <v>123</v>
      </c>
      <c r="X91" s="128" t="s">
        <v>124</v>
      </c>
      <c r="Y91" s="107" t="s">
        <v>483</v>
      </c>
      <c r="Z91" s="108" t="str">
        <f>N91</f>
        <v>Process specialist</v>
      </c>
      <c r="AA91" s="124" t="s">
        <v>120</v>
      </c>
      <c r="AB91" s="124" t="s">
        <v>121</v>
      </c>
      <c r="AC91" s="124" t="s">
        <v>122</v>
      </c>
      <c r="AD91" s="126" t="s">
        <v>123</v>
      </c>
      <c r="AE91" s="126" t="s">
        <v>124</v>
      </c>
      <c r="AF91" s="127" t="s">
        <v>120</v>
      </c>
      <c r="AG91" s="125" t="s">
        <v>121</v>
      </c>
      <c r="AH91" s="125" t="s">
        <v>122</v>
      </c>
      <c r="AI91" s="127" t="s">
        <v>123</v>
      </c>
      <c r="AJ91" s="128" t="s">
        <v>124</v>
      </c>
      <c r="AK91" s="107" t="s">
        <v>482</v>
      </c>
      <c r="AL91" s="108" t="str">
        <f>Z91</f>
        <v>Process specialist</v>
      </c>
      <c r="AM91" s="124" t="s">
        <v>120</v>
      </c>
      <c r="AN91" s="124" t="s">
        <v>121</v>
      </c>
      <c r="AO91" s="124" t="s">
        <v>122</v>
      </c>
      <c r="AP91" s="126" t="s">
        <v>123</v>
      </c>
      <c r="AQ91" s="126" t="s">
        <v>124</v>
      </c>
      <c r="AR91" s="127" t="s">
        <v>120</v>
      </c>
      <c r="AS91" s="125" t="s">
        <v>121</v>
      </c>
      <c r="AT91" s="125" t="s">
        <v>122</v>
      </c>
      <c r="AU91" s="127" t="s">
        <v>123</v>
      </c>
      <c r="AV91" s="128" t="s">
        <v>124</v>
      </c>
      <c r="AX91" s="56" t="s">
        <v>157</v>
      </c>
      <c r="AY91" s="56" t="s">
        <v>157</v>
      </c>
    </row>
    <row r="92" spans="1:53">
      <c r="A92" s="109" t="s">
        <v>490</v>
      </c>
      <c r="B92" s="33" cm="1">
        <f t="array" ref="B92">IF(INDEX('Dropdown list'!$G$1:$J$94,MATCH('Project information'!$A$4&amp;'Project information'!$B$7,'Dropdown list'!$G$1:$G$94&amp;'Dropdown list'!$I$1:$I$94,0),4)="Y",AX92,AY92)</f>
        <v>0</v>
      </c>
      <c r="C92" s="33">
        <f t="shared" ref="C92:C108" si="116">ROUND($B92*H92,0)</f>
        <v>0</v>
      </c>
      <c r="D92" s="33">
        <f t="shared" ref="D92:D108" si="117">ROUND($B92*I92,0)</f>
        <v>0</v>
      </c>
      <c r="E92" s="33">
        <f t="shared" ref="E92:E108" si="118">ROUND($B92*J92,0)</f>
        <v>0</v>
      </c>
      <c r="F92" s="33">
        <f t="shared" ref="F92:F108" si="119">ROUND($B92*K92,0)</f>
        <v>0</v>
      </c>
      <c r="G92" s="33">
        <f t="shared" ref="G92:G108" si="120">ROUND($B92*L92,0)</f>
        <v>0</v>
      </c>
      <c r="H92" s="120">
        <v>7.5853677097400915E-2</v>
      </c>
      <c r="I92" s="120">
        <v>0.29996657754010703</v>
      </c>
      <c r="J92" s="120">
        <v>0.34631238859180041</v>
      </c>
      <c r="K92" s="120">
        <v>0.25</v>
      </c>
      <c r="L92" s="121">
        <v>5.186051693404635E-2</v>
      </c>
      <c r="M92" s="109" t="str">
        <f t="shared" ref="M92:M108" si="121">$A92</f>
        <v>Cold End Complex</v>
      </c>
      <c r="N92" s="33">
        <v>0</v>
      </c>
      <c r="O92" s="33">
        <f t="shared" ref="O92:O108" si="122">ROUND($N92*T92,0)</f>
        <v>0</v>
      </c>
      <c r="P92" s="33">
        <f t="shared" ref="P92:P108" si="123">ROUND($N92*U92,0)</f>
        <v>0</v>
      </c>
      <c r="Q92" s="33">
        <f t="shared" ref="Q92:Q108" si="124">ROUND($N92*V92,0)</f>
        <v>0</v>
      </c>
      <c r="R92" s="33">
        <f t="shared" ref="R92:R108" si="125">ROUND($N92*W92,0)</f>
        <v>0</v>
      </c>
      <c r="S92" s="33">
        <f t="shared" ref="S92:S108" si="126">ROUND($N92*X92,0)</f>
        <v>0</v>
      </c>
      <c r="T92" s="110">
        <v>0</v>
      </c>
      <c r="U92" s="110">
        <v>0</v>
      </c>
      <c r="V92" s="110">
        <v>0</v>
      </c>
      <c r="W92" s="110">
        <v>0</v>
      </c>
      <c r="X92" s="111">
        <v>0</v>
      </c>
      <c r="Y92" s="109" t="str">
        <f t="shared" ref="Y92:Y107" si="127">$A92</f>
        <v>Cold End Complex</v>
      </c>
      <c r="Z92" s="33">
        <v>200</v>
      </c>
      <c r="AA92" s="33">
        <f t="shared" ref="AA92:AA108" si="128">ROUND($Z92*AF92,0)</f>
        <v>30</v>
      </c>
      <c r="AB92" s="33">
        <f t="shared" ref="AB92:AB108" si="129">ROUND($Z92*AG92,0)</f>
        <v>60</v>
      </c>
      <c r="AC92" s="33">
        <f t="shared" ref="AC92:AC108" si="130">ROUND($Z92*AH92,0)</f>
        <v>70</v>
      </c>
      <c r="AD92" s="33">
        <f t="shared" ref="AD92:AD108" si="131">ROUND($Z92*AI92,0)</f>
        <v>36</v>
      </c>
      <c r="AE92" s="33">
        <f t="shared" ref="AE92:AE108" si="132">ROUND($Z92*AJ92,0)</f>
        <v>4</v>
      </c>
      <c r="AF92" s="110">
        <v>0.15</v>
      </c>
      <c r="AG92" s="110">
        <v>0.3</v>
      </c>
      <c r="AH92" s="110">
        <v>0.35</v>
      </c>
      <c r="AI92" s="110">
        <v>0.18</v>
      </c>
      <c r="AJ92" s="111">
        <v>0.02</v>
      </c>
      <c r="AK92" s="109" t="str">
        <f t="shared" ref="AK92:AK107" si="133">$A92</f>
        <v>Cold End Complex</v>
      </c>
      <c r="AL92" s="118"/>
      <c r="AM92" s="33">
        <f t="shared" ref="AM92:AM108" si="134">ROUND($AL92*AR92,0)</f>
        <v>0</v>
      </c>
      <c r="AN92" s="33">
        <f t="shared" ref="AN92:AN108" si="135">ROUND($AL92*AS92,0)</f>
        <v>0</v>
      </c>
      <c r="AO92" s="33">
        <f t="shared" ref="AO92:AO108" si="136">ROUND($AL92*AT92,0)</f>
        <v>0</v>
      </c>
      <c r="AP92" s="33">
        <f t="shared" ref="AP92:AP108" si="137">ROUND($AL92*AU92,0)</f>
        <v>0</v>
      </c>
      <c r="AQ92" s="33">
        <f t="shared" ref="AQ92:AQ108" si="138">ROUND($AL92*AV92,0)</f>
        <v>0</v>
      </c>
      <c r="AR92" s="132"/>
      <c r="AS92" s="132"/>
      <c r="AT92" s="132"/>
      <c r="AU92" s="132"/>
      <c r="AV92" s="133"/>
    </row>
    <row r="93" spans="1:53">
      <c r="A93" s="109" t="s">
        <v>494</v>
      </c>
      <c r="B93" s="33" cm="1">
        <f t="array" ref="B93">IF(INDEX('Dropdown list'!$G$1:$J$94,MATCH('Project information'!$A$4&amp;'Project information'!$B$7,'Dropdown list'!$G$1:$G$94&amp;'Dropdown list'!$I$1:$I$94,0),4)="Y",AX93,AY93)</f>
        <v>0</v>
      </c>
      <c r="C93" s="33">
        <f t="shared" si="116"/>
        <v>0</v>
      </c>
      <c r="D93" s="33">
        <f t="shared" si="117"/>
        <v>0</v>
      </c>
      <c r="E93" s="33">
        <f t="shared" si="118"/>
        <v>0</v>
      </c>
      <c r="F93" s="33">
        <f t="shared" si="119"/>
        <v>0</v>
      </c>
      <c r="G93" s="33">
        <f t="shared" si="120"/>
        <v>0</v>
      </c>
      <c r="H93" s="120">
        <v>7.5853677097400915E-2</v>
      </c>
      <c r="I93" s="120">
        <v>0.29996657754010703</v>
      </c>
      <c r="J93" s="120">
        <v>0.34631238859180041</v>
      </c>
      <c r="K93" s="120">
        <v>0.25</v>
      </c>
      <c r="L93" s="121">
        <v>5.186051693404635E-2</v>
      </c>
      <c r="M93" s="109" t="str">
        <f t="shared" si="121"/>
        <v>Cold End Simple</v>
      </c>
      <c r="N93" s="33">
        <v>0</v>
      </c>
      <c r="O93" s="33">
        <f t="shared" si="122"/>
        <v>0</v>
      </c>
      <c r="P93" s="33">
        <f t="shared" si="123"/>
        <v>0</v>
      </c>
      <c r="Q93" s="33">
        <f t="shared" si="124"/>
        <v>0</v>
      </c>
      <c r="R93" s="33">
        <f t="shared" si="125"/>
        <v>0</v>
      </c>
      <c r="S93" s="33">
        <f t="shared" si="126"/>
        <v>0</v>
      </c>
      <c r="T93" s="110">
        <v>0</v>
      </c>
      <c r="U93" s="110">
        <v>0</v>
      </c>
      <c r="V93" s="110">
        <v>0</v>
      </c>
      <c r="W93" s="110">
        <v>0</v>
      </c>
      <c r="X93" s="111">
        <v>0</v>
      </c>
      <c r="Y93" s="109" t="str">
        <f t="shared" si="127"/>
        <v>Cold End Simple</v>
      </c>
      <c r="Z93" s="33">
        <v>130</v>
      </c>
      <c r="AA93" s="33">
        <f t="shared" si="128"/>
        <v>20</v>
      </c>
      <c r="AB93" s="33">
        <f t="shared" si="129"/>
        <v>39</v>
      </c>
      <c r="AC93" s="33">
        <f t="shared" si="130"/>
        <v>46</v>
      </c>
      <c r="AD93" s="33">
        <f t="shared" si="131"/>
        <v>23</v>
      </c>
      <c r="AE93" s="33">
        <f t="shared" si="132"/>
        <v>3</v>
      </c>
      <c r="AF93" s="110">
        <v>0.15</v>
      </c>
      <c r="AG93" s="110">
        <v>0.3</v>
      </c>
      <c r="AH93" s="110">
        <v>0.35</v>
      </c>
      <c r="AI93" s="110">
        <v>0.18</v>
      </c>
      <c r="AJ93" s="111">
        <v>0.02</v>
      </c>
      <c r="AK93" s="109" t="str">
        <f t="shared" si="133"/>
        <v>Cold End Simple</v>
      </c>
      <c r="AL93" s="118"/>
      <c r="AM93" s="33">
        <f t="shared" si="134"/>
        <v>0</v>
      </c>
      <c r="AN93" s="33">
        <f t="shared" si="135"/>
        <v>0</v>
      </c>
      <c r="AO93" s="33">
        <f t="shared" si="136"/>
        <v>0</v>
      </c>
      <c r="AP93" s="33">
        <f t="shared" si="137"/>
        <v>0</v>
      </c>
      <c r="AQ93" s="33">
        <f t="shared" si="138"/>
        <v>0</v>
      </c>
      <c r="AR93" s="132"/>
      <c r="AS93" s="132"/>
      <c r="AT93" s="132"/>
      <c r="AU93" s="132"/>
      <c r="AV93" s="133"/>
    </row>
    <row r="94" spans="1:53">
      <c r="A94" s="109" t="s">
        <v>498</v>
      </c>
      <c r="B94" s="33" cm="1">
        <f t="array" ref="B94">IF(INDEX('Dropdown list'!$G$1:$J$94,MATCH('Project information'!$A$4&amp;'Project information'!$B$7,'Dropdown list'!$G$1:$G$94&amp;'Dropdown list'!$I$1:$I$94,0),4)="Y",AX94,AY94)</f>
        <v>203</v>
      </c>
      <c r="C94" s="33">
        <f t="shared" si="116"/>
        <v>15</v>
      </c>
      <c r="D94" s="33">
        <f t="shared" si="117"/>
        <v>61</v>
      </c>
      <c r="E94" s="33">
        <f t="shared" si="118"/>
        <v>70</v>
      </c>
      <c r="F94" s="33">
        <f t="shared" si="119"/>
        <v>51</v>
      </c>
      <c r="G94" s="33">
        <f t="shared" si="120"/>
        <v>11</v>
      </c>
      <c r="H94" s="120">
        <v>7.5853677097400915E-2</v>
      </c>
      <c r="I94" s="120">
        <v>0.29996657754010703</v>
      </c>
      <c r="J94" s="120">
        <v>0.34631238859180041</v>
      </c>
      <c r="K94" s="120">
        <v>0.25</v>
      </c>
      <c r="L94" s="121">
        <v>5.186051693404635E-2</v>
      </c>
      <c r="M94" s="109" t="str">
        <f t="shared" si="121"/>
        <v>Diesel (DOC+DPF)</v>
      </c>
      <c r="N94" s="33">
        <v>0</v>
      </c>
      <c r="O94" s="33">
        <f t="shared" si="122"/>
        <v>0</v>
      </c>
      <c r="P94" s="33">
        <f t="shared" si="123"/>
        <v>0</v>
      </c>
      <c r="Q94" s="33">
        <f t="shared" si="124"/>
        <v>0</v>
      </c>
      <c r="R94" s="33">
        <f t="shared" si="125"/>
        <v>0</v>
      </c>
      <c r="S94" s="33">
        <f t="shared" si="126"/>
        <v>0</v>
      </c>
      <c r="T94" s="110">
        <v>0</v>
      </c>
      <c r="U94" s="110">
        <v>0</v>
      </c>
      <c r="V94" s="110">
        <v>0</v>
      </c>
      <c r="W94" s="110">
        <v>0</v>
      </c>
      <c r="X94" s="111">
        <v>0</v>
      </c>
      <c r="Y94" s="109" t="str">
        <f t="shared" si="127"/>
        <v>Diesel (DOC+DPF)</v>
      </c>
      <c r="Z94" s="33">
        <v>190</v>
      </c>
      <c r="AA94" s="33">
        <f t="shared" si="128"/>
        <v>29</v>
      </c>
      <c r="AB94" s="33">
        <f t="shared" si="129"/>
        <v>57</v>
      </c>
      <c r="AC94" s="33">
        <f t="shared" si="130"/>
        <v>67</v>
      </c>
      <c r="AD94" s="33">
        <f t="shared" si="131"/>
        <v>34</v>
      </c>
      <c r="AE94" s="33">
        <f t="shared" si="132"/>
        <v>4</v>
      </c>
      <c r="AF94" s="110">
        <v>0.15</v>
      </c>
      <c r="AG94" s="110">
        <v>0.3</v>
      </c>
      <c r="AH94" s="110">
        <v>0.35</v>
      </c>
      <c r="AI94" s="110">
        <v>0.18</v>
      </c>
      <c r="AJ94" s="111">
        <v>0.02</v>
      </c>
      <c r="AK94" s="109" t="str">
        <f t="shared" si="133"/>
        <v>Diesel (DOC+DPF)</v>
      </c>
      <c r="AL94" s="118"/>
      <c r="AM94" s="33">
        <f t="shared" si="134"/>
        <v>0</v>
      </c>
      <c r="AN94" s="33">
        <f t="shared" si="135"/>
        <v>0</v>
      </c>
      <c r="AO94" s="33">
        <f t="shared" si="136"/>
        <v>0</v>
      </c>
      <c r="AP94" s="33">
        <f t="shared" si="137"/>
        <v>0</v>
      </c>
      <c r="AQ94" s="33">
        <f t="shared" si="138"/>
        <v>0</v>
      </c>
      <c r="AR94" s="132"/>
      <c r="AS94" s="132"/>
      <c r="AT94" s="132"/>
      <c r="AU94" s="132"/>
      <c r="AV94" s="133"/>
      <c r="AX94" s="16">
        <v>203</v>
      </c>
      <c r="AY94" s="16">
        <v>203</v>
      </c>
    </row>
    <row r="95" spans="1:53" ht="37.5">
      <c r="A95" s="109" t="s">
        <v>500</v>
      </c>
      <c r="B95" s="33" cm="1">
        <f t="array" ref="B95">IF(INDEX('Dropdown list'!$G$1:$J$94,MATCH('Project information'!$A$4&amp;'Project information'!$B$7,'Dropdown list'!$G$1:$G$94&amp;'Dropdown list'!$I$1:$I$94,0),4)="Y",AX95,AY95)</f>
        <v>234</v>
      </c>
      <c r="C95" s="33">
        <f t="shared" si="116"/>
        <v>18</v>
      </c>
      <c r="D95" s="33">
        <f t="shared" si="117"/>
        <v>70</v>
      </c>
      <c r="E95" s="33">
        <f t="shared" si="118"/>
        <v>81</v>
      </c>
      <c r="F95" s="33">
        <f t="shared" si="119"/>
        <v>59</v>
      </c>
      <c r="G95" s="33">
        <f t="shared" si="120"/>
        <v>12</v>
      </c>
      <c r="H95" s="120">
        <v>7.5853677097400915E-2</v>
      </c>
      <c r="I95" s="120">
        <v>0.29996657754010703</v>
      </c>
      <c r="J95" s="120">
        <v>0.34631238859180041</v>
      </c>
      <c r="K95" s="120">
        <v>0.25</v>
      </c>
      <c r="L95" s="121">
        <v>5.186051693404635E-2</v>
      </c>
      <c r="M95" s="109" t="str">
        <f t="shared" si="121"/>
        <v>Diesel (DOC+DPF+SCR) Underfloor (with underfloor mixer &amp; underfloor SCR)</v>
      </c>
      <c r="N95" s="33">
        <v>0</v>
      </c>
      <c r="O95" s="33">
        <f t="shared" si="122"/>
        <v>0</v>
      </c>
      <c r="P95" s="33">
        <f t="shared" si="123"/>
        <v>0</v>
      </c>
      <c r="Q95" s="33">
        <f t="shared" si="124"/>
        <v>0</v>
      </c>
      <c r="R95" s="33">
        <f t="shared" si="125"/>
        <v>0</v>
      </c>
      <c r="S95" s="33">
        <f t="shared" si="126"/>
        <v>0</v>
      </c>
      <c r="T95" s="110">
        <v>0</v>
      </c>
      <c r="U95" s="110">
        <v>0</v>
      </c>
      <c r="V95" s="110">
        <v>0</v>
      </c>
      <c r="W95" s="110">
        <v>0</v>
      </c>
      <c r="X95" s="111">
        <v>0</v>
      </c>
      <c r="Y95" s="109" t="str">
        <f t="shared" si="127"/>
        <v>Diesel (DOC+DPF+SCR) Underfloor (with underfloor mixer &amp; underfloor SCR)</v>
      </c>
      <c r="Z95" s="33">
        <v>220</v>
      </c>
      <c r="AA95" s="33">
        <f t="shared" si="128"/>
        <v>33</v>
      </c>
      <c r="AB95" s="33">
        <f t="shared" si="129"/>
        <v>66</v>
      </c>
      <c r="AC95" s="33">
        <f t="shared" si="130"/>
        <v>77</v>
      </c>
      <c r="AD95" s="33">
        <f t="shared" si="131"/>
        <v>40</v>
      </c>
      <c r="AE95" s="33">
        <f t="shared" si="132"/>
        <v>4</v>
      </c>
      <c r="AF95" s="110">
        <v>0.15</v>
      </c>
      <c r="AG95" s="110">
        <v>0.3</v>
      </c>
      <c r="AH95" s="110">
        <v>0.35</v>
      </c>
      <c r="AI95" s="110">
        <v>0.18</v>
      </c>
      <c r="AJ95" s="111">
        <v>0.02</v>
      </c>
      <c r="AK95" s="109" t="str">
        <f t="shared" si="133"/>
        <v>Diesel (DOC+DPF+SCR) Underfloor (with underfloor mixer &amp; underfloor SCR)</v>
      </c>
      <c r="AL95" s="118"/>
      <c r="AM95" s="33">
        <f t="shared" si="134"/>
        <v>0</v>
      </c>
      <c r="AN95" s="33">
        <f t="shared" si="135"/>
        <v>0</v>
      </c>
      <c r="AO95" s="33">
        <f t="shared" si="136"/>
        <v>0</v>
      </c>
      <c r="AP95" s="33">
        <f t="shared" si="137"/>
        <v>0</v>
      </c>
      <c r="AQ95" s="33">
        <f t="shared" si="138"/>
        <v>0</v>
      </c>
      <c r="AR95" s="132"/>
      <c r="AS95" s="132"/>
      <c r="AT95" s="132"/>
      <c r="AU95" s="132"/>
      <c r="AV95" s="133"/>
      <c r="AX95" s="16">
        <v>234</v>
      </c>
      <c r="AY95" s="16">
        <v>234</v>
      </c>
    </row>
    <row r="96" spans="1:53" ht="37.5">
      <c r="A96" s="109" t="s">
        <v>505</v>
      </c>
      <c r="B96" s="33" cm="1">
        <f t="array" ref="B96">IF(INDEX('Dropdown list'!$G$1:$J$94,MATCH('Project information'!$A$4&amp;'Project information'!$B$7,'Dropdown list'!$G$1:$G$94&amp;'Dropdown list'!$I$1:$I$94,0),4)="Y",AX96,AY96)</f>
        <v>255</v>
      </c>
      <c r="C96" s="33">
        <f t="shared" si="116"/>
        <v>19</v>
      </c>
      <c r="D96" s="33">
        <f t="shared" si="117"/>
        <v>76</v>
      </c>
      <c r="E96" s="33">
        <f t="shared" si="118"/>
        <v>88</v>
      </c>
      <c r="F96" s="33">
        <f t="shared" si="119"/>
        <v>64</v>
      </c>
      <c r="G96" s="33">
        <f t="shared" si="120"/>
        <v>13</v>
      </c>
      <c r="H96" s="120">
        <v>7.5853677097400915E-2</v>
      </c>
      <c r="I96" s="120">
        <v>0.29996657754010703</v>
      </c>
      <c r="J96" s="120">
        <v>0.34631238859180041</v>
      </c>
      <c r="K96" s="120">
        <v>0.25</v>
      </c>
      <c r="L96" s="121">
        <v>5.186051693404635E-2</v>
      </c>
      <c r="M96" s="109" t="str">
        <f t="shared" si="121"/>
        <v>Diesel (DOC+SDPF) Compact (Compact mixer in CCC ex: U shape, Chistera...)</v>
      </c>
      <c r="N96" s="33">
        <v>0</v>
      </c>
      <c r="O96" s="33">
        <f t="shared" si="122"/>
        <v>0</v>
      </c>
      <c r="P96" s="33">
        <f t="shared" si="123"/>
        <v>0</v>
      </c>
      <c r="Q96" s="33">
        <f t="shared" si="124"/>
        <v>0</v>
      </c>
      <c r="R96" s="33">
        <f t="shared" si="125"/>
        <v>0</v>
      </c>
      <c r="S96" s="33">
        <f t="shared" si="126"/>
        <v>0</v>
      </c>
      <c r="T96" s="110">
        <v>0</v>
      </c>
      <c r="U96" s="110">
        <v>0</v>
      </c>
      <c r="V96" s="110">
        <v>0</v>
      </c>
      <c r="W96" s="110">
        <v>0</v>
      </c>
      <c r="X96" s="111">
        <v>0</v>
      </c>
      <c r="Y96" s="109" t="str">
        <f t="shared" si="127"/>
        <v>Diesel (DOC+SDPF) Compact (Compact mixer in CCC ex: U shape, Chistera...)</v>
      </c>
      <c r="Z96" s="33">
        <v>240</v>
      </c>
      <c r="AA96" s="33">
        <f t="shared" si="128"/>
        <v>36</v>
      </c>
      <c r="AB96" s="33">
        <f t="shared" si="129"/>
        <v>72</v>
      </c>
      <c r="AC96" s="33">
        <f t="shared" si="130"/>
        <v>84</v>
      </c>
      <c r="AD96" s="33">
        <f t="shared" si="131"/>
        <v>43</v>
      </c>
      <c r="AE96" s="33">
        <f t="shared" si="132"/>
        <v>5</v>
      </c>
      <c r="AF96" s="110">
        <v>0.15</v>
      </c>
      <c r="AG96" s="110">
        <v>0.3</v>
      </c>
      <c r="AH96" s="110">
        <v>0.35</v>
      </c>
      <c r="AI96" s="110">
        <v>0.18</v>
      </c>
      <c r="AJ96" s="111">
        <v>0.02</v>
      </c>
      <c r="AK96" s="109" t="str">
        <f t="shared" si="133"/>
        <v>Diesel (DOC+SDPF) Compact (Compact mixer in CCC ex: U shape, Chistera...)</v>
      </c>
      <c r="AL96" s="118"/>
      <c r="AM96" s="33">
        <f t="shared" si="134"/>
        <v>0</v>
      </c>
      <c r="AN96" s="33">
        <f t="shared" si="135"/>
        <v>0</v>
      </c>
      <c r="AO96" s="33">
        <f t="shared" si="136"/>
        <v>0</v>
      </c>
      <c r="AP96" s="33">
        <f t="shared" si="137"/>
        <v>0</v>
      </c>
      <c r="AQ96" s="33">
        <f t="shared" si="138"/>
        <v>0</v>
      </c>
      <c r="AR96" s="132"/>
      <c r="AS96" s="132"/>
      <c r="AT96" s="132"/>
      <c r="AU96" s="132"/>
      <c r="AV96" s="133"/>
      <c r="AX96" s="16">
        <v>255</v>
      </c>
      <c r="AY96" s="16">
        <v>255</v>
      </c>
    </row>
    <row r="97" spans="1:51">
      <c r="A97" s="109" t="s">
        <v>509</v>
      </c>
      <c r="B97" s="33" cm="1">
        <f t="array" ref="B97">IF(INDEX('Dropdown list'!$G$1:$J$94,MATCH('Project information'!$A$4&amp;'Project information'!$B$7,'Dropdown list'!$G$1:$G$94&amp;'Dropdown list'!$I$1:$I$94,0),4)="Y",AX97,AY97)</f>
        <v>144</v>
      </c>
      <c r="C97" s="33">
        <f t="shared" si="116"/>
        <v>11</v>
      </c>
      <c r="D97" s="33">
        <f t="shared" si="117"/>
        <v>43</v>
      </c>
      <c r="E97" s="33">
        <f t="shared" si="118"/>
        <v>50</v>
      </c>
      <c r="F97" s="33">
        <f t="shared" si="119"/>
        <v>36</v>
      </c>
      <c r="G97" s="33">
        <f t="shared" si="120"/>
        <v>7</v>
      </c>
      <c r="H97" s="120">
        <v>7.5853677097400915E-2</v>
      </c>
      <c r="I97" s="120">
        <v>0.29996657754010703</v>
      </c>
      <c r="J97" s="120">
        <v>0.34631238859180041</v>
      </c>
      <c r="K97" s="120">
        <v>0.25</v>
      </c>
      <c r="L97" s="121">
        <v>5.186051693404635E-2</v>
      </c>
      <c r="M97" s="109" t="str">
        <f t="shared" si="121"/>
        <v>Manifold</v>
      </c>
      <c r="N97" s="33">
        <v>0</v>
      </c>
      <c r="O97" s="33">
        <f t="shared" si="122"/>
        <v>0</v>
      </c>
      <c r="P97" s="33">
        <f t="shared" si="123"/>
        <v>0</v>
      </c>
      <c r="Q97" s="33">
        <f t="shared" si="124"/>
        <v>0</v>
      </c>
      <c r="R97" s="33">
        <f t="shared" si="125"/>
        <v>0</v>
      </c>
      <c r="S97" s="33">
        <f t="shared" si="126"/>
        <v>0</v>
      </c>
      <c r="T97" s="110">
        <v>0</v>
      </c>
      <c r="U97" s="110">
        <v>0</v>
      </c>
      <c r="V97" s="110">
        <v>0</v>
      </c>
      <c r="W97" s="110">
        <v>0</v>
      </c>
      <c r="X97" s="111">
        <v>0</v>
      </c>
      <c r="Y97" s="109" t="str">
        <f t="shared" si="127"/>
        <v>Manifold</v>
      </c>
      <c r="Z97" s="33">
        <v>100</v>
      </c>
      <c r="AA97" s="33">
        <f t="shared" si="128"/>
        <v>15</v>
      </c>
      <c r="AB97" s="33">
        <f t="shared" si="129"/>
        <v>30</v>
      </c>
      <c r="AC97" s="33">
        <f t="shared" si="130"/>
        <v>35</v>
      </c>
      <c r="AD97" s="33">
        <f t="shared" si="131"/>
        <v>18</v>
      </c>
      <c r="AE97" s="33">
        <f t="shared" si="132"/>
        <v>2</v>
      </c>
      <c r="AF97" s="110">
        <v>0.15</v>
      </c>
      <c r="AG97" s="110">
        <v>0.3</v>
      </c>
      <c r="AH97" s="110">
        <v>0.35</v>
      </c>
      <c r="AI97" s="110">
        <v>0.18</v>
      </c>
      <c r="AJ97" s="111">
        <v>0.02</v>
      </c>
      <c r="AK97" s="109" t="str">
        <f t="shared" si="133"/>
        <v>Manifold</v>
      </c>
      <c r="AL97" s="118"/>
      <c r="AM97" s="33">
        <f t="shared" si="134"/>
        <v>0</v>
      </c>
      <c r="AN97" s="33">
        <f t="shared" si="135"/>
        <v>0</v>
      </c>
      <c r="AO97" s="33">
        <f t="shared" si="136"/>
        <v>0</v>
      </c>
      <c r="AP97" s="33">
        <f t="shared" si="137"/>
        <v>0</v>
      </c>
      <c r="AQ97" s="33">
        <f t="shared" si="138"/>
        <v>0</v>
      </c>
      <c r="AR97" s="132"/>
      <c r="AS97" s="132"/>
      <c r="AT97" s="132"/>
      <c r="AU97" s="132"/>
      <c r="AV97" s="133"/>
      <c r="AX97" s="16">
        <v>144</v>
      </c>
      <c r="AY97" s="16">
        <v>144</v>
      </c>
    </row>
    <row r="98" spans="1:51">
      <c r="A98" s="109" t="s">
        <v>512</v>
      </c>
      <c r="B98" s="33" cm="1">
        <f t="array" ref="B98">IF(INDEX('Dropdown list'!$G$1:$J$94,MATCH('Project information'!$A$4&amp;'Project information'!$B$7,'Dropdown list'!$G$1:$G$94&amp;'Dropdown list'!$I$1:$I$94,0),4)="Y",AX98,AY98)</f>
        <v>141</v>
      </c>
      <c r="C98" s="33">
        <f t="shared" si="116"/>
        <v>11</v>
      </c>
      <c r="D98" s="33">
        <f t="shared" si="117"/>
        <v>42</v>
      </c>
      <c r="E98" s="33">
        <f t="shared" si="118"/>
        <v>49</v>
      </c>
      <c r="F98" s="33">
        <f t="shared" si="119"/>
        <v>35</v>
      </c>
      <c r="G98" s="33">
        <f t="shared" si="120"/>
        <v>7</v>
      </c>
      <c r="H98" s="120">
        <v>7.5853677097400915E-2</v>
      </c>
      <c r="I98" s="120">
        <v>0.29996657754010703</v>
      </c>
      <c r="J98" s="120">
        <v>0.34631238859180041</v>
      </c>
      <c r="K98" s="120">
        <v>0.25</v>
      </c>
      <c r="L98" s="121">
        <v>5.186051693404635E-2</v>
      </c>
      <c r="M98" s="109" t="str">
        <f t="shared" si="121"/>
        <v xml:space="preserve">Maniverter </v>
      </c>
      <c r="N98" s="33">
        <v>0</v>
      </c>
      <c r="O98" s="33">
        <f t="shared" si="122"/>
        <v>0</v>
      </c>
      <c r="P98" s="33">
        <f t="shared" si="123"/>
        <v>0</v>
      </c>
      <c r="Q98" s="33">
        <f t="shared" si="124"/>
        <v>0</v>
      </c>
      <c r="R98" s="33">
        <f t="shared" si="125"/>
        <v>0</v>
      </c>
      <c r="S98" s="33">
        <f t="shared" si="126"/>
        <v>0</v>
      </c>
      <c r="T98" s="110">
        <v>0</v>
      </c>
      <c r="U98" s="110">
        <v>0</v>
      </c>
      <c r="V98" s="110">
        <v>0</v>
      </c>
      <c r="W98" s="110">
        <v>0</v>
      </c>
      <c r="X98" s="111">
        <v>0</v>
      </c>
      <c r="Y98" s="109" t="str">
        <f t="shared" si="127"/>
        <v xml:space="preserve">Maniverter </v>
      </c>
      <c r="Z98" s="33">
        <v>150</v>
      </c>
      <c r="AA98" s="33">
        <f t="shared" si="128"/>
        <v>23</v>
      </c>
      <c r="AB98" s="33">
        <f t="shared" si="129"/>
        <v>45</v>
      </c>
      <c r="AC98" s="33">
        <f t="shared" si="130"/>
        <v>53</v>
      </c>
      <c r="AD98" s="33">
        <f t="shared" si="131"/>
        <v>27</v>
      </c>
      <c r="AE98" s="33">
        <f t="shared" si="132"/>
        <v>3</v>
      </c>
      <c r="AF98" s="110">
        <v>0.15</v>
      </c>
      <c r="AG98" s="110">
        <v>0.3</v>
      </c>
      <c r="AH98" s="110">
        <v>0.35</v>
      </c>
      <c r="AI98" s="110">
        <v>0.18</v>
      </c>
      <c r="AJ98" s="111">
        <v>0.02</v>
      </c>
      <c r="AK98" s="109" t="str">
        <f t="shared" si="133"/>
        <v xml:space="preserve">Maniverter </v>
      </c>
      <c r="AL98" s="118"/>
      <c r="AM98" s="33">
        <f t="shared" si="134"/>
        <v>0</v>
      </c>
      <c r="AN98" s="33">
        <f t="shared" si="135"/>
        <v>0</v>
      </c>
      <c r="AO98" s="33">
        <f t="shared" si="136"/>
        <v>0</v>
      </c>
      <c r="AP98" s="33">
        <f t="shared" si="137"/>
        <v>0</v>
      </c>
      <c r="AQ98" s="33">
        <f t="shared" si="138"/>
        <v>0</v>
      </c>
      <c r="AR98" s="132"/>
      <c r="AS98" s="132"/>
      <c r="AT98" s="132"/>
      <c r="AU98" s="132"/>
      <c r="AV98" s="133"/>
      <c r="AX98" s="16">
        <v>141</v>
      </c>
      <c r="AY98" s="16">
        <v>141</v>
      </c>
    </row>
    <row r="99" spans="1:51">
      <c r="A99" s="109" t="s">
        <v>514</v>
      </c>
      <c r="B99" s="33" cm="1">
        <f t="array" ref="B99">IF(INDEX('Dropdown list'!$G$1:$J$94,MATCH('Project information'!$A$4&amp;'Project information'!$B$7,'Dropdown list'!$G$1:$G$94&amp;'Dropdown list'!$I$1:$I$94,0),4)="Y",AX99,AY99)</f>
        <v>0</v>
      </c>
      <c r="C99" s="33">
        <f t="shared" si="116"/>
        <v>0</v>
      </c>
      <c r="D99" s="33">
        <f t="shared" si="117"/>
        <v>0</v>
      </c>
      <c r="E99" s="33">
        <f t="shared" si="118"/>
        <v>0</v>
      </c>
      <c r="F99" s="33">
        <f t="shared" si="119"/>
        <v>0</v>
      </c>
      <c r="G99" s="33">
        <f t="shared" si="120"/>
        <v>0</v>
      </c>
      <c r="H99" s="120">
        <v>7.5853677097400915E-2</v>
      </c>
      <c r="I99" s="120">
        <v>0.29996657754010703</v>
      </c>
      <c r="J99" s="120">
        <v>0.34631238859180041</v>
      </c>
      <c r="K99" s="120">
        <v>0.25</v>
      </c>
      <c r="L99" s="121">
        <v>5.186051693404635E-2</v>
      </c>
      <c r="M99" s="109" t="str">
        <f t="shared" si="121"/>
        <v>Turbo HE</v>
      </c>
      <c r="N99" s="33">
        <v>0</v>
      </c>
      <c r="O99" s="33">
        <f t="shared" si="122"/>
        <v>0</v>
      </c>
      <c r="P99" s="33">
        <f t="shared" si="123"/>
        <v>0</v>
      </c>
      <c r="Q99" s="33">
        <f t="shared" si="124"/>
        <v>0</v>
      </c>
      <c r="R99" s="33">
        <f t="shared" si="125"/>
        <v>0</v>
      </c>
      <c r="S99" s="33">
        <f t="shared" si="126"/>
        <v>0</v>
      </c>
      <c r="T99" s="110">
        <v>0</v>
      </c>
      <c r="U99" s="110">
        <v>0</v>
      </c>
      <c r="V99" s="110">
        <v>0</v>
      </c>
      <c r="W99" s="110">
        <v>0</v>
      </c>
      <c r="X99" s="111">
        <v>0</v>
      </c>
      <c r="Y99" s="109" t="str">
        <f t="shared" si="127"/>
        <v>Turbo HE</v>
      </c>
      <c r="Z99" s="33">
        <v>120</v>
      </c>
      <c r="AA99" s="33">
        <f t="shared" si="128"/>
        <v>18</v>
      </c>
      <c r="AB99" s="33">
        <f t="shared" si="129"/>
        <v>36</v>
      </c>
      <c r="AC99" s="33">
        <f t="shared" si="130"/>
        <v>42</v>
      </c>
      <c r="AD99" s="33">
        <f t="shared" si="131"/>
        <v>22</v>
      </c>
      <c r="AE99" s="33">
        <f t="shared" si="132"/>
        <v>2</v>
      </c>
      <c r="AF99" s="110">
        <v>0.15</v>
      </c>
      <c r="AG99" s="110">
        <v>0.3</v>
      </c>
      <c r="AH99" s="110">
        <v>0.35</v>
      </c>
      <c r="AI99" s="110">
        <v>0.18</v>
      </c>
      <c r="AJ99" s="111">
        <v>0.02</v>
      </c>
      <c r="AK99" s="109" t="str">
        <f t="shared" si="133"/>
        <v>Turbo HE</v>
      </c>
      <c r="AL99" s="118"/>
      <c r="AM99" s="33">
        <f t="shared" si="134"/>
        <v>0</v>
      </c>
      <c r="AN99" s="33">
        <f t="shared" si="135"/>
        <v>0</v>
      </c>
      <c r="AO99" s="33">
        <f t="shared" si="136"/>
        <v>0</v>
      </c>
      <c r="AP99" s="33">
        <f t="shared" si="137"/>
        <v>0</v>
      </c>
      <c r="AQ99" s="33">
        <f t="shared" si="138"/>
        <v>0</v>
      </c>
      <c r="AR99" s="132"/>
      <c r="AS99" s="132"/>
      <c r="AT99" s="132"/>
      <c r="AU99" s="132"/>
      <c r="AV99" s="133"/>
    </row>
    <row r="100" spans="1:51">
      <c r="A100" s="109" t="s">
        <v>516</v>
      </c>
      <c r="B100" s="33" cm="1">
        <f t="array" ref="B100">IF(INDEX('Dropdown list'!$G$1:$J$94,MATCH('Project information'!$A$4&amp;'Project information'!$B$7,'Dropdown list'!$G$1:$G$94&amp;'Dropdown list'!$I$1:$I$94,0),4)="Y",AX100,AY100)</f>
        <v>0</v>
      </c>
      <c r="C100" s="33">
        <f t="shared" si="116"/>
        <v>0</v>
      </c>
      <c r="D100" s="33">
        <f t="shared" si="117"/>
        <v>0</v>
      </c>
      <c r="E100" s="33">
        <f t="shared" si="118"/>
        <v>0</v>
      </c>
      <c r="F100" s="33">
        <f t="shared" si="119"/>
        <v>0</v>
      </c>
      <c r="G100" s="33">
        <f t="shared" si="120"/>
        <v>0</v>
      </c>
      <c r="H100" s="120">
        <v>7.5853677097400915E-2</v>
      </c>
      <c r="I100" s="120">
        <v>0.29996657754010703</v>
      </c>
      <c r="J100" s="120">
        <v>0.34631238859180041</v>
      </c>
      <c r="K100" s="120">
        <v>0.25</v>
      </c>
      <c r="L100" s="121">
        <v>5.186051693404635E-2</v>
      </c>
      <c r="M100" s="109" t="str">
        <f t="shared" si="121"/>
        <v>Turbo HE + UCC</v>
      </c>
      <c r="N100" s="33">
        <v>0</v>
      </c>
      <c r="O100" s="33">
        <f t="shared" si="122"/>
        <v>0</v>
      </c>
      <c r="P100" s="33">
        <f t="shared" si="123"/>
        <v>0</v>
      </c>
      <c r="Q100" s="33">
        <f t="shared" si="124"/>
        <v>0</v>
      </c>
      <c r="R100" s="33">
        <f t="shared" si="125"/>
        <v>0</v>
      </c>
      <c r="S100" s="33">
        <f t="shared" si="126"/>
        <v>0</v>
      </c>
      <c r="T100" s="110">
        <v>0</v>
      </c>
      <c r="U100" s="110">
        <v>0</v>
      </c>
      <c r="V100" s="110">
        <v>0</v>
      </c>
      <c r="W100" s="110">
        <v>0</v>
      </c>
      <c r="X100" s="111">
        <v>0</v>
      </c>
      <c r="Y100" s="109" t="str">
        <f t="shared" si="127"/>
        <v>Turbo HE + UCC</v>
      </c>
      <c r="Z100" s="33">
        <v>145</v>
      </c>
      <c r="AA100" s="33">
        <f t="shared" si="128"/>
        <v>22</v>
      </c>
      <c r="AB100" s="33">
        <f t="shared" si="129"/>
        <v>44</v>
      </c>
      <c r="AC100" s="33">
        <f t="shared" si="130"/>
        <v>51</v>
      </c>
      <c r="AD100" s="33">
        <f t="shared" si="131"/>
        <v>26</v>
      </c>
      <c r="AE100" s="33">
        <f t="shared" si="132"/>
        <v>3</v>
      </c>
      <c r="AF100" s="110">
        <v>0.15</v>
      </c>
      <c r="AG100" s="110">
        <v>0.3</v>
      </c>
      <c r="AH100" s="110">
        <v>0.35</v>
      </c>
      <c r="AI100" s="110">
        <v>0.18</v>
      </c>
      <c r="AJ100" s="111">
        <v>0.02</v>
      </c>
      <c r="AK100" s="109" t="str">
        <f t="shared" si="133"/>
        <v>Turbo HE + UCC</v>
      </c>
      <c r="AL100" s="118"/>
      <c r="AM100" s="33">
        <f t="shared" si="134"/>
        <v>0</v>
      </c>
      <c r="AN100" s="33">
        <f t="shared" si="135"/>
        <v>0</v>
      </c>
      <c r="AO100" s="33">
        <f t="shared" si="136"/>
        <v>0</v>
      </c>
      <c r="AP100" s="33">
        <f t="shared" si="137"/>
        <v>0</v>
      </c>
      <c r="AQ100" s="33">
        <f t="shared" si="138"/>
        <v>0</v>
      </c>
      <c r="AR100" s="132"/>
      <c r="AS100" s="132"/>
      <c r="AT100" s="132"/>
      <c r="AU100" s="132"/>
      <c r="AV100" s="133"/>
    </row>
    <row r="101" spans="1:51">
      <c r="A101" s="109" t="s">
        <v>518</v>
      </c>
      <c r="B101" s="33" cm="1">
        <f t="array" ref="B101">IF(INDEX('Dropdown list'!$G$1:$J$94,MATCH('Project information'!$A$4&amp;'Project information'!$B$7,'Dropdown list'!$G$1:$G$94&amp;'Dropdown list'!$I$1:$I$94,0),4)="Y",AX101,AY101)</f>
        <v>34</v>
      </c>
      <c r="C101" s="33">
        <f t="shared" si="116"/>
        <v>3</v>
      </c>
      <c r="D101" s="33">
        <f t="shared" si="117"/>
        <v>10</v>
      </c>
      <c r="E101" s="33">
        <f t="shared" si="118"/>
        <v>12</v>
      </c>
      <c r="F101" s="33">
        <f t="shared" si="119"/>
        <v>9</v>
      </c>
      <c r="G101" s="33">
        <f t="shared" si="120"/>
        <v>2</v>
      </c>
      <c r="H101" s="120">
        <v>7.5853677097400915E-2</v>
      </c>
      <c r="I101" s="120">
        <v>0.29996657754010703</v>
      </c>
      <c r="J101" s="120">
        <v>0.34631238859180041</v>
      </c>
      <c r="K101" s="120">
        <v>0.25</v>
      </c>
      <c r="L101" s="121">
        <v>5.186051693404635E-2</v>
      </c>
      <c r="M101" s="109" t="str">
        <f t="shared" si="121"/>
        <v>UCC</v>
      </c>
      <c r="N101" s="33">
        <v>0</v>
      </c>
      <c r="O101" s="33">
        <f t="shared" si="122"/>
        <v>0</v>
      </c>
      <c r="P101" s="33">
        <f t="shared" si="123"/>
        <v>0</v>
      </c>
      <c r="Q101" s="33">
        <f t="shared" si="124"/>
        <v>0</v>
      </c>
      <c r="R101" s="33">
        <f t="shared" si="125"/>
        <v>0</v>
      </c>
      <c r="S101" s="33">
        <f t="shared" si="126"/>
        <v>0</v>
      </c>
      <c r="T101" s="110">
        <v>0</v>
      </c>
      <c r="U101" s="110">
        <v>0</v>
      </c>
      <c r="V101" s="110">
        <v>0</v>
      </c>
      <c r="W101" s="110">
        <v>0</v>
      </c>
      <c r="X101" s="111">
        <v>0</v>
      </c>
      <c r="Y101" s="109" t="str">
        <f t="shared" si="127"/>
        <v>UCC</v>
      </c>
      <c r="Z101" s="33">
        <v>80</v>
      </c>
      <c r="AA101" s="33">
        <f t="shared" si="128"/>
        <v>12</v>
      </c>
      <c r="AB101" s="33">
        <f t="shared" si="129"/>
        <v>24</v>
      </c>
      <c r="AC101" s="33">
        <f t="shared" si="130"/>
        <v>28</v>
      </c>
      <c r="AD101" s="33">
        <f t="shared" si="131"/>
        <v>14</v>
      </c>
      <c r="AE101" s="33">
        <f t="shared" si="132"/>
        <v>2</v>
      </c>
      <c r="AF101" s="110">
        <v>0.15</v>
      </c>
      <c r="AG101" s="110">
        <v>0.3</v>
      </c>
      <c r="AH101" s="110">
        <v>0.35</v>
      </c>
      <c r="AI101" s="110">
        <v>0.18</v>
      </c>
      <c r="AJ101" s="111">
        <v>0.02</v>
      </c>
      <c r="AK101" s="109" t="str">
        <f t="shared" si="133"/>
        <v>UCC</v>
      </c>
      <c r="AL101" s="118"/>
      <c r="AM101" s="33">
        <f t="shared" si="134"/>
        <v>0</v>
      </c>
      <c r="AN101" s="33">
        <f t="shared" si="135"/>
        <v>0</v>
      </c>
      <c r="AO101" s="33">
        <f t="shared" si="136"/>
        <v>0</v>
      </c>
      <c r="AP101" s="33">
        <f t="shared" si="137"/>
        <v>0</v>
      </c>
      <c r="AQ101" s="33">
        <f t="shared" si="138"/>
        <v>0</v>
      </c>
      <c r="AR101" s="132"/>
      <c r="AS101" s="132"/>
      <c r="AT101" s="132"/>
      <c r="AU101" s="132"/>
      <c r="AV101" s="133"/>
      <c r="AX101" s="16">
        <v>34</v>
      </c>
      <c r="AY101" s="16">
        <v>34</v>
      </c>
    </row>
    <row r="102" spans="1:51">
      <c r="A102" s="109" t="s">
        <v>520</v>
      </c>
      <c r="B102" s="33" cm="1">
        <f t="array" ref="B102">IF(INDEX('Dropdown list'!$G$1:$J$94,MATCH('Project information'!$A$4&amp;'Project information'!$B$7,'Dropdown list'!$G$1:$G$94&amp;'Dropdown list'!$I$1:$I$94,0),4)="Y",AX102,AY102)</f>
        <v>0</v>
      </c>
      <c r="C102" s="33">
        <f t="shared" si="116"/>
        <v>0</v>
      </c>
      <c r="D102" s="33">
        <f t="shared" si="117"/>
        <v>0</v>
      </c>
      <c r="E102" s="33">
        <f t="shared" si="118"/>
        <v>0</v>
      </c>
      <c r="F102" s="33">
        <f t="shared" si="119"/>
        <v>0</v>
      </c>
      <c r="G102" s="33">
        <f t="shared" si="120"/>
        <v>0</v>
      </c>
      <c r="H102" s="110">
        <v>0.15</v>
      </c>
      <c r="I102" s="110">
        <v>0.3</v>
      </c>
      <c r="J102" s="110">
        <v>0.35</v>
      </c>
      <c r="K102" s="110">
        <v>0.18</v>
      </c>
      <c r="L102" s="111">
        <v>0.02</v>
      </c>
      <c r="M102" s="109" t="str">
        <f t="shared" si="121"/>
        <v>Box</v>
      </c>
      <c r="N102" s="33">
        <v>600</v>
      </c>
      <c r="O102" s="33">
        <f t="shared" si="122"/>
        <v>90</v>
      </c>
      <c r="P102" s="33">
        <f t="shared" si="123"/>
        <v>180</v>
      </c>
      <c r="Q102" s="33">
        <f t="shared" si="124"/>
        <v>210</v>
      </c>
      <c r="R102" s="33">
        <f t="shared" si="125"/>
        <v>108</v>
      </c>
      <c r="S102" s="33">
        <f t="shared" si="126"/>
        <v>12</v>
      </c>
      <c r="T102" s="110">
        <v>0.15</v>
      </c>
      <c r="U102" s="110">
        <v>0.3</v>
      </c>
      <c r="V102" s="110">
        <v>0.35</v>
      </c>
      <c r="W102" s="110">
        <v>0.18</v>
      </c>
      <c r="X102" s="111">
        <v>0.02</v>
      </c>
      <c r="Y102" s="109" t="str">
        <f t="shared" si="127"/>
        <v>Box</v>
      </c>
      <c r="Z102" s="33">
        <v>600</v>
      </c>
      <c r="AA102" s="33">
        <f t="shared" si="128"/>
        <v>90</v>
      </c>
      <c r="AB102" s="33">
        <f t="shared" si="129"/>
        <v>180</v>
      </c>
      <c r="AC102" s="33">
        <f t="shared" si="130"/>
        <v>210</v>
      </c>
      <c r="AD102" s="33">
        <f t="shared" si="131"/>
        <v>108</v>
      </c>
      <c r="AE102" s="33">
        <f t="shared" si="132"/>
        <v>12</v>
      </c>
      <c r="AF102" s="110">
        <v>0.15</v>
      </c>
      <c r="AG102" s="110">
        <v>0.3</v>
      </c>
      <c r="AH102" s="110">
        <v>0.35</v>
      </c>
      <c r="AI102" s="110">
        <v>0.18</v>
      </c>
      <c r="AJ102" s="111">
        <v>0.02</v>
      </c>
      <c r="AK102" s="109" t="str">
        <f t="shared" si="133"/>
        <v>Box</v>
      </c>
      <c r="AL102" s="33">
        <v>600</v>
      </c>
      <c r="AM102" s="33">
        <f t="shared" si="134"/>
        <v>90</v>
      </c>
      <c r="AN102" s="33">
        <f t="shared" si="135"/>
        <v>180</v>
      </c>
      <c r="AO102" s="33">
        <f t="shared" si="136"/>
        <v>210</v>
      </c>
      <c r="AP102" s="33">
        <f t="shared" si="137"/>
        <v>108</v>
      </c>
      <c r="AQ102" s="33">
        <f t="shared" si="138"/>
        <v>12</v>
      </c>
      <c r="AR102" s="110">
        <v>0.15</v>
      </c>
      <c r="AS102" s="110">
        <v>0.3</v>
      </c>
      <c r="AT102" s="110">
        <v>0.35</v>
      </c>
      <c r="AU102" s="110">
        <v>0.18</v>
      </c>
      <c r="AV102" s="111">
        <v>0.02</v>
      </c>
    </row>
    <row r="103" spans="1:51">
      <c r="A103" s="109" t="s">
        <v>523</v>
      </c>
      <c r="B103" s="33" cm="1">
        <f t="array" ref="B103">IF(INDEX('Dropdown list'!$G$1:$J$94,MATCH('Project information'!$A$4&amp;'Project information'!$B$7,'Dropdown list'!$G$1:$G$94&amp;'Dropdown list'!$I$1:$I$94,0),4)="Y",AX103,AY103)</f>
        <v>107</v>
      </c>
      <c r="C103" s="33">
        <f t="shared" si="116"/>
        <v>16</v>
      </c>
      <c r="D103" s="33">
        <f t="shared" si="117"/>
        <v>32</v>
      </c>
      <c r="E103" s="33">
        <f t="shared" si="118"/>
        <v>37</v>
      </c>
      <c r="F103" s="33">
        <f t="shared" si="119"/>
        <v>19</v>
      </c>
      <c r="G103" s="33">
        <f t="shared" si="120"/>
        <v>2</v>
      </c>
      <c r="H103" s="110">
        <v>0.15</v>
      </c>
      <c r="I103" s="110">
        <v>0.3</v>
      </c>
      <c r="J103" s="110">
        <v>0.35</v>
      </c>
      <c r="K103" s="110">
        <v>0.18</v>
      </c>
      <c r="L103" s="111">
        <v>0.02</v>
      </c>
      <c r="M103" s="109" t="str">
        <f t="shared" si="121"/>
        <v>Decomposition pipe</v>
      </c>
      <c r="N103" s="33">
        <v>100</v>
      </c>
      <c r="O103" s="33">
        <f t="shared" si="122"/>
        <v>15</v>
      </c>
      <c r="P103" s="33">
        <f t="shared" si="123"/>
        <v>30</v>
      </c>
      <c r="Q103" s="33">
        <f t="shared" si="124"/>
        <v>35</v>
      </c>
      <c r="R103" s="33">
        <f t="shared" si="125"/>
        <v>18</v>
      </c>
      <c r="S103" s="33">
        <f t="shared" si="126"/>
        <v>2</v>
      </c>
      <c r="T103" s="110">
        <v>0.15</v>
      </c>
      <c r="U103" s="110">
        <v>0.3</v>
      </c>
      <c r="V103" s="110">
        <v>0.35</v>
      </c>
      <c r="W103" s="110">
        <v>0.18</v>
      </c>
      <c r="X103" s="111">
        <v>0.02</v>
      </c>
      <c r="Y103" s="109" t="str">
        <f t="shared" si="127"/>
        <v>Decomposition pipe</v>
      </c>
      <c r="Z103" s="33">
        <v>100</v>
      </c>
      <c r="AA103" s="33">
        <f t="shared" si="128"/>
        <v>15</v>
      </c>
      <c r="AB103" s="33">
        <f t="shared" si="129"/>
        <v>30</v>
      </c>
      <c r="AC103" s="33">
        <f t="shared" si="130"/>
        <v>35</v>
      </c>
      <c r="AD103" s="33">
        <f t="shared" si="131"/>
        <v>18</v>
      </c>
      <c r="AE103" s="33">
        <f t="shared" si="132"/>
        <v>2</v>
      </c>
      <c r="AF103" s="110">
        <v>0.15</v>
      </c>
      <c r="AG103" s="110">
        <v>0.3</v>
      </c>
      <c r="AH103" s="110">
        <v>0.35</v>
      </c>
      <c r="AI103" s="110">
        <v>0.18</v>
      </c>
      <c r="AJ103" s="111">
        <v>0.02</v>
      </c>
      <c r="AK103" s="109" t="str">
        <f t="shared" si="133"/>
        <v>Decomposition pipe</v>
      </c>
      <c r="AL103" s="33">
        <v>100</v>
      </c>
      <c r="AM103" s="33">
        <f t="shared" si="134"/>
        <v>15</v>
      </c>
      <c r="AN103" s="33">
        <f t="shared" si="135"/>
        <v>30</v>
      </c>
      <c r="AO103" s="33">
        <f t="shared" si="136"/>
        <v>35</v>
      </c>
      <c r="AP103" s="33">
        <f t="shared" si="137"/>
        <v>18</v>
      </c>
      <c r="AQ103" s="33">
        <f t="shared" si="138"/>
        <v>2</v>
      </c>
      <c r="AR103" s="110">
        <v>0.15</v>
      </c>
      <c r="AS103" s="110">
        <v>0.3</v>
      </c>
      <c r="AT103" s="110">
        <v>0.35</v>
      </c>
      <c r="AU103" s="110">
        <v>0.18</v>
      </c>
      <c r="AV103" s="111">
        <v>0.02</v>
      </c>
      <c r="AX103" s="16">
        <v>107</v>
      </c>
      <c r="AY103" s="16">
        <v>107</v>
      </c>
    </row>
    <row r="104" spans="1:51">
      <c r="A104" s="109" t="s">
        <v>524</v>
      </c>
      <c r="B104" s="33" cm="1">
        <f t="array" ref="B104">IF(INDEX('Dropdown list'!$G$1:$J$94,MATCH('Project information'!$A$4&amp;'Project information'!$B$7,'Dropdown list'!$G$1:$G$94&amp;'Dropdown list'!$I$1:$I$94,0),4)="Y",AX104,AY104)</f>
        <v>0</v>
      </c>
      <c r="C104" s="33">
        <f t="shared" si="116"/>
        <v>0</v>
      </c>
      <c r="D104" s="33">
        <f t="shared" si="117"/>
        <v>0</v>
      </c>
      <c r="E104" s="33">
        <f t="shared" si="118"/>
        <v>0</v>
      </c>
      <c r="F104" s="33">
        <f t="shared" si="119"/>
        <v>0</v>
      </c>
      <c r="G104" s="33">
        <f t="shared" si="120"/>
        <v>0</v>
      </c>
      <c r="H104" s="110">
        <v>0.15</v>
      </c>
      <c r="I104" s="110">
        <v>0.3</v>
      </c>
      <c r="J104" s="110">
        <v>0.35</v>
      </c>
      <c r="K104" s="110">
        <v>0.18</v>
      </c>
      <c r="L104" s="111">
        <v>0.02</v>
      </c>
      <c r="M104" s="109" t="str">
        <f t="shared" si="121"/>
        <v>Inline</v>
      </c>
      <c r="N104" s="33">
        <v>300</v>
      </c>
      <c r="O104" s="33">
        <f t="shared" si="122"/>
        <v>45</v>
      </c>
      <c r="P104" s="33">
        <f t="shared" si="123"/>
        <v>90</v>
      </c>
      <c r="Q104" s="33">
        <f t="shared" si="124"/>
        <v>105</v>
      </c>
      <c r="R104" s="33">
        <f t="shared" si="125"/>
        <v>54</v>
      </c>
      <c r="S104" s="33">
        <f t="shared" si="126"/>
        <v>6</v>
      </c>
      <c r="T104" s="110">
        <v>0.15</v>
      </c>
      <c r="U104" s="110">
        <v>0.3</v>
      </c>
      <c r="V104" s="110">
        <v>0.35</v>
      </c>
      <c r="W104" s="110">
        <v>0.18</v>
      </c>
      <c r="X104" s="111">
        <v>0.02</v>
      </c>
      <c r="Y104" s="109" t="str">
        <f t="shared" si="127"/>
        <v>Inline</v>
      </c>
      <c r="Z104" s="33">
        <v>300</v>
      </c>
      <c r="AA104" s="33">
        <f t="shared" si="128"/>
        <v>45</v>
      </c>
      <c r="AB104" s="33">
        <f t="shared" si="129"/>
        <v>90</v>
      </c>
      <c r="AC104" s="33">
        <f t="shared" si="130"/>
        <v>105</v>
      </c>
      <c r="AD104" s="33">
        <f t="shared" si="131"/>
        <v>54</v>
      </c>
      <c r="AE104" s="33">
        <f t="shared" si="132"/>
        <v>6</v>
      </c>
      <c r="AF104" s="110">
        <v>0.15</v>
      </c>
      <c r="AG104" s="110">
        <v>0.3</v>
      </c>
      <c r="AH104" s="110">
        <v>0.35</v>
      </c>
      <c r="AI104" s="110">
        <v>0.18</v>
      </c>
      <c r="AJ104" s="111">
        <v>0.02</v>
      </c>
      <c r="AK104" s="109" t="str">
        <f t="shared" si="133"/>
        <v>Inline</v>
      </c>
      <c r="AL104" s="33">
        <v>300</v>
      </c>
      <c r="AM104" s="33">
        <f t="shared" si="134"/>
        <v>45</v>
      </c>
      <c r="AN104" s="33">
        <f t="shared" si="135"/>
        <v>90</v>
      </c>
      <c r="AO104" s="33">
        <f t="shared" si="136"/>
        <v>105</v>
      </c>
      <c r="AP104" s="33">
        <f t="shared" si="137"/>
        <v>54</v>
      </c>
      <c r="AQ104" s="33">
        <f t="shared" si="138"/>
        <v>6</v>
      </c>
      <c r="AR104" s="110">
        <v>0.15</v>
      </c>
      <c r="AS104" s="110">
        <v>0.3</v>
      </c>
      <c r="AT104" s="110">
        <v>0.35</v>
      </c>
      <c r="AU104" s="110">
        <v>0.18</v>
      </c>
      <c r="AV104" s="111">
        <v>0.02</v>
      </c>
    </row>
    <row r="105" spans="1:51">
      <c r="A105" s="109" t="s">
        <v>526</v>
      </c>
      <c r="B105" s="33" cm="1">
        <f t="array" ref="B105">IF(INDEX('Dropdown list'!$G$1:$J$94,MATCH('Project information'!$A$4&amp;'Project information'!$B$7,'Dropdown list'!$G$1:$G$94&amp;'Dropdown list'!$I$1:$I$94,0),4)="Y",AX105,AY105)</f>
        <v>108</v>
      </c>
      <c r="C105" s="33">
        <f t="shared" si="116"/>
        <v>16</v>
      </c>
      <c r="D105" s="33">
        <f t="shared" si="117"/>
        <v>32</v>
      </c>
      <c r="E105" s="33">
        <f t="shared" si="118"/>
        <v>38</v>
      </c>
      <c r="F105" s="33">
        <f t="shared" si="119"/>
        <v>19</v>
      </c>
      <c r="G105" s="33">
        <f t="shared" si="120"/>
        <v>2</v>
      </c>
      <c r="H105" s="110">
        <v>0.15</v>
      </c>
      <c r="I105" s="110">
        <v>0.3</v>
      </c>
      <c r="J105" s="110">
        <v>0.35</v>
      </c>
      <c r="K105" s="110">
        <v>0.18</v>
      </c>
      <c r="L105" s="111">
        <v>0.02</v>
      </c>
      <c r="M105" s="109" t="str">
        <f t="shared" si="121"/>
        <v>Compact Mixer</v>
      </c>
      <c r="N105" s="33">
        <v>100</v>
      </c>
      <c r="O105" s="33">
        <f t="shared" si="122"/>
        <v>15</v>
      </c>
      <c r="P105" s="33">
        <f t="shared" si="123"/>
        <v>30</v>
      </c>
      <c r="Q105" s="33">
        <f t="shared" si="124"/>
        <v>35</v>
      </c>
      <c r="R105" s="33">
        <f t="shared" si="125"/>
        <v>18</v>
      </c>
      <c r="S105" s="33">
        <f t="shared" si="126"/>
        <v>2</v>
      </c>
      <c r="T105" s="110">
        <v>0.15</v>
      </c>
      <c r="U105" s="110">
        <v>0.3</v>
      </c>
      <c r="V105" s="110">
        <v>0.35</v>
      </c>
      <c r="W105" s="110">
        <v>0.18</v>
      </c>
      <c r="X105" s="111">
        <v>0.02</v>
      </c>
      <c r="Y105" s="109" t="str">
        <f t="shared" si="127"/>
        <v>Compact Mixer</v>
      </c>
      <c r="Z105" s="33">
        <v>100</v>
      </c>
      <c r="AA105" s="33">
        <f t="shared" si="128"/>
        <v>15</v>
      </c>
      <c r="AB105" s="33">
        <f t="shared" si="129"/>
        <v>30</v>
      </c>
      <c r="AC105" s="33">
        <f t="shared" si="130"/>
        <v>35</v>
      </c>
      <c r="AD105" s="33">
        <f t="shared" si="131"/>
        <v>18</v>
      </c>
      <c r="AE105" s="33">
        <f t="shared" si="132"/>
        <v>2</v>
      </c>
      <c r="AF105" s="110">
        <v>0.15</v>
      </c>
      <c r="AG105" s="110">
        <v>0.3</v>
      </c>
      <c r="AH105" s="110">
        <v>0.35</v>
      </c>
      <c r="AI105" s="110">
        <v>0.18</v>
      </c>
      <c r="AJ105" s="111">
        <v>0.02</v>
      </c>
      <c r="AK105" s="109" t="str">
        <f t="shared" si="133"/>
        <v>Compact Mixer</v>
      </c>
      <c r="AL105" s="33">
        <v>100</v>
      </c>
      <c r="AM105" s="33">
        <f t="shared" si="134"/>
        <v>15</v>
      </c>
      <c r="AN105" s="33">
        <f t="shared" si="135"/>
        <v>30</v>
      </c>
      <c r="AO105" s="33">
        <f t="shared" si="136"/>
        <v>35</v>
      </c>
      <c r="AP105" s="33">
        <f t="shared" si="137"/>
        <v>18</v>
      </c>
      <c r="AQ105" s="33">
        <f t="shared" si="138"/>
        <v>2</v>
      </c>
      <c r="AR105" s="110">
        <v>0.15</v>
      </c>
      <c r="AS105" s="110">
        <v>0.3</v>
      </c>
      <c r="AT105" s="110">
        <v>0.35</v>
      </c>
      <c r="AU105" s="110">
        <v>0.18</v>
      </c>
      <c r="AV105" s="111">
        <v>0.02</v>
      </c>
      <c r="AX105" s="16">
        <v>108</v>
      </c>
      <c r="AY105" s="16">
        <v>108</v>
      </c>
    </row>
    <row r="106" spans="1:51">
      <c r="A106" s="109" t="s">
        <v>528</v>
      </c>
      <c r="B106" s="33" cm="1">
        <f t="array" ref="B106">IF(INDEX('Dropdown list'!$G$1:$J$94,MATCH('Project information'!$A$4&amp;'Project information'!$B$7,'Dropdown list'!$G$1:$G$94&amp;'Dropdown list'!$I$1:$I$94,0),4)="Y",AX106,AY106)</f>
        <v>0</v>
      </c>
      <c r="C106" s="33">
        <f t="shared" si="116"/>
        <v>0</v>
      </c>
      <c r="D106" s="33">
        <f t="shared" si="117"/>
        <v>0</v>
      </c>
      <c r="E106" s="33">
        <f t="shared" si="118"/>
        <v>0</v>
      </c>
      <c r="F106" s="33">
        <f t="shared" si="119"/>
        <v>0</v>
      </c>
      <c r="G106" s="33">
        <f t="shared" si="120"/>
        <v>0</v>
      </c>
      <c r="H106" s="110">
        <v>0.15</v>
      </c>
      <c r="I106" s="110">
        <v>0.3</v>
      </c>
      <c r="J106" s="110">
        <v>0.35</v>
      </c>
      <c r="K106" s="110">
        <v>0.18</v>
      </c>
      <c r="L106" s="111">
        <v>0.02</v>
      </c>
      <c r="M106" s="109" t="str">
        <f t="shared" si="121"/>
        <v>Switch back</v>
      </c>
      <c r="N106" s="33">
        <v>500</v>
      </c>
      <c r="O106" s="33">
        <f t="shared" si="122"/>
        <v>75</v>
      </c>
      <c r="P106" s="33">
        <f t="shared" si="123"/>
        <v>150</v>
      </c>
      <c r="Q106" s="33">
        <f t="shared" si="124"/>
        <v>175</v>
      </c>
      <c r="R106" s="33">
        <f t="shared" si="125"/>
        <v>90</v>
      </c>
      <c r="S106" s="33">
        <f t="shared" si="126"/>
        <v>10</v>
      </c>
      <c r="T106" s="110">
        <v>0.15</v>
      </c>
      <c r="U106" s="110">
        <v>0.3</v>
      </c>
      <c r="V106" s="110">
        <v>0.35</v>
      </c>
      <c r="W106" s="110">
        <v>0.18</v>
      </c>
      <c r="X106" s="111">
        <v>0.02</v>
      </c>
      <c r="Y106" s="109" t="str">
        <f t="shared" si="127"/>
        <v>Switch back</v>
      </c>
      <c r="Z106" s="33">
        <v>500</v>
      </c>
      <c r="AA106" s="33">
        <f t="shared" si="128"/>
        <v>75</v>
      </c>
      <c r="AB106" s="33">
        <f t="shared" si="129"/>
        <v>150</v>
      </c>
      <c r="AC106" s="33">
        <f t="shared" si="130"/>
        <v>175</v>
      </c>
      <c r="AD106" s="33">
        <f t="shared" si="131"/>
        <v>90</v>
      </c>
      <c r="AE106" s="33">
        <f t="shared" si="132"/>
        <v>10</v>
      </c>
      <c r="AF106" s="110">
        <v>0.15</v>
      </c>
      <c r="AG106" s="110">
        <v>0.3</v>
      </c>
      <c r="AH106" s="110">
        <v>0.35</v>
      </c>
      <c r="AI106" s="110">
        <v>0.18</v>
      </c>
      <c r="AJ106" s="111">
        <v>0.02</v>
      </c>
      <c r="AK106" s="109" t="str">
        <f t="shared" si="133"/>
        <v>Switch back</v>
      </c>
      <c r="AL106" s="33">
        <v>500</v>
      </c>
      <c r="AM106" s="33">
        <f t="shared" si="134"/>
        <v>75</v>
      </c>
      <c r="AN106" s="33">
        <f t="shared" si="135"/>
        <v>150</v>
      </c>
      <c r="AO106" s="33">
        <f t="shared" si="136"/>
        <v>175</v>
      </c>
      <c r="AP106" s="33">
        <f t="shared" si="137"/>
        <v>90</v>
      </c>
      <c r="AQ106" s="33">
        <f t="shared" si="138"/>
        <v>10</v>
      </c>
      <c r="AR106" s="110">
        <v>0.15</v>
      </c>
      <c r="AS106" s="110">
        <v>0.3</v>
      </c>
      <c r="AT106" s="110">
        <v>0.35</v>
      </c>
      <c r="AU106" s="110">
        <v>0.18</v>
      </c>
      <c r="AV106" s="111">
        <v>0.02</v>
      </c>
    </row>
    <row r="107" spans="1:51">
      <c r="A107" s="109" t="s">
        <v>531</v>
      </c>
      <c r="B107" s="33" cm="1">
        <f t="array" ref="B107">IF(INDEX('Dropdown list'!$G$1:$J$94,MATCH('Project information'!$A$4&amp;'Project information'!$B$7,'Dropdown list'!$G$1:$G$94&amp;'Dropdown list'!$I$1:$I$94,0),4)="Y",AX107,AY107)</f>
        <v>108</v>
      </c>
      <c r="C107" s="33">
        <f t="shared" si="116"/>
        <v>16</v>
      </c>
      <c r="D107" s="33">
        <f t="shared" si="117"/>
        <v>32</v>
      </c>
      <c r="E107" s="33">
        <f t="shared" si="118"/>
        <v>38</v>
      </c>
      <c r="F107" s="33">
        <f t="shared" si="119"/>
        <v>19</v>
      </c>
      <c r="G107" s="33">
        <f t="shared" si="120"/>
        <v>2</v>
      </c>
      <c r="H107" s="110">
        <v>0.15</v>
      </c>
      <c r="I107" s="110">
        <v>0.3</v>
      </c>
      <c r="J107" s="110">
        <v>0.35</v>
      </c>
      <c r="K107" s="110">
        <v>0.18</v>
      </c>
      <c r="L107" s="111">
        <v>0.02</v>
      </c>
      <c r="M107" s="109" t="str">
        <f t="shared" si="121"/>
        <v>U-Mixer</v>
      </c>
      <c r="N107" s="33">
        <v>100</v>
      </c>
      <c r="O107" s="33">
        <f t="shared" si="122"/>
        <v>15</v>
      </c>
      <c r="P107" s="33">
        <f t="shared" si="123"/>
        <v>30</v>
      </c>
      <c r="Q107" s="33">
        <f t="shared" si="124"/>
        <v>35</v>
      </c>
      <c r="R107" s="33">
        <f t="shared" si="125"/>
        <v>18</v>
      </c>
      <c r="S107" s="33">
        <f t="shared" si="126"/>
        <v>2</v>
      </c>
      <c r="T107" s="110">
        <v>0.15</v>
      </c>
      <c r="U107" s="110">
        <v>0.3</v>
      </c>
      <c r="V107" s="110">
        <v>0.35</v>
      </c>
      <c r="W107" s="110">
        <v>0.18</v>
      </c>
      <c r="X107" s="111">
        <v>0.02</v>
      </c>
      <c r="Y107" s="109" t="str">
        <f t="shared" si="127"/>
        <v>U-Mixer</v>
      </c>
      <c r="Z107" s="33">
        <v>100</v>
      </c>
      <c r="AA107" s="33">
        <f t="shared" si="128"/>
        <v>15</v>
      </c>
      <c r="AB107" s="33">
        <f t="shared" si="129"/>
        <v>30</v>
      </c>
      <c r="AC107" s="33">
        <f t="shared" si="130"/>
        <v>35</v>
      </c>
      <c r="AD107" s="33">
        <f t="shared" si="131"/>
        <v>18</v>
      </c>
      <c r="AE107" s="33">
        <f t="shared" si="132"/>
        <v>2</v>
      </c>
      <c r="AF107" s="110">
        <v>0.15</v>
      </c>
      <c r="AG107" s="110">
        <v>0.3</v>
      </c>
      <c r="AH107" s="110">
        <v>0.35</v>
      </c>
      <c r="AI107" s="110">
        <v>0.18</v>
      </c>
      <c r="AJ107" s="111">
        <v>0.02</v>
      </c>
      <c r="AK107" s="109" t="str">
        <f t="shared" si="133"/>
        <v>U-Mixer</v>
      </c>
      <c r="AL107" s="33">
        <v>100</v>
      </c>
      <c r="AM107" s="33">
        <f t="shared" si="134"/>
        <v>15</v>
      </c>
      <c r="AN107" s="33">
        <f t="shared" si="135"/>
        <v>30</v>
      </c>
      <c r="AO107" s="33">
        <f t="shared" si="136"/>
        <v>35</v>
      </c>
      <c r="AP107" s="33">
        <f t="shared" si="137"/>
        <v>18</v>
      </c>
      <c r="AQ107" s="33">
        <f t="shared" si="138"/>
        <v>2</v>
      </c>
      <c r="AR107" s="110">
        <v>0.15</v>
      </c>
      <c r="AS107" s="110">
        <v>0.3</v>
      </c>
      <c r="AT107" s="110">
        <v>0.35</v>
      </c>
      <c r="AU107" s="110">
        <v>0.18</v>
      </c>
      <c r="AV107" s="111">
        <v>0.02</v>
      </c>
      <c r="AX107" s="16">
        <v>108</v>
      </c>
      <c r="AY107" s="16">
        <v>108</v>
      </c>
    </row>
    <row r="108" spans="1:51" ht="13" thickBot="1">
      <c r="A108" s="112" t="s">
        <v>534</v>
      </c>
      <c r="B108" s="113" cm="1">
        <f t="array" ref="B108">IF(INDEX('Dropdown list'!$G$1:$J$94,MATCH('Project information'!$A$4&amp;'Project information'!$B$7,'Dropdown list'!$G$1:$G$94&amp;'Dropdown list'!$I$1:$I$94,0),4)="Y",AX108,AY108)</f>
        <v>0</v>
      </c>
      <c r="C108" s="113">
        <f t="shared" si="116"/>
        <v>0</v>
      </c>
      <c r="D108" s="113">
        <f t="shared" si="117"/>
        <v>0</v>
      </c>
      <c r="E108" s="113">
        <f t="shared" si="118"/>
        <v>0</v>
      </c>
      <c r="F108" s="113">
        <f t="shared" si="119"/>
        <v>0</v>
      </c>
      <c r="G108" s="113">
        <f t="shared" si="120"/>
        <v>0</v>
      </c>
      <c r="H108" s="114">
        <v>0.15</v>
      </c>
      <c r="I108" s="114">
        <v>0.3</v>
      </c>
      <c r="J108" s="114">
        <v>0.35</v>
      </c>
      <c r="K108" s="114">
        <v>0.18</v>
      </c>
      <c r="L108" s="115">
        <v>0.02</v>
      </c>
      <c r="M108" s="112" t="str">
        <f t="shared" si="121"/>
        <v>U-shape</v>
      </c>
      <c r="N108" s="113">
        <v>500</v>
      </c>
      <c r="O108" s="113">
        <f t="shared" si="122"/>
        <v>75</v>
      </c>
      <c r="P108" s="113">
        <f t="shared" si="123"/>
        <v>150</v>
      </c>
      <c r="Q108" s="113">
        <f t="shared" si="124"/>
        <v>175</v>
      </c>
      <c r="R108" s="113">
        <f t="shared" si="125"/>
        <v>90</v>
      </c>
      <c r="S108" s="113">
        <f t="shared" si="126"/>
        <v>10</v>
      </c>
      <c r="T108" s="114">
        <v>0.15</v>
      </c>
      <c r="U108" s="114">
        <v>0.3</v>
      </c>
      <c r="V108" s="114">
        <v>0.35</v>
      </c>
      <c r="W108" s="114">
        <v>0.18</v>
      </c>
      <c r="X108" s="115">
        <v>0.02</v>
      </c>
      <c r="Y108" s="112" t="s">
        <v>534</v>
      </c>
      <c r="Z108" s="113">
        <v>500</v>
      </c>
      <c r="AA108" s="113">
        <f t="shared" si="128"/>
        <v>75</v>
      </c>
      <c r="AB108" s="113">
        <f t="shared" si="129"/>
        <v>150</v>
      </c>
      <c r="AC108" s="113">
        <f t="shared" si="130"/>
        <v>175</v>
      </c>
      <c r="AD108" s="113">
        <f t="shared" si="131"/>
        <v>90</v>
      </c>
      <c r="AE108" s="113">
        <f t="shared" si="132"/>
        <v>10</v>
      </c>
      <c r="AF108" s="114">
        <v>0.15</v>
      </c>
      <c r="AG108" s="114">
        <v>0.3</v>
      </c>
      <c r="AH108" s="114">
        <v>0.35</v>
      </c>
      <c r="AI108" s="114">
        <v>0.18</v>
      </c>
      <c r="AJ108" s="115">
        <v>0.02</v>
      </c>
      <c r="AK108" s="112" t="s">
        <v>534</v>
      </c>
      <c r="AL108" s="113">
        <v>500</v>
      </c>
      <c r="AM108" s="113">
        <f t="shared" si="134"/>
        <v>75</v>
      </c>
      <c r="AN108" s="113">
        <f t="shared" si="135"/>
        <v>150</v>
      </c>
      <c r="AO108" s="113">
        <f t="shared" si="136"/>
        <v>175</v>
      </c>
      <c r="AP108" s="113">
        <f t="shared" si="137"/>
        <v>90</v>
      </c>
      <c r="AQ108" s="113">
        <f t="shared" si="138"/>
        <v>10</v>
      </c>
      <c r="AR108" s="114">
        <v>0.15</v>
      </c>
      <c r="AS108" s="114">
        <v>0.3</v>
      </c>
      <c r="AT108" s="114">
        <v>0.35</v>
      </c>
      <c r="AU108" s="114">
        <v>0.18</v>
      </c>
      <c r="AV108" s="115">
        <v>0.02</v>
      </c>
    </row>
    <row r="109" spans="1:51" s="56" customFormat="1" ht="25">
      <c r="A109" s="107" t="s">
        <v>460</v>
      </c>
      <c r="B109" s="108" t="s">
        <v>141</v>
      </c>
      <c r="C109" s="124" t="s">
        <v>120</v>
      </c>
      <c r="D109" s="124" t="s">
        <v>121</v>
      </c>
      <c r="E109" s="124" t="s">
        <v>122</v>
      </c>
      <c r="F109" s="126" t="s">
        <v>123</v>
      </c>
      <c r="G109" s="126" t="s">
        <v>124</v>
      </c>
      <c r="H109" s="127" t="s">
        <v>120</v>
      </c>
      <c r="I109" s="125" t="s">
        <v>121</v>
      </c>
      <c r="J109" s="125" t="s">
        <v>122</v>
      </c>
      <c r="K109" s="127" t="s">
        <v>123</v>
      </c>
      <c r="L109" s="128" t="s">
        <v>124</v>
      </c>
      <c r="M109" s="107" t="s">
        <v>93</v>
      </c>
      <c r="N109" s="108" t="str">
        <f>B109</f>
        <v>Program Manager</v>
      </c>
      <c r="O109" s="124" t="s">
        <v>120</v>
      </c>
      <c r="P109" s="124" t="s">
        <v>121</v>
      </c>
      <c r="Q109" s="124" t="s">
        <v>122</v>
      </c>
      <c r="R109" s="126" t="s">
        <v>123</v>
      </c>
      <c r="S109" s="126" t="s">
        <v>124</v>
      </c>
      <c r="T109" s="127" t="s">
        <v>120</v>
      </c>
      <c r="U109" s="125" t="s">
        <v>121</v>
      </c>
      <c r="V109" s="125" t="s">
        <v>122</v>
      </c>
      <c r="W109" s="127" t="s">
        <v>123</v>
      </c>
      <c r="X109" s="128" t="s">
        <v>124</v>
      </c>
      <c r="Y109" s="107" t="s">
        <v>483</v>
      </c>
      <c r="Z109" s="108" t="str">
        <f>N109</f>
        <v>Program Manager</v>
      </c>
      <c r="AA109" s="124" t="s">
        <v>120</v>
      </c>
      <c r="AB109" s="124" t="s">
        <v>121</v>
      </c>
      <c r="AC109" s="124" t="s">
        <v>122</v>
      </c>
      <c r="AD109" s="126" t="s">
        <v>123</v>
      </c>
      <c r="AE109" s="126" t="s">
        <v>124</v>
      </c>
      <c r="AF109" s="127" t="s">
        <v>120</v>
      </c>
      <c r="AG109" s="125" t="s">
        <v>121</v>
      </c>
      <c r="AH109" s="125" t="s">
        <v>122</v>
      </c>
      <c r="AI109" s="127" t="s">
        <v>123</v>
      </c>
      <c r="AJ109" s="128" t="s">
        <v>124</v>
      </c>
      <c r="AK109" s="107" t="s">
        <v>482</v>
      </c>
      <c r="AL109" s="108" t="str">
        <f>Z109</f>
        <v>Program Manager</v>
      </c>
      <c r="AM109" s="124" t="s">
        <v>120</v>
      </c>
      <c r="AN109" s="124" t="s">
        <v>121</v>
      </c>
      <c r="AO109" s="124" t="s">
        <v>122</v>
      </c>
      <c r="AP109" s="126" t="s">
        <v>123</v>
      </c>
      <c r="AQ109" s="126" t="s">
        <v>124</v>
      </c>
      <c r="AR109" s="127" t="s">
        <v>120</v>
      </c>
      <c r="AS109" s="125" t="s">
        <v>121</v>
      </c>
      <c r="AT109" s="125" t="s">
        <v>122</v>
      </c>
      <c r="AU109" s="127" t="s">
        <v>123</v>
      </c>
      <c r="AV109" s="128" t="s">
        <v>124</v>
      </c>
      <c r="AX109" s="56" t="s">
        <v>141</v>
      </c>
      <c r="AY109" s="56" t="s">
        <v>141</v>
      </c>
    </row>
    <row r="110" spans="1:51">
      <c r="A110" s="109" t="s">
        <v>490</v>
      </c>
      <c r="B110" s="33"/>
      <c r="C110" s="33">
        <f t="shared" ref="C110:C126" si="139">ROUND($B110*H110,0)</f>
        <v>0</v>
      </c>
      <c r="D110" s="33">
        <f t="shared" ref="D110:D126" si="140">ROUND($B110*I110,0)</f>
        <v>0</v>
      </c>
      <c r="E110" s="33">
        <f t="shared" ref="E110:E126" si="141">ROUND($B110*J110,0)</f>
        <v>0</v>
      </c>
      <c r="F110" s="33">
        <f t="shared" ref="F110:F126" si="142">ROUND($B110*K110,0)</f>
        <v>0</v>
      </c>
      <c r="G110" s="33">
        <f t="shared" ref="G110:G126" si="143">ROUND($B110*L110,0)</f>
        <v>0</v>
      </c>
      <c r="H110" s="120">
        <v>0.12568549225191111</v>
      </c>
      <c r="I110" s="120">
        <v>0.1537484700122399</v>
      </c>
      <c r="J110" s="120">
        <v>0.3</v>
      </c>
      <c r="K110" s="120">
        <v>0.3</v>
      </c>
      <c r="L110" s="121">
        <v>0.1205660377358491</v>
      </c>
      <c r="M110" s="109" t="str">
        <f t="shared" ref="M110:M126" si="144">$A110</f>
        <v>Cold End Complex</v>
      </c>
      <c r="N110" s="33">
        <v>816</v>
      </c>
      <c r="O110" s="33">
        <f t="shared" ref="O110:O126" si="145">ROUND($N110*T110,0)</f>
        <v>65</v>
      </c>
      <c r="P110" s="33">
        <f t="shared" ref="P110:P126" si="146">ROUND($N110*U110,0)</f>
        <v>163</v>
      </c>
      <c r="Q110" s="33">
        <f t="shared" ref="Q110:Q126" si="147">ROUND($N110*V110,0)</f>
        <v>245</v>
      </c>
      <c r="R110" s="33">
        <f t="shared" ref="R110:R126" si="148">ROUND($N110*W110,0)</f>
        <v>245</v>
      </c>
      <c r="S110" s="33">
        <f t="shared" ref="S110:S126" si="149">ROUND($N110*X110,0)</f>
        <v>98</v>
      </c>
      <c r="T110" s="110">
        <v>0.08</v>
      </c>
      <c r="U110" s="110">
        <v>0.2</v>
      </c>
      <c r="V110" s="110">
        <v>0.3</v>
      </c>
      <c r="W110" s="110">
        <v>0.3</v>
      </c>
      <c r="X110" s="111">
        <v>0.12</v>
      </c>
      <c r="Y110" s="109" t="str">
        <f t="shared" ref="Y110:Y125" si="150">$A110</f>
        <v>Cold End Complex</v>
      </c>
      <c r="Z110" s="33">
        <f t="shared" ref="Z110:Z126" si="151">B110</f>
        <v>0</v>
      </c>
      <c r="AA110" s="33">
        <f t="shared" ref="AA110:AA126" si="152">ROUND($Z110*AF110,0)</f>
        <v>0</v>
      </c>
      <c r="AB110" s="33">
        <f t="shared" ref="AB110:AB126" si="153">ROUND($Z110*AG110,0)</f>
        <v>0</v>
      </c>
      <c r="AC110" s="33">
        <f t="shared" ref="AC110:AC126" si="154">ROUND($Z110*AH110,0)</f>
        <v>0</v>
      </c>
      <c r="AD110" s="33">
        <f t="shared" ref="AD110:AD126" si="155">ROUND($Z110*AI110,0)</f>
        <v>0</v>
      </c>
      <c r="AE110" s="33">
        <f t="shared" ref="AE110:AE126" si="156">ROUND($Z110*AJ110,0)</f>
        <v>0</v>
      </c>
      <c r="AF110" s="120">
        <v>0.08</v>
      </c>
      <c r="AG110" s="120">
        <v>0.2</v>
      </c>
      <c r="AH110" s="120">
        <v>0.3</v>
      </c>
      <c r="AI110" s="120">
        <v>0.3</v>
      </c>
      <c r="AJ110" s="121">
        <v>0.12</v>
      </c>
      <c r="AK110" s="109" t="str">
        <f t="shared" ref="AK110:AK125" si="157">$A110</f>
        <v>Cold End Complex</v>
      </c>
      <c r="AL110" s="118"/>
      <c r="AM110" s="33">
        <f t="shared" ref="AM110:AM126" si="158">ROUND($AL110*AR110,0)</f>
        <v>0</v>
      </c>
      <c r="AN110" s="33">
        <f t="shared" ref="AN110:AN126" si="159">ROUND($AL110*AS110,0)</f>
        <v>0</v>
      </c>
      <c r="AO110" s="33">
        <f t="shared" ref="AO110:AO126" si="160">ROUND($AL110*AT110,0)</f>
        <v>0</v>
      </c>
      <c r="AP110" s="33">
        <f t="shared" ref="AP110:AP126" si="161">ROUND($AL110*AU110,0)</f>
        <v>0</v>
      </c>
      <c r="AQ110" s="33">
        <f t="shared" ref="AQ110:AQ126" si="162">ROUND($AL110*AV110,0)</f>
        <v>0</v>
      </c>
      <c r="AR110" s="132"/>
      <c r="AS110" s="132"/>
      <c r="AT110" s="132"/>
      <c r="AU110" s="132"/>
      <c r="AV110" s="133"/>
      <c r="AX110" s="16">
        <v>560</v>
      </c>
      <c r="AY110" s="16">
        <v>560</v>
      </c>
    </row>
    <row r="111" spans="1:51">
      <c r="A111" s="109" t="s">
        <v>494</v>
      </c>
      <c r="B111" s="33"/>
      <c r="C111" s="33">
        <f t="shared" si="139"/>
        <v>0</v>
      </c>
      <c r="D111" s="33">
        <f t="shared" si="140"/>
        <v>0</v>
      </c>
      <c r="E111" s="33">
        <f t="shared" si="141"/>
        <v>0</v>
      </c>
      <c r="F111" s="33">
        <f t="shared" si="142"/>
        <v>0</v>
      </c>
      <c r="G111" s="33">
        <f t="shared" si="143"/>
        <v>0</v>
      </c>
      <c r="H111" s="120">
        <v>0.12568549225191111</v>
      </c>
      <c r="I111" s="120">
        <v>0.1537484700122399</v>
      </c>
      <c r="J111" s="120">
        <v>0.3</v>
      </c>
      <c r="K111" s="120">
        <v>0.3</v>
      </c>
      <c r="L111" s="121">
        <v>0.1205660377358491</v>
      </c>
      <c r="M111" s="109" t="str">
        <f t="shared" si="144"/>
        <v>Cold End Simple</v>
      </c>
      <c r="N111" s="33">
        <v>816</v>
      </c>
      <c r="O111" s="33">
        <f t="shared" si="145"/>
        <v>65</v>
      </c>
      <c r="P111" s="33">
        <f t="shared" si="146"/>
        <v>163</v>
      </c>
      <c r="Q111" s="33">
        <f t="shared" si="147"/>
        <v>245</v>
      </c>
      <c r="R111" s="33">
        <f t="shared" si="148"/>
        <v>245</v>
      </c>
      <c r="S111" s="33">
        <f t="shared" si="149"/>
        <v>98</v>
      </c>
      <c r="T111" s="110">
        <v>0.08</v>
      </c>
      <c r="U111" s="110">
        <v>0.2</v>
      </c>
      <c r="V111" s="110">
        <v>0.3</v>
      </c>
      <c r="W111" s="110">
        <v>0.3</v>
      </c>
      <c r="X111" s="111">
        <v>0.12</v>
      </c>
      <c r="Y111" s="109" t="str">
        <f t="shared" si="150"/>
        <v>Cold End Simple</v>
      </c>
      <c r="Z111" s="33">
        <f t="shared" si="151"/>
        <v>0</v>
      </c>
      <c r="AA111" s="33">
        <f t="shared" si="152"/>
        <v>0</v>
      </c>
      <c r="AB111" s="33">
        <f t="shared" si="153"/>
        <v>0</v>
      </c>
      <c r="AC111" s="33">
        <f t="shared" si="154"/>
        <v>0</v>
      </c>
      <c r="AD111" s="33">
        <f t="shared" si="155"/>
        <v>0</v>
      </c>
      <c r="AE111" s="33">
        <f t="shared" si="156"/>
        <v>0</v>
      </c>
      <c r="AF111" s="120">
        <v>0.08</v>
      </c>
      <c r="AG111" s="120">
        <v>0.2</v>
      </c>
      <c r="AH111" s="120">
        <v>0.3</v>
      </c>
      <c r="AI111" s="120">
        <v>0.3</v>
      </c>
      <c r="AJ111" s="121">
        <v>0.12</v>
      </c>
      <c r="AK111" s="109" t="str">
        <f t="shared" si="157"/>
        <v>Cold End Simple</v>
      </c>
      <c r="AL111" s="118"/>
      <c r="AM111" s="33">
        <f t="shared" si="158"/>
        <v>0</v>
      </c>
      <c r="AN111" s="33">
        <f t="shared" si="159"/>
        <v>0</v>
      </c>
      <c r="AO111" s="33">
        <f t="shared" si="160"/>
        <v>0</v>
      </c>
      <c r="AP111" s="33">
        <f t="shared" si="161"/>
        <v>0</v>
      </c>
      <c r="AQ111" s="33">
        <f t="shared" si="162"/>
        <v>0</v>
      </c>
      <c r="AR111" s="132"/>
      <c r="AS111" s="132"/>
      <c r="AT111" s="132"/>
      <c r="AU111" s="132"/>
      <c r="AV111" s="133"/>
      <c r="AX111" s="16">
        <v>530</v>
      </c>
      <c r="AY111" s="16">
        <v>530</v>
      </c>
    </row>
    <row r="112" spans="1:51">
      <c r="A112" s="109" t="s">
        <v>498</v>
      </c>
      <c r="B112" s="33"/>
      <c r="C112" s="33">
        <f t="shared" si="139"/>
        <v>0</v>
      </c>
      <c r="D112" s="33">
        <f t="shared" si="140"/>
        <v>0</v>
      </c>
      <c r="E112" s="33">
        <f t="shared" si="141"/>
        <v>0</v>
      </c>
      <c r="F112" s="33">
        <f t="shared" si="142"/>
        <v>0</v>
      </c>
      <c r="G112" s="33">
        <f t="shared" si="143"/>
        <v>0</v>
      </c>
      <c r="H112" s="120">
        <v>0.12568549225191111</v>
      </c>
      <c r="I112" s="120">
        <v>0.1537484700122399</v>
      </c>
      <c r="J112" s="120">
        <v>0.3</v>
      </c>
      <c r="K112" s="120">
        <v>0.3</v>
      </c>
      <c r="L112" s="121">
        <v>0.1205660377358491</v>
      </c>
      <c r="M112" s="109" t="str">
        <f t="shared" si="144"/>
        <v>Diesel (DOC+DPF)</v>
      </c>
      <c r="N112" s="33">
        <v>315</v>
      </c>
      <c r="O112" s="33">
        <f t="shared" si="145"/>
        <v>25</v>
      </c>
      <c r="P112" s="33">
        <f t="shared" si="146"/>
        <v>63</v>
      </c>
      <c r="Q112" s="33">
        <f t="shared" si="147"/>
        <v>95</v>
      </c>
      <c r="R112" s="33">
        <f t="shared" si="148"/>
        <v>95</v>
      </c>
      <c r="S112" s="33">
        <f t="shared" si="149"/>
        <v>38</v>
      </c>
      <c r="T112" s="110">
        <v>0.08</v>
      </c>
      <c r="U112" s="110">
        <v>0.2</v>
      </c>
      <c r="V112" s="110">
        <v>0.3</v>
      </c>
      <c r="W112" s="110">
        <v>0.3</v>
      </c>
      <c r="X112" s="111">
        <v>0.12</v>
      </c>
      <c r="Y112" s="109" t="str">
        <f t="shared" si="150"/>
        <v>Diesel (DOC+DPF)</v>
      </c>
      <c r="Z112" s="33">
        <f t="shared" si="151"/>
        <v>0</v>
      </c>
      <c r="AA112" s="33">
        <f t="shared" si="152"/>
        <v>0</v>
      </c>
      <c r="AB112" s="33">
        <f t="shared" si="153"/>
        <v>0</v>
      </c>
      <c r="AC112" s="33">
        <f t="shared" si="154"/>
        <v>0</v>
      </c>
      <c r="AD112" s="33">
        <f t="shared" si="155"/>
        <v>0</v>
      </c>
      <c r="AE112" s="33">
        <f t="shared" si="156"/>
        <v>0</v>
      </c>
      <c r="AF112" s="120">
        <v>0.08</v>
      </c>
      <c r="AG112" s="120">
        <v>0.2</v>
      </c>
      <c r="AH112" s="120">
        <v>0.3</v>
      </c>
      <c r="AI112" s="120">
        <v>0.3</v>
      </c>
      <c r="AJ112" s="121">
        <v>0.12</v>
      </c>
      <c r="AK112" s="109" t="str">
        <f t="shared" si="157"/>
        <v>Diesel (DOC+DPF)</v>
      </c>
      <c r="AL112" s="118"/>
      <c r="AM112" s="33">
        <f t="shared" si="158"/>
        <v>0</v>
      </c>
      <c r="AN112" s="33">
        <f t="shared" si="159"/>
        <v>0</v>
      </c>
      <c r="AO112" s="33">
        <f t="shared" si="160"/>
        <v>0</v>
      </c>
      <c r="AP112" s="33">
        <f t="shared" si="161"/>
        <v>0</v>
      </c>
      <c r="AQ112" s="33">
        <f t="shared" si="162"/>
        <v>0</v>
      </c>
      <c r="AR112" s="132"/>
      <c r="AS112" s="132"/>
      <c r="AT112" s="132"/>
      <c r="AU112" s="132"/>
      <c r="AV112" s="133"/>
      <c r="AX112" s="16">
        <v>680</v>
      </c>
      <c r="AY112" s="16">
        <v>680</v>
      </c>
    </row>
    <row r="113" spans="1:51" ht="37.5">
      <c r="A113" s="109" t="s">
        <v>500</v>
      </c>
      <c r="B113" s="33"/>
      <c r="C113" s="33">
        <f t="shared" si="139"/>
        <v>0</v>
      </c>
      <c r="D113" s="33">
        <f t="shared" si="140"/>
        <v>0</v>
      </c>
      <c r="E113" s="33">
        <f t="shared" si="141"/>
        <v>0</v>
      </c>
      <c r="F113" s="33">
        <f t="shared" si="142"/>
        <v>0</v>
      </c>
      <c r="G113" s="33">
        <f t="shared" si="143"/>
        <v>0</v>
      </c>
      <c r="H113" s="120">
        <v>0.12568549225191111</v>
      </c>
      <c r="I113" s="120">
        <v>0.1537484700122399</v>
      </c>
      <c r="J113" s="120">
        <v>0.3</v>
      </c>
      <c r="K113" s="120">
        <v>0.3</v>
      </c>
      <c r="L113" s="121">
        <v>0.1205660377358491</v>
      </c>
      <c r="M113" s="109" t="str">
        <f t="shared" si="144"/>
        <v>Diesel (DOC+DPF+SCR) Underfloor (with underfloor mixer &amp; underfloor SCR)</v>
      </c>
      <c r="N113" s="33">
        <v>1262</v>
      </c>
      <c r="O113" s="33">
        <f t="shared" si="145"/>
        <v>101</v>
      </c>
      <c r="P113" s="33">
        <f t="shared" si="146"/>
        <v>252</v>
      </c>
      <c r="Q113" s="33">
        <f t="shared" si="147"/>
        <v>379</v>
      </c>
      <c r="R113" s="33">
        <f t="shared" si="148"/>
        <v>379</v>
      </c>
      <c r="S113" s="33">
        <f t="shared" si="149"/>
        <v>151</v>
      </c>
      <c r="T113" s="110">
        <v>0.08</v>
      </c>
      <c r="U113" s="110">
        <v>0.2</v>
      </c>
      <c r="V113" s="110">
        <v>0.3</v>
      </c>
      <c r="W113" s="110">
        <v>0.3</v>
      </c>
      <c r="X113" s="111">
        <v>0.12</v>
      </c>
      <c r="Y113" s="109" t="str">
        <f t="shared" si="150"/>
        <v>Diesel (DOC+DPF+SCR) Underfloor (with underfloor mixer &amp; underfloor SCR)</v>
      </c>
      <c r="Z113" s="33">
        <f t="shared" si="151"/>
        <v>0</v>
      </c>
      <c r="AA113" s="33">
        <f t="shared" si="152"/>
        <v>0</v>
      </c>
      <c r="AB113" s="33">
        <f t="shared" si="153"/>
        <v>0</v>
      </c>
      <c r="AC113" s="33">
        <f t="shared" si="154"/>
        <v>0</v>
      </c>
      <c r="AD113" s="33">
        <f t="shared" si="155"/>
        <v>0</v>
      </c>
      <c r="AE113" s="33">
        <f t="shared" si="156"/>
        <v>0</v>
      </c>
      <c r="AF113" s="120">
        <v>0.08</v>
      </c>
      <c r="AG113" s="120">
        <v>0.2</v>
      </c>
      <c r="AH113" s="120">
        <v>0.3</v>
      </c>
      <c r="AI113" s="120">
        <v>0.3</v>
      </c>
      <c r="AJ113" s="121">
        <v>0.12</v>
      </c>
      <c r="AK113" s="109" t="str">
        <f t="shared" si="157"/>
        <v>Diesel (DOC+DPF+SCR) Underfloor (with underfloor mixer &amp; underfloor SCR)</v>
      </c>
      <c r="AL113" s="118"/>
      <c r="AM113" s="33">
        <f t="shared" si="158"/>
        <v>0</v>
      </c>
      <c r="AN113" s="33">
        <f t="shared" si="159"/>
        <v>0</v>
      </c>
      <c r="AO113" s="33">
        <f t="shared" si="160"/>
        <v>0</v>
      </c>
      <c r="AP113" s="33">
        <f t="shared" si="161"/>
        <v>0</v>
      </c>
      <c r="AQ113" s="33">
        <f t="shared" si="162"/>
        <v>0</v>
      </c>
      <c r="AR113" s="132"/>
      <c r="AS113" s="132"/>
      <c r="AT113" s="132"/>
      <c r="AU113" s="132"/>
      <c r="AV113" s="133"/>
      <c r="AX113" s="16">
        <v>700</v>
      </c>
      <c r="AY113" s="16">
        <v>700</v>
      </c>
    </row>
    <row r="114" spans="1:51" ht="37.5">
      <c r="A114" s="109" t="s">
        <v>505</v>
      </c>
      <c r="B114" s="33"/>
      <c r="C114" s="33">
        <f t="shared" si="139"/>
        <v>0</v>
      </c>
      <c r="D114" s="33">
        <f t="shared" si="140"/>
        <v>0</v>
      </c>
      <c r="E114" s="33">
        <f t="shared" si="141"/>
        <v>0</v>
      </c>
      <c r="F114" s="33">
        <f t="shared" si="142"/>
        <v>0</v>
      </c>
      <c r="G114" s="33">
        <f t="shared" si="143"/>
        <v>0</v>
      </c>
      <c r="H114" s="120">
        <v>0.12568549225191111</v>
      </c>
      <c r="I114" s="120">
        <v>0.1537484700122399</v>
      </c>
      <c r="J114" s="120">
        <v>0.3</v>
      </c>
      <c r="K114" s="120">
        <v>0.3</v>
      </c>
      <c r="L114" s="121">
        <v>0.1205660377358491</v>
      </c>
      <c r="M114" s="109" t="str">
        <f t="shared" si="144"/>
        <v>Diesel (DOC+SDPF) Compact (Compact mixer in CCC ex: U shape, Chistera...)</v>
      </c>
      <c r="N114" s="33">
        <v>1262</v>
      </c>
      <c r="O114" s="33">
        <f t="shared" si="145"/>
        <v>101</v>
      </c>
      <c r="P114" s="33">
        <f t="shared" si="146"/>
        <v>252</v>
      </c>
      <c r="Q114" s="33">
        <f t="shared" si="147"/>
        <v>379</v>
      </c>
      <c r="R114" s="33">
        <f t="shared" si="148"/>
        <v>379</v>
      </c>
      <c r="S114" s="33">
        <f t="shared" si="149"/>
        <v>151</v>
      </c>
      <c r="T114" s="110">
        <v>0.08</v>
      </c>
      <c r="U114" s="110">
        <v>0.2</v>
      </c>
      <c r="V114" s="110">
        <v>0.3</v>
      </c>
      <c r="W114" s="110">
        <v>0.3</v>
      </c>
      <c r="X114" s="111">
        <v>0.12</v>
      </c>
      <c r="Y114" s="109" t="str">
        <f t="shared" si="150"/>
        <v>Diesel (DOC+SDPF) Compact (Compact mixer in CCC ex: U shape, Chistera...)</v>
      </c>
      <c r="Z114" s="33">
        <f t="shared" si="151"/>
        <v>0</v>
      </c>
      <c r="AA114" s="33">
        <f t="shared" si="152"/>
        <v>0</v>
      </c>
      <c r="AB114" s="33">
        <f t="shared" si="153"/>
        <v>0</v>
      </c>
      <c r="AC114" s="33">
        <f t="shared" si="154"/>
        <v>0</v>
      </c>
      <c r="AD114" s="33">
        <f t="shared" si="155"/>
        <v>0</v>
      </c>
      <c r="AE114" s="33">
        <f t="shared" si="156"/>
        <v>0</v>
      </c>
      <c r="AF114" s="120">
        <v>0.08</v>
      </c>
      <c r="AG114" s="120">
        <v>0.2</v>
      </c>
      <c r="AH114" s="120">
        <v>0.3</v>
      </c>
      <c r="AI114" s="120">
        <v>0.3</v>
      </c>
      <c r="AJ114" s="121">
        <v>0.12</v>
      </c>
      <c r="AK114" s="109" t="str">
        <f t="shared" si="157"/>
        <v>Diesel (DOC+SDPF) Compact (Compact mixer in CCC ex: U shape, Chistera...)</v>
      </c>
      <c r="AL114" s="118"/>
      <c r="AM114" s="33">
        <f t="shared" si="158"/>
        <v>0</v>
      </c>
      <c r="AN114" s="33">
        <f t="shared" si="159"/>
        <v>0</v>
      </c>
      <c r="AO114" s="33">
        <f t="shared" si="160"/>
        <v>0</v>
      </c>
      <c r="AP114" s="33">
        <f t="shared" si="161"/>
        <v>0</v>
      </c>
      <c r="AQ114" s="33">
        <f t="shared" si="162"/>
        <v>0</v>
      </c>
      <c r="AR114" s="132"/>
      <c r="AS114" s="132"/>
      <c r="AT114" s="132"/>
      <c r="AU114" s="132"/>
      <c r="AV114" s="133"/>
      <c r="AX114" s="16">
        <v>750</v>
      </c>
      <c r="AY114" s="16">
        <v>750</v>
      </c>
    </row>
    <row r="115" spans="1:51">
      <c r="A115" s="109" t="s">
        <v>509</v>
      </c>
      <c r="B115" s="33"/>
      <c r="C115" s="33">
        <f t="shared" si="139"/>
        <v>0</v>
      </c>
      <c r="D115" s="33">
        <f t="shared" si="140"/>
        <v>0</v>
      </c>
      <c r="E115" s="33">
        <f t="shared" si="141"/>
        <v>0</v>
      </c>
      <c r="F115" s="33">
        <f t="shared" si="142"/>
        <v>0</v>
      </c>
      <c r="G115" s="33">
        <f t="shared" si="143"/>
        <v>0</v>
      </c>
      <c r="H115" s="120">
        <v>0.12568549225191111</v>
      </c>
      <c r="I115" s="120">
        <v>0.1537484700122399</v>
      </c>
      <c r="J115" s="120">
        <v>0.3</v>
      </c>
      <c r="K115" s="120">
        <v>0.3</v>
      </c>
      <c r="L115" s="121">
        <v>0.1205660377358491</v>
      </c>
      <c r="M115" s="109" t="str">
        <f t="shared" si="144"/>
        <v>Manifold</v>
      </c>
      <c r="N115" s="33">
        <v>500</v>
      </c>
      <c r="O115" s="33">
        <f t="shared" si="145"/>
        <v>40</v>
      </c>
      <c r="P115" s="33">
        <f t="shared" si="146"/>
        <v>100</v>
      </c>
      <c r="Q115" s="33">
        <f t="shared" si="147"/>
        <v>150</v>
      </c>
      <c r="R115" s="33">
        <f t="shared" si="148"/>
        <v>150</v>
      </c>
      <c r="S115" s="33">
        <f t="shared" si="149"/>
        <v>60</v>
      </c>
      <c r="T115" s="110">
        <v>0.08</v>
      </c>
      <c r="U115" s="110">
        <v>0.2</v>
      </c>
      <c r="V115" s="110">
        <v>0.3</v>
      </c>
      <c r="W115" s="110">
        <v>0.3</v>
      </c>
      <c r="X115" s="111">
        <v>0.12</v>
      </c>
      <c r="Y115" s="109" t="str">
        <f t="shared" si="150"/>
        <v>Manifold</v>
      </c>
      <c r="Z115" s="33">
        <f t="shared" si="151"/>
        <v>0</v>
      </c>
      <c r="AA115" s="33">
        <f t="shared" si="152"/>
        <v>0</v>
      </c>
      <c r="AB115" s="33">
        <f t="shared" si="153"/>
        <v>0</v>
      </c>
      <c r="AC115" s="33">
        <f t="shared" si="154"/>
        <v>0</v>
      </c>
      <c r="AD115" s="33">
        <f t="shared" si="155"/>
        <v>0</v>
      </c>
      <c r="AE115" s="33">
        <f t="shared" si="156"/>
        <v>0</v>
      </c>
      <c r="AF115" s="120">
        <v>0.08</v>
      </c>
      <c r="AG115" s="120">
        <v>0.2</v>
      </c>
      <c r="AH115" s="120">
        <v>0.3</v>
      </c>
      <c r="AI115" s="120">
        <v>0.3</v>
      </c>
      <c r="AJ115" s="121">
        <v>0.12</v>
      </c>
      <c r="AK115" s="109" t="str">
        <f t="shared" si="157"/>
        <v>Manifold</v>
      </c>
      <c r="AL115" s="118"/>
      <c r="AM115" s="33">
        <f t="shared" si="158"/>
        <v>0</v>
      </c>
      <c r="AN115" s="33">
        <f t="shared" si="159"/>
        <v>0</v>
      </c>
      <c r="AO115" s="33">
        <f t="shared" si="160"/>
        <v>0</v>
      </c>
      <c r="AP115" s="33">
        <f t="shared" si="161"/>
        <v>0</v>
      </c>
      <c r="AQ115" s="33">
        <f t="shared" si="162"/>
        <v>0</v>
      </c>
      <c r="AR115" s="132"/>
      <c r="AS115" s="132"/>
      <c r="AT115" s="132"/>
      <c r="AU115" s="132"/>
      <c r="AV115" s="133"/>
      <c r="AX115" s="16">
        <v>600</v>
      </c>
      <c r="AY115" s="16">
        <v>600</v>
      </c>
    </row>
    <row r="116" spans="1:51">
      <c r="A116" s="109" t="s">
        <v>512</v>
      </c>
      <c r="B116" s="33"/>
      <c r="C116" s="33">
        <f t="shared" si="139"/>
        <v>0</v>
      </c>
      <c r="D116" s="33">
        <f t="shared" si="140"/>
        <v>0</v>
      </c>
      <c r="E116" s="33">
        <f t="shared" si="141"/>
        <v>0</v>
      </c>
      <c r="F116" s="33">
        <f t="shared" si="142"/>
        <v>0</v>
      </c>
      <c r="G116" s="33">
        <f t="shared" si="143"/>
        <v>0</v>
      </c>
      <c r="H116" s="120">
        <v>0.12568549225191111</v>
      </c>
      <c r="I116" s="120">
        <v>0.1537484700122399</v>
      </c>
      <c r="J116" s="120">
        <v>0.3</v>
      </c>
      <c r="K116" s="120">
        <v>0.3</v>
      </c>
      <c r="L116" s="121">
        <v>0.1205660377358491</v>
      </c>
      <c r="M116" s="109" t="str">
        <f t="shared" si="144"/>
        <v xml:space="preserve">Maniverter </v>
      </c>
      <c r="N116" s="33">
        <v>381</v>
      </c>
      <c r="O116" s="33">
        <f t="shared" si="145"/>
        <v>30</v>
      </c>
      <c r="P116" s="33">
        <f t="shared" si="146"/>
        <v>76</v>
      </c>
      <c r="Q116" s="33">
        <f t="shared" si="147"/>
        <v>114</v>
      </c>
      <c r="R116" s="33">
        <f t="shared" si="148"/>
        <v>114</v>
      </c>
      <c r="S116" s="33">
        <f t="shared" si="149"/>
        <v>46</v>
      </c>
      <c r="T116" s="110">
        <v>0.08</v>
      </c>
      <c r="U116" s="110">
        <v>0.2</v>
      </c>
      <c r="V116" s="110">
        <v>0.3</v>
      </c>
      <c r="W116" s="110">
        <v>0.3</v>
      </c>
      <c r="X116" s="111">
        <v>0.12</v>
      </c>
      <c r="Y116" s="109" t="str">
        <f t="shared" si="150"/>
        <v xml:space="preserve">Maniverter </v>
      </c>
      <c r="Z116" s="33">
        <f t="shared" si="151"/>
        <v>0</v>
      </c>
      <c r="AA116" s="33">
        <f t="shared" si="152"/>
        <v>0</v>
      </c>
      <c r="AB116" s="33">
        <f t="shared" si="153"/>
        <v>0</v>
      </c>
      <c r="AC116" s="33">
        <f t="shared" si="154"/>
        <v>0</v>
      </c>
      <c r="AD116" s="33">
        <f t="shared" si="155"/>
        <v>0</v>
      </c>
      <c r="AE116" s="33">
        <f t="shared" si="156"/>
        <v>0</v>
      </c>
      <c r="AF116" s="120">
        <v>0.08</v>
      </c>
      <c r="AG116" s="120">
        <v>0.2</v>
      </c>
      <c r="AH116" s="120">
        <v>0.3</v>
      </c>
      <c r="AI116" s="120">
        <v>0.3</v>
      </c>
      <c r="AJ116" s="121">
        <v>0.12</v>
      </c>
      <c r="AK116" s="109" t="str">
        <f t="shared" si="157"/>
        <v xml:space="preserve">Maniverter </v>
      </c>
      <c r="AL116" s="118"/>
      <c r="AM116" s="33">
        <f t="shared" si="158"/>
        <v>0</v>
      </c>
      <c r="AN116" s="33">
        <f t="shared" si="159"/>
        <v>0</v>
      </c>
      <c r="AO116" s="33">
        <f t="shared" si="160"/>
        <v>0</v>
      </c>
      <c r="AP116" s="33">
        <f t="shared" si="161"/>
        <v>0</v>
      </c>
      <c r="AQ116" s="33">
        <f t="shared" si="162"/>
        <v>0</v>
      </c>
      <c r="AR116" s="132"/>
      <c r="AS116" s="132"/>
      <c r="AT116" s="132"/>
      <c r="AU116" s="132"/>
      <c r="AV116" s="133"/>
      <c r="AX116" s="16">
        <v>600</v>
      </c>
      <c r="AY116" s="16">
        <v>600</v>
      </c>
    </row>
    <row r="117" spans="1:51">
      <c r="A117" s="109" t="s">
        <v>514</v>
      </c>
      <c r="B117" s="33"/>
      <c r="C117" s="33">
        <f t="shared" si="139"/>
        <v>0</v>
      </c>
      <c r="D117" s="33">
        <f t="shared" si="140"/>
        <v>0</v>
      </c>
      <c r="E117" s="33">
        <f t="shared" si="141"/>
        <v>0</v>
      </c>
      <c r="F117" s="33">
        <f t="shared" si="142"/>
        <v>0</v>
      </c>
      <c r="G117" s="33">
        <f t="shared" si="143"/>
        <v>0</v>
      </c>
      <c r="H117" s="120">
        <v>0.12568549225191111</v>
      </c>
      <c r="I117" s="120">
        <v>0.1537484700122399</v>
      </c>
      <c r="J117" s="120">
        <v>0.3</v>
      </c>
      <c r="K117" s="120">
        <v>0.3</v>
      </c>
      <c r="L117" s="121">
        <v>0.1205660377358491</v>
      </c>
      <c r="M117" s="109" t="str">
        <f t="shared" si="144"/>
        <v>Turbo HE</v>
      </c>
      <c r="N117" s="33">
        <v>315</v>
      </c>
      <c r="O117" s="33">
        <f t="shared" si="145"/>
        <v>25</v>
      </c>
      <c r="P117" s="33">
        <f t="shared" si="146"/>
        <v>63</v>
      </c>
      <c r="Q117" s="33">
        <f t="shared" si="147"/>
        <v>95</v>
      </c>
      <c r="R117" s="33">
        <f t="shared" si="148"/>
        <v>95</v>
      </c>
      <c r="S117" s="33">
        <f t="shared" si="149"/>
        <v>38</v>
      </c>
      <c r="T117" s="110">
        <v>0.08</v>
      </c>
      <c r="U117" s="110">
        <v>0.2</v>
      </c>
      <c r="V117" s="110">
        <v>0.3</v>
      </c>
      <c r="W117" s="110">
        <v>0.3</v>
      </c>
      <c r="X117" s="111">
        <v>0.12</v>
      </c>
      <c r="Y117" s="109" t="str">
        <f t="shared" si="150"/>
        <v>Turbo HE</v>
      </c>
      <c r="Z117" s="33">
        <f t="shared" si="151"/>
        <v>0</v>
      </c>
      <c r="AA117" s="33">
        <f t="shared" si="152"/>
        <v>0</v>
      </c>
      <c r="AB117" s="33">
        <f t="shared" si="153"/>
        <v>0</v>
      </c>
      <c r="AC117" s="33">
        <f t="shared" si="154"/>
        <v>0</v>
      </c>
      <c r="AD117" s="33">
        <f t="shared" si="155"/>
        <v>0</v>
      </c>
      <c r="AE117" s="33">
        <f t="shared" si="156"/>
        <v>0</v>
      </c>
      <c r="AF117" s="120">
        <v>0.08</v>
      </c>
      <c r="AG117" s="120">
        <v>0.2</v>
      </c>
      <c r="AH117" s="120">
        <v>0.3</v>
      </c>
      <c r="AI117" s="120">
        <v>0.3</v>
      </c>
      <c r="AJ117" s="121">
        <v>0.12</v>
      </c>
      <c r="AK117" s="109" t="str">
        <f t="shared" si="157"/>
        <v>Turbo HE</v>
      </c>
      <c r="AL117" s="118"/>
      <c r="AM117" s="33">
        <f t="shared" si="158"/>
        <v>0</v>
      </c>
      <c r="AN117" s="33">
        <f t="shared" si="159"/>
        <v>0</v>
      </c>
      <c r="AO117" s="33">
        <f t="shared" si="160"/>
        <v>0</v>
      </c>
      <c r="AP117" s="33">
        <f t="shared" si="161"/>
        <v>0</v>
      </c>
      <c r="AQ117" s="33">
        <f t="shared" si="162"/>
        <v>0</v>
      </c>
      <c r="AR117" s="132"/>
      <c r="AS117" s="132"/>
      <c r="AT117" s="132"/>
      <c r="AU117" s="132"/>
      <c r="AV117" s="133"/>
      <c r="AX117" s="16">
        <v>600</v>
      </c>
      <c r="AY117" s="16">
        <v>600</v>
      </c>
    </row>
    <row r="118" spans="1:51">
      <c r="A118" s="109" t="s">
        <v>516</v>
      </c>
      <c r="B118" s="33"/>
      <c r="C118" s="33">
        <f t="shared" si="139"/>
        <v>0</v>
      </c>
      <c r="D118" s="33">
        <f t="shared" si="140"/>
        <v>0</v>
      </c>
      <c r="E118" s="33">
        <f t="shared" si="141"/>
        <v>0</v>
      </c>
      <c r="F118" s="33">
        <f t="shared" si="142"/>
        <v>0</v>
      </c>
      <c r="G118" s="33">
        <f t="shared" si="143"/>
        <v>0</v>
      </c>
      <c r="H118" s="120">
        <v>0.12568549225191111</v>
      </c>
      <c r="I118" s="120">
        <v>0.1537484700122399</v>
      </c>
      <c r="J118" s="120">
        <v>0.3</v>
      </c>
      <c r="K118" s="120">
        <v>0.3</v>
      </c>
      <c r="L118" s="121">
        <v>0.1205660377358491</v>
      </c>
      <c r="M118" s="109" t="str">
        <f t="shared" si="144"/>
        <v>Turbo HE + UCC</v>
      </c>
      <c r="N118" s="33">
        <v>535</v>
      </c>
      <c r="O118" s="33">
        <f t="shared" si="145"/>
        <v>43</v>
      </c>
      <c r="P118" s="33">
        <f t="shared" si="146"/>
        <v>107</v>
      </c>
      <c r="Q118" s="33">
        <f t="shared" si="147"/>
        <v>161</v>
      </c>
      <c r="R118" s="33">
        <f t="shared" si="148"/>
        <v>161</v>
      </c>
      <c r="S118" s="33">
        <f t="shared" si="149"/>
        <v>64</v>
      </c>
      <c r="T118" s="110">
        <v>0.08</v>
      </c>
      <c r="U118" s="110">
        <v>0.2</v>
      </c>
      <c r="V118" s="110">
        <v>0.3</v>
      </c>
      <c r="W118" s="110">
        <v>0.3</v>
      </c>
      <c r="X118" s="111">
        <v>0.12</v>
      </c>
      <c r="Y118" s="109" t="str">
        <f t="shared" si="150"/>
        <v>Turbo HE + UCC</v>
      </c>
      <c r="Z118" s="33">
        <f t="shared" si="151"/>
        <v>0</v>
      </c>
      <c r="AA118" s="33">
        <f t="shared" si="152"/>
        <v>0</v>
      </c>
      <c r="AB118" s="33">
        <f t="shared" si="153"/>
        <v>0</v>
      </c>
      <c r="AC118" s="33">
        <f t="shared" si="154"/>
        <v>0</v>
      </c>
      <c r="AD118" s="33">
        <f t="shared" si="155"/>
        <v>0</v>
      </c>
      <c r="AE118" s="33">
        <f t="shared" si="156"/>
        <v>0</v>
      </c>
      <c r="AF118" s="120">
        <v>0.08</v>
      </c>
      <c r="AG118" s="120">
        <v>0.2</v>
      </c>
      <c r="AH118" s="120">
        <v>0.3</v>
      </c>
      <c r="AI118" s="120">
        <v>0.3</v>
      </c>
      <c r="AJ118" s="121">
        <v>0.12</v>
      </c>
      <c r="AK118" s="109" t="str">
        <f t="shared" si="157"/>
        <v>Turbo HE + UCC</v>
      </c>
      <c r="AL118" s="118"/>
      <c r="AM118" s="33">
        <f t="shared" si="158"/>
        <v>0</v>
      </c>
      <c r="AN118" s="33">
        <f t="shared" si="159"/>
        <v>0</v>
      </c>
      <c r="AO118" s="33">
        <f t="shared" si="160"/>
        <v>0</v>
      </c>
      <c r="AP118" s="33">
        <f t="shared" si="161"/>
        <v>0</v>
      </c>
      <c r="AQ118" s="33">
        <f t="shared" si="162"/>
        <v>0</v>
      </c>
      <c r="AR118" s="132"/>
      <c r="AS118" s="132"/>
      <c r="AT118" s="132"/>
      <c r="AU118" s="132"/>
      <c r="AV118" s="133"/>
      <c r="AX118" s="16">
        <v>600</v>
      </c>
      <c r="AY118" s="16">
        <v>600</v>
      </c>
    </row>
    <row r="119" spans="1:51">
      <c r="A119" s="109" t="s">
        <v>518</v>
      </c>
      <c r="B119" s="33"/>
      <c r="C119" s="33">
        <f t="shared" si="139"/>
        <v>0</v>
      </c>
      <c r="D119" s="33">
        <f t="shared" si="140"/>
        <v>0</v>
      </c>
      <c r="E119" s="33">
        <f t="shared" si="141"/>
        <v>0</v>
      </c>
      <c r="F119" s="33">
        <f t="shared" si="142"/>
        <v>0</v>
      </c>
      <c r="G119" s="33">
        <f t="shared" si="143"/>
        <v>0</v>
      </c>
      <c r="H119" s="120">
        <v>0.12568549225191111</v>
      </c>
      <c r="I119" s="120">
        <v>0.1537484700122399</v>
      </c>
      <c r="J119" s="120">
        <v>0.3</v>
      </c>
      <c r="K119" s="120">
        <v>0.3</v>
      </c>
      <c r="L119" s="121">
        <v>0.1205660377358491</v>
      </c>
      <c r="M119" s="109" t="str">
        <f t="shared" si="144"/>
        <v>UCC</v>
      </c>
      <c r="N119" s="33">
        <v>220</v>
      </c>
      <c r="O119" s="33">
        <f t="shared" si="145"/>
        <v>18</v>
      </c>
      <c r="P119" s="33">
        <f t="shared" si="146"/>
        <v>44</v>
      </c>
      <c r="Q119" s="33">
        <f t="shared" si="147"/>
        <v>66</v>
      </c>
      <c r="R119" s="33">
        <f t="shared" si="148"/>
        <v>66</v>
      </c>
      <c r="S119" s="33">
        <f t="shared" si="149"/>
        <v>26</v>
      </c>
      <c r="T119" s="110">
        <v>0.08</v>
      </c>
      <c r="U119" s="110">
        <v>0.2</v>
      </c>
      <c r="V119" s="110">
        <v>0.3</v>
      </c>
      <c r="W119" s="110">
        <v>0.3</v>
      </c>
      <c r="X119" s="111">
        <v>0.12</v>
      </c>
      <c r="Y119" s="109" t="str">
        <f t="shared" si="150"/>
        <v>UCC</v>
      </c>
      <c r="Z119" s="33">
        <f t="shared" si="151"/>
        <v>0</v>
      </c>
      <c r="AA119" s="33">
        <f t="shared" si="152"/>
        <v>0</v>
      </c>
      <c r="AB119" s="33">
        <f t="shared" si="153"/>
        <v>0</v>
      </c>
      <c r="AC119" s="33">
        <f t="shared" si="154"/>
        <v>0</v>
      </c>
      <c r="AD119" s="33">
        <f t="shared" si="155"/>
        <v>0</v>
      </c>
      <c r="AE119" s="33">
        <f t="shared" si="156"/>
        <v>0</v>
      </c>
      <c r="AF119" s="120">
        <v>0.08</v>
      </c>
      <c r="AG119" s="120">
        <v>0.2</v>
      </c>
      <c r="AH119" s="120">
        <v>0.3</v>
      </c>
      <c r="AI119" s="120">
        <v>0.3</v>
      </c>
      <c r="AJ119" s="121">
        <v>0.12</v>
      </c>
      <c r="AK119" s="109" t="str">
        <f t="shared" si="157"/>
        <v>UCC</v>
      </c>
      <c r="AL119" s="118"/>
      <c r="AM119" s="33">
        <f t="shared" si="158"/>
        <v>0</v>
      </c>
      <c r="AN119" s="33">
        <f t="shared" si="159"/>
        <v>0</v>
      </c>
      <c r="AO119" s="33">
        <f t="shared" si="160"/>
        <v>0</v>
      </c>
      <c r="AP119" s="33">
        <f t="shared" si="161"/>
        <v>0</v>
      </c>
      <c r="AQ119" s="33">
        <f t="shared" si="162"/>
        <v>0</v>
      </c>
      <c r="AR119" s="132"/>
      <c r="AS119" s="132"/>
      <c r="AT119" s="132"/>
      <c r="AU119" s="132"/>
      <c r="AV119" s="133"/>
      <c r="AX119" s="16">
        <v>600</v>
      </c>
      <c r="AY119" s="16">
        <v>600</v>
      </c>
    </row>
    <row r="120" spans="1:51">
      <c r="A120" s="109" t="s">
        <v>520</v>
      </c>
      <c r="B120" s="33"/>
      <c r="C120" s="33">
        <f t="shared" si="139"/>
        <v>0</v>
      </c>
      <c r="D120" s="33">
        <f t="shared" si="140"/>
        <v>0</v>
      </c>
      <c r="E120" s="33">
        <f t="shared" si="141"/>
        <v>0</v>
      </c>
      <c r="F120" s="33">
        <f t="shared" si="142"/>
        <v>0</v>
      </c>
      <c r="G120" s="33">
        <f t="shared" si="143"/>
        <v>0</v>
      </c>
      <c r="H120" s="120">
        <v>0.08</v>
      </c>
      <c r="I120" s="120">
        <v>0.2</v>
      </c>
      <c r="J120" s="120">
        <v>0.3</v>
      </c>
      <c r="K120" s="120">
        <v>0.3</v>
      </c>
      <c r="L120" s="121">
        <v>0.12</v>
      </c>
      <c r="M120" s="109" t="str">
        <f t="shared" si="144"/>
        <v>Box</v>
      </c>
      <c r="N120" s="33">
        <v>1150</v>
      </c>
      <c r="O120" s="33">
        <f t="shared" si="145"/>
        <v>92</v>
      </c>
      <c r="P120" s="33">
        <f t="shared" si="146"/>
        <v>230</v>
      </c>
      <c r="Q120" s="33">
        <f t="shared" si="147"/>
        <v>345</v>
      </c>
      <c r="R120" s="33">
        <f t="shared" si="148"/>
        <v>345</v>
      </c>
      <c r="S120" s="33">
        <f t="shared" si="149"/>
        <v>138</v>
      </c>
      <c r="T120" s="110">
        <v>0.08</v>
      </c>
      <c r="U120" s="110">
        <v>0.2</v>
      </c>
      <c r="V120" s="110">
        <v>0.3</v>
      </c>
      <c r="W120" s="110">
        <v>0.3</v>
      </c>
      <c r="X120" s="111">
        <v>0.12</v>
      </c>
      <c r="Y120" s="109" t="str">
        <f t="shared" si="150"/>
        <v>Box</v>
      </c>
      <c r="Z120" s="33">
        <f t="shared" si="151"/>
        <v>0</v>
      </c>
      <c r="AA120" s="33">
        <f t="shared" si="152"/>
        <v>0</v>
      </c>
      <c r="AB120" s="33">
        <f t="shared" si="153"/>
        <v>0</v>
      </c>
      <c r="AC120" s="33">
        <f t="shared" si="154"/>
        <v>0</v>
      </c>
      <c r="AD120" s="33">
        <f t="shared" si="155"/>
        <v>0</v>
      </c>
      <c r="AE120" s="33">
        <f t="shared" si="156"/>
        <v>0</v>
      </c>
      <c r="AF120" s="110">
        <v>0.08</v>
      </c>
      <c r="AG120" s="110">
        <v>0.2</v>
      </c>
      <c r="AH120" s="110">
        <v>0.3</v>
      </c>
      <c r="AI120" s="110">
        <v>0.3</v>
      </c>
      <c r="AJ120" s="111">
        <v>0.12</v>
      </c>
      <c r="AK120" s="109" t="str">
        <f t="shared" si="157"/>
        <v>Box</v>
      </c>
      <c r="AL120" s="33">
        <v>1150</v>
      </c>
      <c r="AM120" s="33">
        <f t="shared" si="158"/>
        <v>92</v>
      </c>
      <c r="AN120" s="33">
        <f t="shared" si="159"/>
        <v>230</v>
      </c>
      <c r="AO120" s="33">
        <f t="shared" si="160"/>
        <v>345</v>
      </c>
      <c r="AP120" s="33">
        <f t="shared" si="161"/>
        <v>345</v>
      </c>
      <c r="AQ120" s="33">
        <f t="shared" si="162"/>
        <v>138</v>
      </c>
      <c r="AR120" s="110">
        <v>0.08</v>
      </c>
      <c r="AS120" s="110">
        <v>0.2</v>
      </c>
      <c r="AT120" s="110">
        <v>0.3</v>
      </c>
      <c r="AU120" s="110">
        <v>0.3</v>
      </c>
      <c r="AV120" s="111">
        <v>0.12</v>
      </c>
      <c r="AX120" s="16">
        <v>1150</v>
      </c>
      <c r="AY120" s="16">
        <v>1150</v>
      </c>
    </row>
    <row r="121" spans="1:51">
      <c r="A121" s="109" t="s">
        <v>523</v>
      </c>
      <c r="B121" s="33"/>
      <c r="C121" s="33">
        <f t="shared" si="139"/>
        <v>0</v>
      </c>
      <c r="D121" s="33">
        <f t="shared" si="140"/>
        <v>0</v>
      </c>
      <c r="E121" s="33">
        <f t="shared" si="141"/>
        <v>0</v>
      </c>
      <c r="F121" s="33">
        <f t="shared" si="142"/>
        <v>0</v>
      </c>
      <c r="G121" s="33">
        <f t="shared" si="143"/>
        <v>0</v>
      </c>
      <c r="H121" s="120">
        <v>0.08</v>
      </c>
      <c r="I121" s="120">
        <v>0.2</v>
      </c>
      <c r="J121" s="120">
        <v>0.3</v>
      </c>
      <c r="K121" s="120">
        <v>0.3</v>
      </c>
      <c r="L121" s="121">
        <v>0.12</v>
      </c>
      <c r="M121" s="109" t="str">
        <f t="shared" si="144"/>
        <v>Decomposition pipe</v>
      </c>
      <c r="N121" s="33">
        <v>300</v>
      </c>
      <c r="O121" s="33">
        <f t="shared" si="145"/>
        <v>24</v>
      </c>
      <c r="P121" s="33">
        <f t="shared" si="146"/>
        <v>60</v>
      </c>
      <c r="Q121" s="33">
        <f t="shared" si="147"/>
        <v>90</v>
      </c>
      <c r="R121" s="33">
        <f t="shared" si="148"/>
        <v>90</v>
      </c>
      <c r="S121" s="33">
        <f t="shared" si="149"/>
        <v>36</v>
      </c>
      <c r="T121" s="110">
        <v>0.08</v>
      </c>
      <c r="U121" s="110">
        <v>0.2</v>
      </c>
      <c r="V121" s="110">
        <v>0.3</v>
      </c>
      <c r="W121" s="110">
        <v>0.3</v>
      </c>
      <c r="X121" s="111">
        <v>0.12</v>
      </c>
      <c r="Y121" s="109" t="str">
        <f t="shared" si="150"/>
        <v>Decomposition pipe</v>
      </c>
      <c r="Z121" s="33">
        <f t="shared" si="151"/>
        <v>0</v>
      </c>
      <c r="AA121" s="33">
        <f t="shared" si="152"/>
        <v>0</v>
      </c>
      <c r="AB121" s="33">
        <f t="shared" si="153"/>
        <v>0</v>
      </c>
      <c r="AC121" s="33">
        <f t="shared" si="154"/>
        <v>0</v>
      </c>
      <c r="AD121" s="33">
        <f t="shared" si="155"/>
        <v>0</v>
      </c>
      <c r="AE121" s="33">
        <f t="shared" si="156"/>
        <v>0</v>
      </c>
      <c r="AF121" s="110">
        <v>0.08</v>
      </c>
      <c r="AG121" s="110">
        <v>0.2</v>
      </c>
      <c r="AH121" s="110">
        <v>0.3</v>
      </c>
      <c r="AI121" s="110">
        <v>0.3</v>
      </c>
      <c r="AJ121" s="111">
        <v>0.12</v>
      </c>
      <c r="AK121" s="109" t="str">
        <f t="shared" si="157"/>
        <v>Decomposition pipe</v>
      </c>
      <c r="AL121" s="33">
        <v>300</v>
      </c>
      <c r="AM121" s="33">
        <f t="shared" si="158"/>
        <v>24</v>
      </c>
      <c r="AN121" s="33">
        <f t="shared" si="159"/>
        <v>60</v>
      </c>
      <c r="AO121" s="33">
        <f t="shared" si="160"/>
        <v>90</v>
      </c>
      <c r="AP121" s="33">
        <f t="shared" si="161"/>
        <v>90</v>
      </c>
      <c r="AQ121" s="33">
        <f t="shared" si="162"/>
        <v>36</v>
      </c>
      <c r="AR121" s="110">
        <v>0.08</v>
      </c>
      <c r="AS121" s="110">
        <v>0.2</v>
      </c>
      <c r="AT121" s="110">
        <v>0.3</v>
      </c>
      <c r="AU121" s="110">
        <v>0.3</v>
      </c>
      <c r="AV121" s="111">
        <v>0.12</v>
      </c>
      <c r="AX121" s="16">
        <v>300</v>
      </c>
      <c r="AY121" s="16">
        <v>300</v>
      </c>
    </row>
    <row r="122" spans="1:51">
      <c r="A122" s="109" t="s">
        <v>524</v>
      </c>
      <c r="B122" s="33"/>
      <c r="C122" s="33">
        <f t="shared" si="139"/>
        <v>0</v>
      </c>
      <c r="D122" s="33">
        <f t="shared" si="140"/>
        <v>0</v>
      </c>
      <c r="E122" s="33">
        <f t="shared" si="141"/>
        <v>0</v>
      </c>
      <c r="F122" s="33">
        <f t="shared" si="142"/>
        <v>0</v>
      </c>
      <c r="G122" s="33">
        <f t="shared" si="143"/>
        <v>0</v>
      </c>
      <c r="H122" s="120">
        <v>0.08</v>
      </c>
      <c r="I122" s="120">
        <v>0.2</v>
      </c>
      <c r="J122" s="120">
        <v>0.3</v>
      </c>
      <c r="K122" s="120">
        <v>0.3</v>
      </c>
      <c r="L122" s="121">
        <v>0.12</v>
      </c>
      <c r="M122" s="109" t="str">
        <f t="shared" si="144"/>
        <v>Inline</v>
      </c>
      <c r="N122" s="33">
        <v>1000</v>
      </c>
      <c r="O122" s="33">
        <f t="shared" si="145"/>
        <v>80</v>
      </c>
      <c r="P122" s="33">
        <f t="shared" si="146"/>
        <v>200</v>
      </c>
      <c r="Q122" s="33">
        <f t="shared" si="147"/>
        <v>300</v>
      </c>
      <c r="R122" s="33">
        <f t="shared" si="148"/>
        <v>300</v>
      </c>
      <c r="S122" s="33">
        <f t="shared" si="149"/>
        <v>120</v>
      </c>
      <c r="T122" s="110">
        <v>0.08</v>
      </c>
      <c r="U122" s="110">
        <v>0.2</v>
      </c>
      <c r="V122" s="110">
        <v>0.3</v>
      </c>
      <c r="W122" s="110">
        <v>0.3</v>
      </c>
      <c r="X122" s="111">
        <v>0.12</v>
      </c>
      <c r="Y122" s="109" t="str">
        <f t="shared" si="150"/>
        <v>Inline</v>
      </c>
      <c r="Z122" s="33">
        <f t="shared" si="151"/>
        <v>0</v>
      </c>
      <c r="AA122" s="33">
        <f t="shared" si="152"/>
        <v>0</v>
      </c>
      <c r="AB122" s="33">
        <f t="shared" si="153"/>
        <v>0</v>
      </c>
      <c r="AC122" s="33">
        <f t="shared" si="154"/>
        <v>0</v>
      </c>
      <c r="AD122" s="33">
        <f t="shared" si="155"/>
        <v>0</v>
      </c>
      <c r="AE122" s="33">
        <f t="shared" si="156"/>
        <v>0</v>
      </c>
      <c r="AF122" s="110">
        <v>0.08</v>
      </c>
      <c r="AG122" s="110">
        <v>0.2</v>
      </c>
      <c r="AH122" s="110">
        <v>0.3</v>
      </c>
      <c r="AI122" s="110">
        <v>0.3</v>
      </c>
      <c r="AJ122" s="111">
        <v>0.12</v>
      </c>
      <c r="AK122" s="109" t="str">
        <f t="shared" si="157"/>
        <v>Inline</v>
      </c>
      <c r="AL122" s="33">
        <v>1000</v>
      </c>
      <c r="AM122" s="33">
        <f t="shared" si="158"/>
        <v>80</v>
      </c>
      <c r="AN122" s="33">
        <f t="shared" si="159"/>
        <v>200</v>
      </c>
      <c r="AO122" s="33">
        <f t="shared" si="160"/>
        <v>300</v>
      </c>
      <c r="AP122" s="33">
        <f t="shared" si="161"/>
        <v>300</v>
      </c>
      <c r="AQ122" s="33">
        <f t="shared" si="162"/>
        <v>120</v>
      </c>
      <c r="AR122" s="110">
        <v>0.08</v>
      </c>
      <c r="AS122" s="110">
        <v>0.2</v>
      </c>
      <c r="AT122" s="110">
        <v>0.3</v>
      </c>
      <c r="AU122" s="110">
        <v>0.3</v>
      </c>
      <c r="AV122" s="111">
        <v>0.12</v>
      </c>
      <c r="AX122" s="16">
        <v>1000</v>
      </c>
      <c r="AY122" s="16">
        <v>1000</v>
      </c>
    </row>
    <row r="123" spans="1:51">
      <c r="A123" s="109" t="s">
        <v>526</v>
      </c>
      <c r="B123" s="33"/>
      <c r="C123" s="33">
        <f t="shared" si="139"/>
        <v>0</v>
      </c>
      <c r="D123" s="33">
        <f t="shared" si="140"/>
        <v>0</v>
      </c>
      <c r="E123" s="33">
        <f t="shared" si="141"/>
        <v>0</v>
      </c>
      <c r="F123" s="33">
        <f t="shared" si="142"/>
        <v>0</v>
      </c>
      <c r="G123" s="33">
        <f t="shared" si="143"/>
        <v>0</v>
      </c>
      <c r="H123" s="120">
        <v>0.08</v>
      </c>
      <c r="I123" s="120">
        <v>0.2</v>
      </c>
      <c r="J123" s="120">
        <v>0.3</v>
      </c>
      <c r="K123" s="120">
        <v>0.3</v>
      </c>
      <c r="L123" s="121">
        <v>0.12</v>
      </c>
      <c r="M123" s="109" t="str">
        <f t="shared" si="144"/>
        <v>Compact Mixer</v>
      </c>
      <c r="N123" s="33">
        <v>300</v>
      </c>
      <c r="O123" s="33">
        <f t="shared" si="145"/>
        <v>24</v>
      </c>
      <c r="P123" s="33">
        <f t="shared" si="146"/>
        <v>60</v>
      </c>
      <c r="Q123" s="33">
        <f t="shared" si="147"/>
        <v>90</v>
      </c>
      <c r="R123" s="33">
        <f t="shared" si="148"/>
        <v>90</v>
      </c>
      <c r="S123" s="33">
        <f t="shared" si="149"/>
        <v>36</v>
      </c>
      <c r="T123" s="110">
        <v>0.08</v>
      </c>
      <c r="U123" s="110">
        <v>0.2</v>
      </c>
      <c r="V123" s="110">
        <v>0.3</v>
      </c>
      <c r="W123" s="110">
        <v>0.3</v>
      </c>
      <c r="X123" s="111">
        <v>0.12</v>
      </c>
      <c r="Y123" s="109" t="str">
        <f t="shared" si="150"/>
        <v>Compact Mixer</v>
      </c>
      <c r="Z123" s="33">
        <f t="shared" si="151"/>
        <v>0</v>
      </c>
      <c r="AA123" s="33">
        <f t="shared" si="152"/>
        <v>0</v>
      </c>
      <c r="AB123" s="33">
        <f t="shared" si="153"/>
        <v>0</v>
      </c>
      <c r="AC123" s="33">
        <f t="shared" si="154"/>
        <v>0</v>
      </c>
      <c r="AD123" s="33">
        <f t="shared" si="155"/>
        <v>0</v>
      </c>
      <c r="AE123" s="33">
        <f t="shared" si="156"/>
        <v>0</v>
      </c>
      <c r="AF123" s="110">
        <v>0.08</v>
      </c>
      <c r="AG123" s="110">
        <v>0.2</v>
      </c>
      <c r="AH123" s="110">
        <v>0.3</v>
      </c>
      <c r="AI123" s="110">
        <v>0.3</v>
      </c>
      <c r="AJ123" s="111">
        <v>0.12</v>
      </c>
      <c r="AK123" s="109" t="str">
        <f t="shared" si="157"/>
        <v>Compact Mixer</v>
      </c>
      <c r="AL123" s="33">
        <v>300</v>
      </c>
      <c r="AM123" s="33">
        <f t="shared" si="158"/>
        <v>24</v>
      </c>
      <c r="AN123" s="33">
        <f t="shared" si="159"/>
        <v>60</v>
      </c>
      <c r="AO123" s="33">
        <f t="shared" si="160"/>
        <v>90</v>
      </c>
      <c r="AP123" s="33">
        <f t="shared" si="161"/>
        <v>90</v>
      </c>
      <c r="AQ123" s="33">
        <f t="shared" si="162"/>
        <v>36</v>
      </c>
      <c r="AR123" s="110">
        <v>0.08</v>
      </c>
      <c r="AS123" s="110">
        <v>0.2</v>
      </c>
      <c r="AT123" s="110">
        <v>0.3</v>
      </c>
      <c r="AU123" s="110">
        <v>0.3</v>
      </c>
      <c r="AV123" s="111">
        <v>0.12</v>
      </c>
      <c r="AX123" s="16">
        <v>300</v>
      </c>
      <c r="AY123" s="16">
        <v>300</v>
      </c>
    </row>
    <row r="124" spans="1:51">
      <c r="A124" s="109" t="s">
        <v>528</v>
      </c>
      <c r="B124" s="33"/>
      <c r="C124" s="33">
        <f t="shared" si="139"/>
        <v>0</v>
      </c>
      <c r="D124" s="33">
        <f t="shared" si="140"/>
        <v>0</v>
      </c>
      <c r="E124" s="33">
        <f t="shared" si="141"/>
        <v>0</v>
      </c>
      <c r="F124" s="33">
        <f t="shared" si="142"/>
        <v>0</v>
      </c>
      <c r="G124" s="33">
        <f t="shared" si="143"/>
        <v>0</v>
      </c>
      <c r="H124" s="120">
        <v>0.08</v>
      </c>
      <c r="I124" s="120">
        <v>0.2</v>
      </c>
      <c r="J124" s="120">
        <v>0.3</v>
      </c>
      <c r="K124" s="120">
        <v>0.3</v>
      </c>
      <c r="L124" s="121">
        <v>0.12</v>
      </c>
      <c r="M124" s="109" t="str">
        <f t="shared" si="144"/>
        <v>Switch back</v>
      </c>
      <c r="N124" s="33">
        <v>1000</v>
      </c>
      <c r="O124" s="33">
        <f t="shared" si="145"/>
        <v>80</v>
      </c>
      <c r="P124" s="33">
        <f t="shared" si="146"/>
        <v>200</v>
      </c>
      <c r="Q124" s="33">
        <f t="shared" si="147"/>
        <v>300</v>
      </c>
      <c r="R124" s="33">
        <f t="shared" si="148"/>
        <v>300</v>
      </c>
      <c r="S124" s="33">
        <f t="shared" si="149"/>
        <v>120</v>
      </c>
      <c r="T124" s="110">
        <v>0.08</v>
      </c>
      <c r="U124" s="110">
        <v>0.2</v>
      </c>
      <c r="V124" s="110">
        <v>0.3</v>
      </c>
      <c r="W124" s="110">
        <v>0.3</v>
      </c>
      <c r="X124" s="111">
        <v>0.12</v>
      </c>
      <c r="Y124" s="109" t="str">
        <f t="shared" si="150"/>
        <v>Switch back</v>
      </c>
      <c r="Z124" s="33">
        <f t="shared" si="151"/>
        <v>0</v>
      </c>
      <c r="AA124" s="33">
        <f t="shared" si="152"/>
        <v>0</v>
      </c>
      <c r="AB124" s="33">
        <f t="shared" si="153"/>
        <v>0</v>
      </c>
      <c r="AC124" s="33">
        <f t="shared" si="154"/>
        <v>0</v>
      </c>
      <c r="AD124" s="33">
        <f t="shared" si="155"/>
        <v>0</v>
      </c>
      <c r="AE124" s="33">
        <f t="shared" si="156"/>
        <v>0</v>
      </c>
      <c r="AF124" s="110">
        <v>0.08</v>
      </c>
      <c r="AG124" s="110">
        <v>0.2</v>
      </c>
      <c r="AH124" s="110">
        <v>0.3</v>
      </c>
      <c r="AI124" s="110">
        <v>0.3</v>
      </c>
      <c r="AJ124" s="111">
        <v>0.12</v>
      </c>
      <c r="AK124" s="109" t="str">
        <f t="shared" si="157"/>
        <v>Switch back</v>
      </c>
      <c r="AL124" s="33">
        <v>1000</v>
      </c>
      <c r="AM124" s="33">
        <f t="shared" si="158"/>
        <v>80</v>
      </c>
      <c r="AN124" s="33">
        <f t="shared" si="159"/>
        <v>200</v>
      </c>
      <c r="AO124" s="33">
        <f t="shared" si="160"/>
        <v>300</v>
      </c>
      <c r="AP124" s="33">
        <f t="shared" si="161"/>
        <v>300</v>
      </c>
      <c r="AQ124" s="33">
        <f t="shared" si="162"/>
        <v>120</v>
      </c>
      <c r="AR124" s="110">
        <v>0.08</v>
      </c>
      <c r="AS124" s="110">
        <v>0.2</v>
      </c>
      <c r="AT124" s="110">
        <v>0.3</v>
      </c>
      <c r="AU124" s="110">
        <v>0.3</v>
      </c>
      <c r="AV124" s="111">
        <v>0.12</v>
      </c>
      <c r="AX124" s="16">
        <v>1000</v>
      </c>
      <c r="AY124" s="16">
        <v>1000</v>
      </c>
    </row>
    <row r="125" spans="1:51">
      <c r="A125" s="109" t="s">
        <v>531</v>
      </c>
      <c r="B125" s="33"/>
      <c r="C125" s="33">
        <f t="shared" si="139"/>
        <v>0</v>
      </c>
      <c r="D125" s="33">
        <f t="shared" si="140"/>
        <v>0</v>
      </c>
      <c r="E125" s="33">
        <f t="shared" si="141"/>
        <v>0</v>
      </c>
      <c r="F125" s="33">
        <f t="shared" si="142"/>
        <v>0</v>
      </c>
      <c r="G125" s="33">
        <f t="shared" si="143"/>
        <v>0</v>
      </c>
      <c r="H125" s="120">
        <v>0.08</v>
      </c>
      <c r="I125" s="120">
        <v>0.2</v>
      </c>
      <c r="J125" s="120">
        <v>0.3</v>
      </c>
      <c r="K125" s="120">
        <v>0.3</v>
      </c>
      <c r="L125" s="121">
        <v>0.12</v>
      </c>
      <c r="M125" s="109" t="str">
        <f t="shared" si="144"/>
        <v>U-Mixer</v>
      </c>
      <c r="N125" s="33">
        <v>300</v>
      </c>
      <c r="O125" s="33">
        <f t="shared" si="145"/>
        <v>24</v>
      </c>
      <c r="P125" s="33">
        <f t="shared" si="146"/>
        <v>60</v>
      </c>
      <c r="Q125" s="33">
        <f t="shared" si="147"/>
        <v>90</v>
      </c>
      <c r="R125" s="33">
        <f t="shared" si="148"/>
        <v>90</v>
      </c>
      <c r="S125" s="33">
        <f t="shared" si="149"/>
        <v>36</v>
      </c>
      <c r="T125" s="110">
        <v>0.08</v>
      </c>
      <c r="U125" s="110">
        <v>0.2</v>
      </c>
      <c r="V125" s="110">
        <v>0.3</v>
      </c>
      <c r="W125" s="110">
        <v>0.3</v>
      </c>
      <c r="X125" s="111">
        <v>0.12</v>
      </c>
      <c r="Y125" s="109" t="str">
        <f t="shared" si="150"/>
        <v>U-Mixer</v>
      </c>
      <c r="Z125" s="33">
        <f t="shared" si="151"/>
        <v>0</v>
      </c>
      <c r="AA125" s="33">
        <f t="shared" si="152"/>
        <v>0</v>
      </c>
      <c r="AB125" s="33">
        <f t="shared" si="153"/>
        <v>0</v>
      </c>
      <c r="AC125" s="33">
        <f t="shared" si="154"/>
        <v>0</v>
      </c>
      <c r="AD125" s="33">
        <f t="shared" si="155"/>
        <v>0</v>
      </c>
      <c r="AE125" s="33">
        <f t="shared" si="156"/>
        <v>0</v>
      </c>
      <c r="AF125" s="110">
        <v>0.08</v>
      </c>
      <c r="AG125" s="110">
        <v>0.2</v>
      </c>
      <c r="AH125" s="110">
        <v>0.3</v>
      </c>
      <c r="AI125" s="110">
        <v>0.3</v>
      </c>
      <c r="AJ125" s="111">
        <v>0.12</v>
      </c>
      <c r="AK125" s="109" t="str">
        <f t="shared" si="157"/>
        <v>U-Mixer</v>
      </c>
      <c r="AL125" s="33">
        <v>300</v>
      </c>
      <c r="AM125" s="33">
        <f t="shared" si="158"/>
        <v>24</v>
      </c>
      <c r="AN125" s="33">
        <f t="shared" si="159"/>
        <v>60</v>
      </c>
      <c r="AO125" s="33">
        <f t="shared" si="160"/>
        <v>90</v>
      </c>
      <c r="AP125" s="33">
        <f t="shared" si="161"/>
        <v>90</v>
      </c>
      <c r="AQ125" s="33">
        <f t="shared" si="162"/>
        <v>36</v>
      </c>
      <c r="AR125" s="110">
        <v>0.08</v>
      </c>
      <c r="AS125" s="110">
        <v>0.2</v>
      </c>
      <c r="AT125" s="110">
        <v>0.3</v>
      </c>
      <c r="AU125" s="110">
        <v>0.3</v>
      </c>
      <c r="AV125" s="111">
        <v>0.12</v>
      </c>
      <c r="AX125" s="16">
        <v>300</v>
      </c>
      <c r="AY125" s="16">
        <v>300</v>
      </c>
    </row>
    <row r="126" spans="1:51" ht="13" thickBot="1">
      <c r="A126" s="112" t="s">
        <v>534</v>
      </c>
      <c r="B126" s="113"/>
      <c r="C126" s="113">
        <f t="shared" si="139"/>
        <v>0</v>
      </c>
      <c r="D126" s="113">
        <f t="shared" si="140"/>
        <v>0</v>
      </c>
      <c r="E126" s="113">
        <f t="shared" si="141"/>
        <v>0</v>
      </c>
      <c r="F126" s="113">
        <f t="shared" si="142"/>
        <v>0</v>
      </c>
      <c r="G126" s="113">
        <f t="shared" si="143"/>
        <v>0</v>
      </c>
      <c r="H126" s="122">
        <v>0.08</v>
      </c>
      <c r="I126" s="122">
        <v>0.2</v>
      </c>
      <c r="J126" s="122">
        <v>0.3</v>
      </c>
      <c r="K126" s="122">
        <v>0.3</v>
      </c>
      <c r="L126" s="123">
        <v>0.12</v>
      </c>
      <c r="M126" s="112" t="str">
        <f t="shared" si="144"/>
        <v>U-shape</v>
      </c>
      <c r="N126" s="113">
        <v>1000</v>
      </c>
      <c r="O126" s="113">
        <f t="shared" si="145"/>
        <v>80</v>
      </c>
      <c r="P126" s="113">
        <f t="shared" si="146"/>
        <v>200</v>
      </c>
      <c r="Q126" s="113">
        <f t="shared" si="147"/>
        <v>300</v>
      </c>
      <c r="R126" s="113">
        <f t="shared" si="148"/>
        <v>300</v>
      </c>
      <c r="S126" s="113">
        <f t="shared" si="149"/>
        <v>120</v>
      </c>
      <c r="T126" s="114">
        <v>0.08</v>
      </c>
      <c r="U126" s="114">
        <v>0.2</v>
      </c>
      <c r="V126" s="114">
        <v>0.3</v>
      </c>
      <c r="W126" s="114">
        <v>0.3</v>
      </c>
      <c r="X126" s="115">
        <v>0.12</v>
      </c>
      <c r="Y126" s="112" t="s">
        <v>534</v>
      </c>
      <c r="Z126" s="113">
        <f t="shared" si="151"/>
        <v>0</v>
      </c>
      <c r="AA126" s="113">
        <f t="shared" si="152"/>
        <v>0</v>
      </c>
      <c r="AB126" s="113">
        <f t="shared" si="153"/>
        <v>0</v>
      </c>
      <c r="AC126" s="113">
        <f t="shared" si="154"/>
        <v>0</v>
      </c>
      <c r="AD126" s="113">
        <f t="shared" si="155"/>
        <v>0</v>
      </c>
      <c r="AE126" s="113">
        <f t="shared" si="156"/>
        <v>0</v>
      </c>
      <c r="AF126" s="114">
        <v>0.08</v>
      </c>
      <c r="AG126" s="114">
        <v>0.2</v>
      </c>
      <c r="AH126" s="114">
        <v>0.3</v>
      </c>
      <c r="AI126" s="114">
        <v>0.3</v>
      </c>
      <c r="AJ126" s="115">
        <v>0.12</v>
      </c>
      <c r="AK126" s="112" t="s">
        <v>534</v>
      </c>
      <c r="AL126" s="113">
        <v>1000</v>
      </c>
      <c r="AM126" s="113">
        <f t="shared" si="158"/>
        <v>80</v>
      </c>
      <c r="AN126" s="113">
        <f t="shared" si="159"/>
        <v>200</v>
      </c>
      <c r="AO126" s="113">
        <f t="shared" si="160"/>
        <v>300</v>
      </c>
      <c r="AP126" s="113">
        <f t="shared" si="161"/>
        <v>300</v>
      </c>
      <c r="AQ126" s="113">
        <f t="shared" si="162"/>
        <v>120</v>
      </c>
      <c r="AR126" s="114">
        <v>0.08</v>
      </c>
      <c r="AS126" s="114">
        <v>0.2</v>
      </c>
      <c r="AT126" s="114">
        <v>0.3</v>
      </c>
      <c r="AU126" s="114">
        <v>0.3</v>
      </c>
      <c r="AV126" s="115">
        <v>0.12</v>
      </c>
      <c r="AX126" s="16">
        <v>1000</v>
      </c>
      <c r="AY126" s="16">
        <v>1000</v>
      </c>
    </row>
    <row r="127" spans="1:51" s="56" customFormat="1" ht="25">
      <c r="A127" s="107" t="s">
        <v>460</v>
      </c>
      <c r="B127" s="108" t="s">
        <v>146</v>
      </c>
      <c r="C127" s="124" t="s">
        <v>120</v>
      </c>
      <c r="D127" s="124" t="s">
        <v>121</v>
      </c>
      <c r="E127" s="124" t="s">
        <v>122</v>
      </c>
      <c r="F127" s="126" t="s">
        <v>123</v>
      </c>
      <c r="G127" s="126" t="s">
        <v>124</v>
      </c>
      <c r="H127" s="127" t="s">
        <v>120</v>
      </c>
      <c r="I127" s="125" t="s">
        <v>121</v>
      </c>
      <c r="J127" s="125" t="s">
        <v>122</v>
      </c>
      <c r="K127" s="127" t="s">
        <v>123</v>
      </c>
      <c r="L127" s="128" t="s">
        <v>124</v>
      </c>
      <c r="M127" s="107" t="s">
        <v>93</v>
      </c>
      <c r="N127" s="108" t="str">
        <f>B127</f>
        <v>Program Buyer</v>
      </c>
      <c r="O127" s="124" t="s">
        <v>120</v>
      </c>
      <c r="P127" s="124" t="s">
        <v>121</v>
      </c>
      <c r="Q127" s="124" t="s">
        <v>122</v>
      </c>
      <c r="R127" s="126" t="s">
        <v>123</v>
      </c>
      <c r="S127" s="126" t="s">
        <v>124</v>
      </c>
      <c r="T127" s="127" t="s">
        <v>120</v>
      </c>
      <c r="U127" s="125" t="s">
        <v>121</v>
      </c>
      <c r="V127" s="125" t="s">
        <v>122</v>
      </c>
      <c r="W127" s="127" t="s">
        <v>123</v>
      </c>
      <c r="X127" s="128" t="s">
        <v>124</v>
      </c>
      <c r="Y127" s="107" t="s">
        <v>483</v>
      </c>
      <c r="Z127" s="108" t="str">
        <f>N127</f>
        <v>Program Buyer</v>
      </c>
      <c r="AA127" s="124" t="s">
        <v>120</v>
      </c>
      <c r="AB127" s="124" t="s">
        <v>121</v>
      </c>
      <c r="AC127" s="124" t="s">
        <v>122</v>
      </c>
      <c r="AD127" s="126" t="s">
        <v>123</v>
      </c>
      <c r="AE127" s="126" t="s">
        <v>124</v>
      </c>
      <c r="AF127" s="127" t="s">
        <v>120</v>
      </c>
      <c r="AG127" s="125" t="s">
        <v>121</v>
      </c>
      <c r="AH127" s="125" t="s">
        <v>122</v>
      </c>
      <c r="AI127" s="127" t="s">
        <v>123</v>
      </c>
      <c r="AJ127" s="128" t="s">
        <v>124</v>
      </c>
      <c r="AK127" s="107" t="s">
        <v>482</v>
      </c>
      <c r="AL127" s="108" t="str">
        <f>Z127</f>
        <v>Program Buyer</v>
      </c>
      <c r="AM127" s="124" t="s">
        <v>120</v>
      </c>
      <c r="AN127" s="124" t="s">
        <v>121</v>
      </c>
      <c r="AO127" s="124" t="s">
        <v>122</v>
      </c>
      <c r="AP127" s="126" t="s">
        <v>123</v>
      </c>
      <c r="AQ127" s="126" t="s">
        <v>124</v>
      </c>
      <c r="AR127" s="127" t="s">
        <v>120</v>
      </c>
      <c r="AS127" s="125" t="s">
        <v>121</v>
      </c>
      <c r="AT127" s="125" t="s">
        <v>122</v>
      </c>
      <c r="AU127" s="127" t="s">
        <v>123</v>
      </c>
      <c r="AV127" s="128" t="s">
        <v>124</v>
      </c>
      <c r="AX127" s="56" t="s">
        <v>146</v>
      </c>
      <c r="AY127" s="56" t="s">
        <v>146</v>
      </c>
    </row>
    <row r="128" spans="1:51">
      <c r="A128" s="109" t="s">
        <v>490</v>
      </c>
      <c r="B128" s="33"/>
      <c r="C128" s="33">
        <f t="shared" ref="C128:C144" si="163">ROUND($B128*H128,0)</f>
        <v>0</v>
      </c>
      <c r="D128" s="33">
        <f t="shared" ref="D128:D144" si="164">ROUND($B128*I128,0)</f>
        <v>0</v>
      </c>
      <c r="E128" s="33">
        <f t="shared" ref="E128:E144" si="165">ROUND($B128*J128,0)</f>
        <v>0</v>
      </c>
      <c r="F128" s="33">
        <f t="shared" ref="F128:F144" si="166">ROUND($B128*K128,0)</f>
        <v>0</v>
      </c>
      <c r="G128" s="33">
        <f t="shared" ref="G128:G144" si="167">ROUND($B128*L128,0)</f>
        <v>0</v>
      </c>
      <c r="H128" s="120">
        <v>0.13</v>
      </c>
      <c r="I128" s="120">
        <v>0.27</v>
      </c>
      <c r="J128" s="120">
        <v>0.4</v>
      </c>
      <c r="K128" s="120">
        <v>0.2</v>
      </c>
      <c r="L128" s="121">
        <v>0</v>
      </c>
      <c r="M128" s="109" t="str">
        <f t="shared" ref="M128:M133" si="168">$A128</f>
        <v>Cold End Complex</v>
      </c>
      <c r="N128" s="33">
        <v>305</v>
      </c>
      <c r="O128" s="33">
        <f t="shared" ref="O128:O144" si="169">ROUND($N128*T128,0)</f>
        <v>76</v>
      </c>
      <c r="P128" s="33">
        <f t="shared" ref="P128:P144" si="170">ROUND($N128*U128,0)</f>
        <v>61</v>
      </c>
      <c r="Q128" s="33">
        <f t="shared" ref="Q128:Q144" si="171">ROUND($N128*V128,0)</f>
        <v>98</v>
      </c>
      <c r="R128" s="33">
        <f t="shared" ref="R128:R144" si="172">ROUND($N128*W128,0)</f>
        <v>67</v>
      </c>
      <c r="S128" s="33">
        <f t="shared" ref="S128:S144" si="173">ROUND($N128*X128,0)</f>
        <v>3</v>
      </c>
      <c r="T128" s="110">
        <v>0.2491803278688525</v>
      </c>
      <c r="U128" s="110">
        <v>0.2</v>
      </c>
      <c r="V128" s="110">
        <v>0.32131147540983612</v>
      </c>
      <c r="W128" s="110">
        <v>0.219672131147541</v>
      </c>
      <c r="X128" s="111">
        <v>9.8360655737704927E-3</v>
      </c>
      <c r="Y128" s="109" t="str">
        <f t="shared" ref="Y128:Y133" si="174">$A128</f>
        <v>Cold End Complex</v>
      </c>
      <c r="Z128" s="33">
        <f t="shared" ref="Z128:Z144" si="175">B128</f>
        <v>0</v>
      </c>
      <c r="AA128" s="33">
        <f t="shared" ref="AA128:AA144" si="176">ROUND($Z128*AF128,0)</f>
        <v>0</v>
      </c>
      <c r="AB128" s="33">
        <f t="shared" ref="AB128:AB144" si="177">ROUND($Z128*AG128,0)</f>
        <v>0</v>
      </c>
      <c r="AC128" s="33">
        <f t="shared" ref="AC128:AC144" si="178">ROUND($Z128*AH128,0)</f>
        <v>0</v>
      </c>
      <c r="AD128" s="33">
        <f t="shared" ref="AD128:AD144" si="179">ROUND($Z128*AI128,0)</f>
        <v>0</v>
      </c>
      <c r="AE128" s="33">
        <f t="shared" ref="AE128:AE144" si="180">ROUND($Z128*AJ128,0)</f>
        <v>0</v>
      </c>
      <c r="AF128" s="120">
        <v>0.1</v>
      </c>
      <c r="AG128" s="120">
        <v>0.3</v>
      </c>
      <c r="AH128" s="120">
        <v>0.4</v>
      </c>
      <c r="AI128" s="120">
        <v>0.2</v>
      </c>
      <c r="AJ128" s="121">
        <v>0</v>
      </c>
      <c r="AK128" s="109" t="str">
        <f t="shared" ref="AK128:AK133" si="181">$A128</f>
        <v>Cold End Complex</v>
      </c>
      <c r="AL128" s="118"/>
      <c r="AM128" s="33">
        <f t="shared" ref="AM128:AM144" si="182">ROUND($AL128*AR128,0)</f>
        <v>0</v>
      </c>
      <c r="AN128" s="33">
        <f t="shared" ref="AN128:AN144" si="183">ROUND($AL128*AS128,0)</f>
        <v>0</v>
      </c>
      <c r="AO128" s="33">
        <f t="shared" ref="AO128:AO144" si="184">ROUND($AL128*AT128,0)</f>
        <v>0</v>
      </c>
      <c r="AP128" s="33">
        <f t="shared" ref="AP128:AP144" si="185">ROUND($AL128*AU128,0)</f>
        <v>0</v>
      </c>
      <c r="AQ128" s="33">
        <f t="shared" ref="AQ128:AQ144" si="186">ROUND($AL128*AV128,0)</f>
        <v>0</v>
      </c>
      <c r="AR128" s="132"/>
      <c r="AS128" s="132"/>
      <c r="AT128" s="132"/>
      <c r="AU128" s="132"/>
      <c r="AV128" s="133"/>
      <c r="AX128" s="16">
        <v>220</v>
      </c>
      <c r="AY128" s="16">
        <v>220</v>
      </c>
    </row>
    <row r="129" spans="1:51">
      <c r="A129" s="109" t="s">
        <v>494</v>
      </c>
      <c r="B129" s="33"/>
      <c r="C129" s="33">
        <f t="shared" si="163"/>
        <v>0</v>
      </c>
      <c r="D129" s="33">
        <f t="shared" si="164"/>
        <v>0</v>
      </c>
      <c r="E129" s="33">
        <f t="shared" si="165"/>
        <v>0</v>
      </c>
      <c r="F129" s="33">
        <f t="shared" si="166"/>
        <v>0</v>
      </c>
      <c r="G129" s="33">
        <f t="shared" si="167"/>
        <v>0</v>
      </c>
      <c r="H129" s="120">
        <v>0.13</v>
      </c>
      <c r="I129" s="120">
        <v>0.27</v>
      </c>
      <c r="J129" s="120">
        <v>0.4</v>
      </c>
      <c r="K129" s="120">
        <v>0.2</v>
      </c>
      <c r="L129" s="121">
        <v>0</v>
      </c>
      <c r="M129" s="109" t="str">
        <f t="shared" si="168"/>
        <v>Cold End Simple</v>
      </c>
      <c r="N129" s="33">
        <v>305</v>
      </c>
      <c r="O129" s="33">
        <f t="shared" si="169"/>
        <v>76</v>
      </c>
      <c r="P129" s="33">
        <f t="shared" si="170"/>
        <v>61</v>
      </c>
      <c r="Q129" s="33">
        <f t="shared" si="171"/>
        <v>98</v>
      </c>
      <c r="R129" s="33">
        <f t="shared" si="172"/>
        <v>67</v>
      </c>
      <c r="S129" s="33">
        <f t="shared" si="173"/>
        <v>3</v>
      </c>
      <c r="T129" s="110">
        <v>0.2491803278688525</v>
      </c>
      <c r="U129" s="110">
        <v>0.2</v>
      </c>
      <c r="V129" s="110">
        <v>0.32131147540983612</v>
      </c>
      <c r="W129" s="110">
        <v>0.219672131147541</v>
      </c>
      <c r="X129" s="111">
        <v>9.8360655737704927E-3</v>
      </c>
      <c r="Y129" s="109" t="str">
        <f t="shared" si="174"/>
        <v>Cold End Simple</v>
      </c>
      <c r="Z129" s="33">
        <f t="shared" si="175"/>
        <v>0</v>
      </c>
      <c r="AA129" s="33">
        <f t="shared" si="176"/>
        <v>0</v>
      </c>
      <c r="AB129" s="33">
        <f t="shared" si="177"/>
        <v>0</v>
      </c>
      <c r="AC129" s="33">
        <f t="shared" si="178"/>
        <v>0</v>
      </c>
      <c r="AD129" s="33">
        <f t="shared" si="179"/>
        <v>0</v>
      </c>
      <c r="AE129" s="33">
        <f t="shared" si="180"/>
        <v>0</v>
      </c>
      <c r="AF129" s="120">
        <v>0.1</v>
      </c>
      <c r="AG129" s="120">
        <v>0.3</v>
      </c>
      <c r="AH129" s="120">
        <v>0.4</v>
      </c>
      <c r="AI129" s="120">
        <v>0.2</v>
      </c>
      <c r="AJ129" s="121">
        <v>0</v>
      </c>
      <c r="AK129" s="109" t="str">
        <f t="shared" si="181"/>
        <v>Cold End Simple</v>
      </c>
      <c r="AL129" s="118"/>
      <c r="AM129" s="33">
        <f t="shared" si="182"/>
        <v>0</v>
      </c>
      <c r="AN129" s="33">
        <f t="shared" si="183"/>
        <v>0</v>
      </c>
      <c r="AO129" s="33">
        <f t="shared" si="184"/>
        <v>0</v>
      </c>
      <c r="AP129" s="33">
        <f t="shared" si="185"/>
        <v>0</v>
      </c>
      <c r="AQ129" s="33">
        <f t="shared" si="186"/>
        <v>0</v>
      </c>
      <c r="AR129" s="132"/>
      <c r="AS129" s="132"/>
      <c r="AT129" s="132"/>
      <c r="AU129" s="132"/>
      <c r="AV129" s="133"/>
      <c r="AX129" s="16">
        <v>180</v>
      </c>
      <c r="AY129" s="16">
        <v>180</v>
      </c>
    </row>
    <row r="130" spans="1:51">
      <c r="A130" s="109" t="s">
        <v>498</v>
      </c>
      <c r="B130" s="33"/>
      <c r="C130" s="33">
        <f t="shared" si="163"/>
        <v>0</v>
      </c>
      <c r="D130" s="33">
        <f t="shared" si="164"/>
        <v>0</v>
      </c>
      <c r="E130" s="33">
        <f t="shared" si="165"/>
        <v>0</v>
      </c>
      <c r="F130" s="33">
        <f t="shared" si="166"/>
        <v>0</v>
      </c>
      <c r="G130" s="33">
        <f t="shared" si="167"/>
        <v>0</v>
      </c>
      <c r="H130" s="120">
        <v>0.13</v>
      </c>
      <c r="I130" s="120">
        <v>0.27</v>
      </c>
      <c r="J130" s="120">
        <v>0.4</v>
      </c>
      <c r="K130" s="120">
        <v>0.2</v>
      </c>
      <c r="L130" s="121">
        <v>0</v>
      </c>
      <c r="M130" s="109" t="str">
        <f t="shared" si="168"/>
        <v>Diesel (DOC+DPF)</v>
      </c>
      <c r="N130" s="33">
        <v>402</v>
      </c>
      <c r="O130" s="33">
        <f t="shared" si="169"/>
        <v>145</v>
      </c>
      <c r="P130" s="33">
        <f t="shared" si="170"/>
        <v>84</v>
      </c>
      <c r="Q130" s="33">
        <f t="shared" si="171"/>
        <v>121</v>
      </c>
      <c r="R130" s="33">
        <f t="shared" si="172"/>
        <v>48</v>
      </c>
      <c r="S130" s="33">
        <f t="shared" si="173"/>
        <v>4</v>
      </c>
      <c r="T130" s="110">
        <v>0.36069651741293529</v>
      </c>
      <c r="U130" s="110">
        <v>0.20895522388059701</v>
      </c>
      <c r="V130" s="110">
        <v>0.30099502487562191</v>
      </c>
      <c r="W130" s="110">
        <v>0.11940298507462691</v>
      </c>
      <c r="X130" s="111">
        <v>9.9502487562189053E-3</v>
      </c>
      <c r="Y130" s="109" t="str">
        <f t="shared" si="174"/>
        <v>Diesel (DOC+DPF)</v>
      </c>
      <c r="Z130" s="33">
        <f t="shared" si="175"/>
        <v>0</v>
      </c>
      <c r="AA130" s="33">
        <f t="shared" si="176"/>
        <v>0</v>
      </c>
      <c r="AB130" s="33">
        <f t="shared" si="177"/>
        <v>0</v>
      </c>
      <c r="AC130" s="33">
        <f t="shared" si="178"/>
        <v>0</v>
      </c>
      <c r="AD130" s="33">
        <f t="shared" si="179"/>
        <v>0</v>
      </c>
      <c r="AE130" s="33">
        <f t="shared" si="180"/>
        <v>0</v>
      </c>
      <c r="AF130" s="120">
        <v>0.1</v>
      </c>
      <c r="AG130" s="120">
        <v>0.3</v>
      </c>
      <c r="AH130" s="120">
        <v>0.4</v>
      </c>
      <c r="AI130" s="120">
        <v>0.2</v>
      </c>
      <c r="AJ130" s="121">
        <v>0</v>
      </c>
      <c r="AK130" s="109" t="str">
        <f t="shared" si="181"/>
        <v>Diesel (DOC+DPF)</v>
      </c>
      <c r="AL130" s="118"/>
      <c r="AM130" s="33">
        <f t="shared" si="182"/>
        <v>0</v>
      </c>
      <c r="AN130" s="33">
        <f t="shared" si="183"/>
        <v>0</v>
      </c>
      <c r="AO130" s="33">
        <f t="shared" si="184"/>
        <v>0</v>
      </c>
      <c r="AP130" s="33">
        <f t="shared" si="185"/>
        <v>0</v>
      </c>
      <c r="AQ130" s="33">
        <f t="shared" si="186"/>
        <v>0</v>
      </c>
      <c r="AR130" s="132"/>
      <c r="AS130" s="132"/>
      <c r="AT130" s="132"/>
      <c r="AU130" s="132"/>
      <c r="AV130" s="133"/>
      <c r="AX130" s="16">
        <v>500</v>
      </c>
      <c r="AY130" s="16">
        <v>500</v>
      </c>
    </row>
    <row r="131" spans="1:51" ht="37.5">
      <c r="A131" s="109" t="s">
        <v>500</v>
      </c>
      <c r="B131" s="33"/>
      <c r="C131" s="33">
        <f t="shared" si="163"/>
        <v>0</v>
      </c>
      <c r="D131" s="33">
        <f t="shared" si="164"/>
        <v>0</v>
      </c>
      <c r="E131" s="33">
        <f t="shared" si="165"/>
        <v>0</v>
      </c>
      <c r="F131" s="33">
        <f t="shared" si="166"/>
        <v>0</v>
      </c>
      <c r="G131" s="33">
        <f t="shared" si="167"/>
        <v>0</v>
      </c>
      <c r="H131" s="120">
        <v>0.13</v>
      </c>
      <c r="I131" s="120">
        <v>0.27</v>
      </c>
      <c r="J131" s="120">
        <v>0.4</v>
      </c>
      <c r="K131" s="120">
        <v>0.2</v>
      </c>
      <c r="L131" s="121">
        <v>0</v>
      </c>
      <c r="M131" s="109" t="str">
        <f t="shared" si="168"/>
        <v>Diesel (DOC+DPF+SCR) Underfloor (with underfloor mixer &amp; underfloor SCR)</v>
      </c>
      <c r="N131" s="33">
        <v>741</v>
      </c>
      <c r="O131" s="33">
        <f t="shared" si="169"/>
        <v>268</v>
      </c>
      <c r="P131" s="33">
        <f t="shared" si="170"/>
        <v>152</v>
      </c>
      <c r="Q131" s="33">
        <f t="shared" si="171"/>
        <v>224</v>
      </c>
      <c r="R131" s="33">
        <f t="shared" si="172"/>
        <v>88</v>
      </c>
      <c r="S131" s="33">
        <f t="shared" si="173"/>
        <v>9</v>
      </c>
      <c r="T131" s="110">
        <v>0.36167341430499328</v>
      </c>
      <c r="U131" s="110">
        <v>0.20512820512820509</v>
      </c>
      <c r="V131" s="110">
        <v>0.30229419703103921</v>
      </c>
      <c r="W131" s="110">
        <v>0.1187584345479082</v>
      </c>
      <c r="X131" s="111">
        <v>1.2145748987854249E-2</v>
      </c>
      <c r="Y131" s="109" t="str">
        <f t="shared" si="174"/>
        <v>Diesel (DOC+DPF+SCR) Underfloor (with underfloor mixer &amp; underfloor SCR)</v>
      </c>
      <c r="Z131" s="33">
        <f t="shared" si="175"/>
        <v>0</v>
      </c>
      <c r="AA131" s="33">
        <f t="shared" si="176"/>
        <v>0</v>
      </c>
      <c r="AB131" s="33">
        <f t="shared" si="177"/>
        <v>0</v>
      </c>
      <c r="AC131" s="33">
        <f t="shared" si="178"/>
        <v>0</v>
      </c>
      <c r="AD131" s="33">
        <f t="shared" si="179"/>
        <v>0</v>
      </c>
      <c r="AE131" s="33">
        <f t="shared" si="180"/>
        <v>0</v>
      </c>
      <c r="AF131" s="120">
        <v>0.1</v>
      </c>
      <c r="AG131" s="120">
        <v>0.3</v>
      </c>
      <c r="AH131" s="120">
        <v>0.4</v>
      </c>
      <c r="AI131" s="120">
        <v>0.2</v>
      </c>
      <c r="AJ131" s="121">
        <v>0</v>
      </c>
      <c r="AK131" s="109" t="str">
        <f t="shared" si="181"/>
        <v>Diesel (DOC+DPF+SCR) Underfloor (with underfloor mixer &amp; underfloor SCR)</v>
      </c>
      <c r="AL131" s="118"/>
      <c r="AM131" s="33">
        <f t="shared" si="182"/>
        <v>0</v>
      </c>
      <c r="AN131" s="33">
        <f t="shared" si="183"/>
        <v>0</v>
      </c>
      <c r="AO131" s="33">
        <f t="shared" si="184"/>
        <v>0</v>
      </c>
      <c r="AP131" s="33">
        <f t="shared" si="185"/>
        <v>0</v>
      </c>
      <c r="AQ131" s="33">
        <f t="shared" si="186"/>
        <v>0</v>
      </c>
      <c r="AR131" s="132"/>
      <c r="AS131" s="132"/>
      <c r="AT131" s="132"/>
      <c r="AU131" s="132"/>
      <c r="AV131" s="133"/>
      <c r="AX131" s="16">
        <v>520</v>
      </c>
      <c r="AY131" s="16">
        <v>520</v>
      </c>
    </row>
    <row r="132" spans="1:51" ht="37.5">
      <c r="A132" s="109" t="s">
        <v>505</v>
      </c>
      <c r="B132" s="33"/>
      <c r="C132" s="33">
        <f t="shared" si="163"/>
        <v>0</v>
      </c>
      <c r="D132" s="33">
        <f t="shared" si="164"/>
        <v>0</v>
      </c>
      <c r="E132" s="33">
        <f t="shared" si="165"/>
        <v>0</v>
      </c>
      <c r="F132" s="33">
        <f t="shared" si="166"/>
        <v>0</v>
      </c>
      <c r="G132" s="33">
        <f t="shared" si="167"/>
        <v>0</v>
      </c>
      <c r="H132" s="120">
        <v>0.13</v>
      </c>
      <c r="I132" s="120">
        <v>0.27</v>
      </c>
      <c r="J132" s="120">
        <v>0.4</v>
      </c>
      <c r="K132" s="120">
        <v>0.2</v>
      </c>
      <c r="L132" s="121">
        <v>0</v>
      </c>
      <c r="M132" s="109" t="str">
        <f t="shared" si="168"/>
        <v>Diesel (DOC+SDPF) Compact (Compact mixer in CCC ex: U shape, Chistera...)</v>
      </c>
      <c r="N132" s="33">
        <v>741</v>
      </c>
      <c r="O132" s="33">
        <f t="shared" si="169"/>
        <v>268</v>
      </c>
      <c r="P132" s="33">
        <f t="shared" si="170"/>
        <v>152</v>
      </c>
      <c r="Q132" s="33">
        <f t="shared" si="171"/>
        <v>224</v>
      </c>
      <c r="R132" s="33">
        <f t="shared" si="172"/>
        <v>88</v>
      </c>
      <c r="S132" s="33">
        <f t="shared" si="173"/>
        <v>9</v>
      </c>
      <c r="T132" s="110">
        <v>0.36167341430499328</v>
      </c>
      <c r="U132" s="110">
        <v>0.20512820512820509</v>
      </c>
      <c r="V132" s="110">
        <v>0.30229419703103921</v>
      </c>
      <c r="W132" s="110">
        <v>0.1187584345479082</v>
      </c>
      <c r="X132" s="111">
        <v>1.2145748987854249E-2</v>
      </c>
      <c r="Y132" s="109" t="str">
        <f t="shared" si="174"/>
        <v>Diesel (DOC+SDPF) Compact (Compact mixer in CCC ex: U shape, Chistera...)</v>
      </c>
      <c r="Z132" s="33">
        <f t="shared" si="175"/>
        <v>0</v>
      </c>
      <c r="AA132" s="33">
        <f t="shared" si="176"/>
        <v>0</v>
      </c>
      <c r="AB132" s="33">
        <f t="shared" si="177"/>
        <v>0</v>
      </c>
      <c r="AC132" s="33">
        <f t="shared" si="178"/>
        <v>0</v>
      </c>
      <c r="AD132" s="33">
        <f t="shared" si="179"/>
        <v>0</v>
      </c>
      <c r="AE132" s="33">
        <f t="shared" si="180"/>
        <v>0</v>
      </c>
      <c r="AF132" s="120">
        <v>0.1</v>
      </c>
      <c r="AG132" s="120">
        <v>0.3</v>
      </c>
      <c r="AH132" s="120">
        <v>0.4</v>
      </c>
      <c r="AI132" s="120">
        <v>0.2</v>
      </c>
      <c r="AJ132" s="121">
        <v>0</v>
      </c>
      <c r="AK132" s="109" t="str">
        <f t="shared" si="181"/>
        <v>Diesel (DOC+SDPF) Compact (Compact mixer in CCC ex: U shape, Chistera...)</v>
      </c>
      <c r="AL132" s="118"/>
      <c r="AM132" s="33">
        <f t="shared" si="182"/>
        <v>0</v>
      </c>
      <c r="AN132" s="33">
        <f t="shared" si="183"/>
        <v>0</v>
      </c>
      <c r="AO132" s="33">
        <f t="shared" si="184"/>
        <v>0</v>
      </c>
      <c r="AP132" s="33">
        <f t="shared" si="185"/>
        <v>0</v>
      </c>
      <c r="AQ132" s="33">
        <f t="shared" si="186"/>
        <v>0</v>
      </c>
      <c r="AR132" s="132"/>
      <c r="AS132" s="132"/>
      <c r="AT132" s="132"/>
      <c r="AU132" s="132"/>
      <c r="AV132" s="133"/>
      <c r="AX132" s="16">
        <v>540</v>
      </c>
      <c r="AY132" s="16">
        <v>540</v>
      </c>
    </row>
    <row r="133" spans="1:51">
      <c r="A133" s="109" t="s">
        <v>509</v>
      </c>
      <c r="B133" s="33"/>
      <c r="C133" s="33">
        <f t="shared" si="163"/>
        <v>0</v>
      </c>
      <c r="D133" s="33">
        <f t="shared" si="164"/>
        <v>0</v>
      </c>
      <c r="E133" s="33">
        <f t="shared" si="165"/>
        <v>0</v>
      </c>
      <c r="F133" s="33">
        <f t="shared" si="166"/>
        <v>0</v>
      </c>
      <c r="G133" s="33">
        <f t="shared" si="167"/>
        <v>0</v>
      </c>
      <c r="H133" s="120">
        <v>0.13</v>
      </c>
      <c r="I133" s="120">
        <v>0.27</v>
      </c>
      <c r="J133" s="120">
        <v>0.4</v>
      </c>
      <c r="K133" s="120">
        <v>0.2</v>
      </c>
      <c r="L133" s="121">
        <v>0</v>
      </c>
      <c r="M133" s="109" t="str">
        <f t="shared" si="168"/>
        <v>Manifold</v>
      </c>
      <c r="N133" s="33">
        <v>200</v>
      </c>
      <c r="O133" s="33">
        <f t="shared" si="169"/>
        <v>20</v>
      </c>
      <c r="P133" s="33">
        <f t="shared" si="170"/>
        <v>60</v>
      </c>
      <c r="Q133" s="33">
        <f t="shared" si="171"/>
        <v>80</v>
      </c>
      <c r="R133" s="33">
        <f t="shared" si="172"/>
        <v>40</v>
      </c>
      <c r="S133" s="33">
        <f t="shared" si="173"/>
        <v>0</v>
      </c>
      <c r="T133" s="110">
        <v>0.1</v>
      </c>
      <c r="U133" s="110">
        <v>0.3</v>
      </c>
      <c r="V133" s="110">
        <v>0.4</v>
      </c>
      <c r="W133" s="110">
        <v>0.2</v>
      </c>
      <c r="X133" s="111">
        <v>0</v>
      </c>
      <c r="Y133" s="109" t="str">
        <f t="shared" si="174"/>
        <v>Manifold</v>
      </c>
      <c r="Z133" s="33">
        <f t="shared" si="175"/>
        <v>0</v>
      </c>
      <c r="AA133" s="33">
        <f t="shared" si="176"/>
        <v>0</v>
      </c>
      <c r="AB133" s="33">
        <f t="shared" si="177"/>
        <v>0</v>
      </c>
      <c r="AC133" s="33">
        <f t="shared" si="178"/>
        <v>0</v>
      </c>
      <c r="AD133" s="33">
        <f t="shared" si="179"/>
        <v>0</v>
      </c>
      <c r="AE133" s="33">
        <f t="shared" si="180"/>
        <v>0</v>
      </c>
      <c r="AF133" s="120">
        <v>0.1</v>
      </c>
      <c r="AG133" s="120">
        <v>0.3</v>
      </c>
      <c r="AH133" s="120">
        <v>0.4</v>
      </c>
      <c r="AI133" s="120">
        <v>0.2</v>
      </c>
      <c r="AJ133" s="121">
        <v>0</v>
      </c>
      <c r="AK133" s="109" t="str">
        <f t="shared" si="181"/>
        <v>Manifold</v>
      </c>
      <c r="AL133" s="118"/>
      <c r="AM133" s="33">
        <f t="shared" si="182"/>
        <v>0</v>
      </c>
      <c r="AN133" s="33">
        <f t="shared" si="183"/>
        <v>0</v>
      </c>
      <c r="AO133" s="33">
        <f t="shared" si="184"/>
        <v>0</v>
      </c>
      <c r="AP133" s="33">
        <f t="shared" si="185"/>
        <v>0</v>
      </c>
      <c r="AQ133" s="33">
        <f t="shared" si="186"/>
        <v>0</v>
      </c>
      <c r="AR133" s="132"/>
      <c r="AS133" s="132"/>
      <c r="AT133" s="132"/>
      <c r="AU133" s="132"/>
      <c r="AV133" s="133"/>
      <c r="AX133" s="16">
        <v>200</v>
      </c>
      <c r="AY133" s="16">
        <v>200</v>
      </c>
    </row>
    <row r="134" spans="1:51">
      <c r="A134" s="109" t="s">
        <v>512</v>
      </c>
      <c r="B134" s="33"/>
      <c r="C134" s="33">
        <f t="shared" si="163"/>
        <v>0</v>
      </c>
      <c r="D134" s="33">
        <f t="shared" si="164"/>
        <v>0</v>
      </c>
      <c r="E134" s="33">
        <f t="shared" si="165"/>
        <v>0</v>
      </c>
      <c r="F134" s="33">
        <f t="shared" si="166"/>
        <v>0</v>
      </c>
      <c r="G134" s="33">
        <f t="shared" si="167"/>
        <v>0</v>
      </c>
      <c r="H134" s="120">
        <v>0.13</v>
      </c>
      <c r="I134" s="120">
        <v>0.27</v>
      </c>
      <c r="J134" s="120">
        <v>0.4</v>
      </c>
      <c r="K134" s="120">
        <v>0.2</v>
      </c>
      <c r="L134" s="121">
        <v>0</v>
      </c>
      <c r="M134" s="109"/>
      <c r="N134" s="33">
        <v>402</v>
      </c>
      <c r="O134" s="33">
        <f t="shared" si="169"/>
        <v>145</v>
      </c>
      <c r="P134" s="33">
        <f t="shared" si="170"/>
        <v>84</v>
      </c>
      <c r="Q134" s="33">
        <f t="shared" si="171"/>
        <v>121</v>
      </c>
      <c r="R134" s="33">
        <f t="shared" si="172"/>
        <v>48</v>
      </c>
      <c r="S134" s="33">
        <f t="shared" si="173"/>
        <v>4</v>
      </c>
      <c r="T134" s="110">
        <v>0.36069651741293529</v>
      </c>
      <c r="U134" s="110">
        <v>0.20895522388059701</v>
      </c>
      <c r="V134" s="110">
        <v>0.30099502487562191</v>
      </c>
      <c r="W134" s="110">
        <v>0.11940298507462691</v>
      </c>
      <c r="X134" s="111">
        <v>9.9502487562189053E-3</v>
      </c>
      <c r="Y134" s="109"/>
      <c r="Z134" s="33">
        <f t="shared" si="175"/>
        <v>0</v>
      </c>
      <c r="AA134" s="33">
        <f t="shared" si="176"/>
        <v>0</v>
      </c>
      <c r="AB134" s="33">
        <f t="shared" si="177"/>
        <v>0</v>
      </c>
      <c r="AC134" s="33">
        <f t="shared" si="178"/>
        <v>0</v>
      </c>
      <c r="AD134" s="33">
        <f t="shared" si="179"/>
        <v>0</v>
      </c>
      <c r="AE134" s="33">
        <f t="shared" si="180"/>
        <v>0</v>
      </c>
      <c r="AF134" s="120">
        <v>0.1</v>
      </c>
      <c r="AG134" s="120">
        <v>0.3</v>
      </c>
      <c r="AH134" s="120">
        <v>0.4</v>
      </c>
      <c r="AI134" s="120">
        <v>0.2</v>
      </c>
      <c r="AJ134" s="121">
        <v>0</v>
      </c>
      <c r="AK134" s="109"/>
      <c r="AL134" s="118"/>
      <c r="AM134" s="33">
        <f t="shared" si="182"/>
        <v>0</v>
      </c>
      <c r="AN134" s="33">
        <f t="shared" si="183"/>
        <v>0</v>
      </c>
      <c r="AO134" s="33">
        <f t="shared" si="184"/>
        <v>0</v>
      </c>
      <c r="AP134" s="33">
        <f t="shared" si="185"/>
        <v>0</v>
      </c>
      <c r="AQ134" s="33">
        <f t="shared" si="186"/>
        <v>0</v>
      </c>
      <c r="AR134" s="132"/>
      <c r="AS134" s="132"/>
      <c r="AT134" s="132"/>
      <c r="AU134" s="132"/>
      <c r="AV134" s="133"/>
      <c r="AX134" s="16">
        <v>210</v>
      </c>
      <c r="AY134" s="16">
        <v>210</v>
      </c>
    </row>
    <row r="135" spans="1:51">
      <c r="A135" s="109" t="s">
        <v>514</v>
      </c>
      <c r="B135" s="33"/>
      <c r="C135" s="33">
        <f t="shared" si="163"/>
        <v>0</v>
      </c>
      <c r="D135" s="33">
        <f t="shared" si="164"/>
        <v>0</v>
      </c>
      <c r="E135" s="33">
        <f t="shared" si="165"/>
        <v>0</v>
      </c>
      <c r="F135" s="33">
        <f t="shared" si="166"/>
        <v>0</v>
      </c>
      <c r="G135" s="33">
        <f t="shared" si="167"/>
        <v>0</v>
      </c>
      <c r="H135" s="120">
        <v>0.13</v>
      </c>
      <c r="I135" s="120">
        <v>0.27</v>
      </c>
      <c r="J135" s="120">
        <v>0.4</v>
      </c>
      <c r="K135" s="120">
        <v>0.2</v>
      </c>
      <c r="L135" s="121">
        <v>0</v>
      </c>
      <c r="M135" s="109" t="str">
        <f t="shared" ref="M135:M144" si="187">$A135</f>
        <v>Turbo HE</v>
      </c>
      <c r="N135" s="33">
        <v>402</v>
      </c>
      <c r="O135" s="33">
        <f t="shared" si="169"/>
        <v>145</v>
      </c>
      <c r="P135" s="33">
        <f t="shared" si="170"/>
        <v>84</v>
      </c>
      <c r="Q135" s="33">
        <f t="shared" si="171"/>
        <v>121</v>
      </c>
      <c r="R135" s="33">
        <f t="shared" si="172"/>
        <v>48</v>
      </c>
      <c r="S135" s="33">
        <f t="shared" si="173"/>
        <v>4</v>
      </c>
      <c r="T135" s="110">
        <v>0.36069651741293529</v>
      </c>
      <c r="U135" s="110">
        <v>0.20895522388059701</v>
      </c>
      <c r="V135" s="110">
        <v>0.30099502487562191</v>
      </c>
      <c r="W135" s="110">
        <v>0.11940298507462691</v>
      </c>
      <c r="X135" s="111">
        <v>9.9502487562189053E-3</v>
      </c>
      <c r="Y135" s="109" t="str">
        <f t="shared" ref="Y135:Y143" si="188">$A135</f>
        <v>Turbo HE</v>
      </c>
      <c r="Z135" s="33">
        <f t="shared" si="175"/>
        <v>0</v>
      </c>
      <c r="AA135" s="33">
        <f t="shared" si="176"/>
        <v>0</v>
      </c>
      <c r="AB135" s="33">
        <f t="shared" si="177"/>
        <v>0</v>
      </c>
      <c r="AC135" s="33">
        <f t="shared" si="178"/>
        <v>0</v>
      </c>
      <c r="AD135" s="33">
        <f t="shared" si="179"/>
        <v>0</v>
      </c>
      <c r="AE135" s="33">
        <f t="shared" si="180"/>
        <v>0</v>
      </c>
      <c r="AF135" s="120">
        <v>0.1</v>
      </c>
      <c r="AG135" s="120">
        <v>0.3</v>
      </c>
      <c r="AH135" s="120">
        <v>0.4</v>
      </c>
      <c r="AI135" s="120">
        <v>0.2</v>
      </c>
      <c r="AJ135" s="121">
        <v>0</v>
      </c>
      <c r="AK135" s="109" t="str">
        <f t="shared" ref="AK135:AK143" si="189">$A135</f>
        <v>Turbo HE</v>
      </c>
      <c r="AL135" s="118"/>
      <c r="AM135" s="33">
        <f t="shared" si="182"/>
        <v>0</v>
      </c>
      <c r="AN135" s="33">
        <f t="shared" si="183"/>
        <v>0</v>
      </c>
      <c r="AO135" s="33">
        <f t="shared" si="184"/>
        <v>0</v>
      </c>
      <c r="AP135" s="33">
        <f t="shared" si="185"/>
        <v>0</v>
      </c>
      <c r="AQ135" s="33">
        <f t="shared" si="186"/>
        <v>0</v>
      </c>
      <c r="AR135" s="132"/>
      <c r="AS135" s="132"/>
      <c r="AT135" s="132"/>
      <c r="AU135" s="132"/>
      <c r="AV135" s="133"/>
      <c r="AX135" s="16">
        <v>240</v>
      </c>
      <c r="AY135" s="16">
        <v>240</v>
      </c>
    </row>
    <row r="136" spans="1:51">
      <c r="A136" s="109" t="s">
        <v>516</v>
      </c>
      <c r="B136" s="33"/>
      <c r="C136" s="33">
        <f t="shared" si="163"/>
        <v>0</v>
      </c>
      <c r="D136" s="33">
        <f t="shared" si="164"/>
        <v>0</v>
      </c>
      <c r="E136" s="33">
        <f t="shared" si="165"/>
        <v>0</v>
      </c>
      <c r="F136" s="33">
        <f t="shared" si="166"/>
        <v>0</v>
      </c>
      <c r="G136" s="33">
        <f t="shared" si="167"/>
        <v>0</v>
      </c>
      <c r="H136" s="120">
        <v>0.13</v>
      </c>
      <c r="I136" s="120">
        <v>0.27</v>
      </c>
      <c r="J136" s="120">
        <v>0.4</v>
      </c>
      <c r="K136" s="120">
        <v>0.2</v>
      </c>
      <c r="L136" s="121">
        <v>0</v>
      </c>
      <c r="M136" s="109" t="str">
        <f t="shared" si="187"/>
        <v>Turbo HE + UCC</v>
      </c>
      <c r="N136" s="33">
        <v>685</v>
      </c>
      <c r="O136" s="33">
        <f t="shared" si="169"/>
        <v>247</v>
      </c>
      <c r="P136" s="33">
        <f t="shared" si="170"/>
        <v>143</v>
      </c>
      <c r="Q136" s="33">
        <f t="shared" si="171"/>
        <v>206</v>
      </c>
      <c r="R136" s="33">
        <f t="shared" si="172"/>
        <v>82</v>
      </c>
      <c r="S136" s="33">
        <f t="shared" si="173"/>
        <v>7</v>
      </c>
      <c r="T136" s="110">
        <v>0.36069651741293529</v>
      </c>
      <c r="U136" s="110">
        <v>0.20895522388059701</v>
      </c>
      <c r="V136" s="110">
        <v>0.30099502487562191</v>
      </c>
      <c r="W136" s="110">
        <v>0.11940298507462691</v>
      </c>
      <c r="X136" s="111">
        <v>9.9502487562189053E-3</v>
      </c>
      <c r="Y136" s="109" t="str">
        <f t="shared" si="188"/>
        <v>Turbo HE + UCC</v>
      </c>
      <c r="Z136" s="33">
        <f t="shared" si="175"/>
        <v>0</v>
      </c>
      <c r="AA136" s="33">
        <f t="shared" si="176"/>
        <v>0</v>
      </c>
      <c r="AB136" s="33">
        <f t="shared" si="177"/>
        <v>0</v>
      </c>
      <c r="AC136" s="33">
        <f t="shared" si="178"/>
        <v>0</v>
      </c>
      <c r="AD136" s="33">
        <f t="shared" si="179"/>
        <v>0</v>
      </c>
      <c r="AE136" s="33">
        <f t="shared" si="180"/>
        <v>0</v>
      </c>
      <c r="AF136" s="120">
        <v>0.1</v>
      </c>
      <c r="AG136" s="120">
        <v>0.3</v>
      </c>
      <c r="AH136" s="120">
        <v>0.4</v>
      </c>
      <c r="AI136" s="120">
        <v>0.2</v>
      </c>
      <c r="AJ136" s="121">
        <v>0</v>
      </c>
      <c r="AK136" s="109" t="str">
        <f t="shared" si="189"/>
        <v>Turbo HE + UCC</v>
      </c>
      <c r="AL136" s="118"/>
      <c r="AM136" s="33">
        <f t="shared" si="182"/>
        <v>0</v>
      </c>
      <c r="AN136" s="33">
        <f t="shared" si="183"/>
        <v>0</v>
      </c>
      <c r="AO136" s="33">
        <f t="shared" si="184"/>
        <v>0</v>
      </c>
      <c r="AP136" s="33">
        <f t="shared" si="185"/>
        <v>0</v>
      </c>
      <c r="AQ136" s="33">
        <f t="shared" si="186"/>
        <v>0</v>
      </c>
      <c r="AR136" s="132"/>
      <c r="AS136" s="132"/>
      <c r="AT136" s="132"/>
      <c r="AU136" s="132"/>
      <c r="AV136" s="133"/>
      <c r="AX136" s="16">
        <v>240</v>
      </c>
      <c r="AY136" s="16">
        <v>240</v>
      </c>
    </row>
    <row r="137" spans="1:51">
      <c r="A137" s="109" t="s">
        <v>518</v>
      </c>
      <c r="B137" s="33"/>
      <c r="C137" s="33">
        <f t="shared" si="163"/>
        <v>0</v>
      </c>
      <c r="D137" s="33">
        <f t="shared" si="164"/>
        <v>0</v>
      </c>
      <c r="E137" s="33">
        <f t="shared" si="165"/>
        <v>0</v>
      </c>
      <c r="F137" s="33">
        <f t="shared" si="166"/>
        <v>0</v>
      </c>
      <c r="G137" s="33">
        <f t="shared" si="167"/>
        <v>0</v>
      </c>
      <c r="H137" s="120">
        <v>0.13</v>
      </c>
      <c r="I137" s="120">
        <v>0.27</v>
      </c>
      <c r="J137" s="120">
        <v>0.4</v>
      </c>
      <c r="K137" s="120">
        <v>0.2</v>
      </c>
      <c r="L137" s="121">
        <v>0</v>
      </c>
      <c r="M137" s="109" t="str">
        <f t="shared" si="187"/>
        <v>UCC</v>
      </c>
      <c r="N137" s="33">
        <v>283</v>
      </c>
      <c r="O137" s="33">
        <f t="shared" si="169"/>
        <v>102</v>
      </c>
      <c r="P137" s="33">
        <f t="shared" si="170"/>
        <v>59</v>
      </c>
      <c r="Q137" s="33">
        <f t="shared" si="171"/>
        <v>85</v>
      </c>
      <c r="R137" s="33">
        <f t="shared" si="172"/>
        <v>34</v>
      </c>
      <c r="S137" s="33">
        <f t="shared" si="173"/>
        <v>3</v>
      </c>
      <c r="T137" s="110">
        <v>0.36042402826855119</v>
      </c>
      <c r="U137" s="110">
        <v>0.20848056537102469</v>
      </c>
      <c r="V137" s="110">
        <v>0.30035335689045939</v>
      </c>
      <c r="W137" s="110">
        <v>0.1201413427561837</v>
      </c>
      <c r="X137" s="111">
        <v>1.0600706713780919E-2</v>
      </c>
      <c r="Y137" s="109" t="str">
        <f t="shared" si="188"/>
        <v>UCC</v>
      </c>
      <c r="Z137" s="33">
        <f t="shared" si="175"/>
        <v>0</v>
      </c>
      <c r="AA137" s="33">
        <f t="shared" si="176"/>
        <v>0</v>
      </c>
      <c r="AB137" s="33">
        <f t="shared" si="177"/>
        <v>0</v>
      </c>
      <c r="AC137" s="33">
        <f t="shared" si="178"/>
        <v>0</v>
      </c>
      <c r="AD137" s="33">
        <f t="shared" si="179"/>
        <v>0</v>
      </c>
      <c r="AE137" s="33">
        <f t="shared" si="180"/>
        <v>0</v>
      </c>
      <c r="AF137" s="120">
        <v>0.1</v>
      </c>
      <c r="AG137" s="120">
        <v>0.3</v>
      </c>
      <c r="AH137" s="120">
        <v>0.4</v>
      </c>
      <c r="AI137" s="120">
        <v>0.2</v>
      </c>
      <c r="AJ137" s="121">
        <v>0</v>
      </c>
      <c r="AK137" s="109" t="str">
        <f t="shared" si="189"/>
        <v>UCC</v>
      </c>
      <c r="AL137" s="118"/>
      <c r="AM137" s="33">
        <f t="shared" si="182"/>
        <v>0</v>
      </c>
      <c r="AN137" s="33">
        <f t="shared" si="183"/>
        <v>0</v>
      </c>
      <c r="AO137" s="33">
        <f t="shared" si="184"/>
        <v>0</v>
      </c>
      <c r="AP137" s="33">
        <f t="shared" si="185"/>
        <v>0</v>
      </c>
      <c r="AQ137" s="33">
        <f t="shared" si="186"/>
        <v>0</v>
      </c>
      <c r="AR137" s="132"/>
      <c r="AS137" s="132"/>
      <c r="AT137" s="132"/>
      <c r="AU137" s="132"/>
      <c r="AV137" s="133"/>
      <c r="AX137" s="16">
        <v>240</v>
      </c>
      <c r="AY137" s="16">
        <v>240</v>
      </c>
    </row>
    <row r="138" spans="1:51">
      <c r="A138" s="109" t="s">
        <v>520</v>
      </c>
      <c r="B138" s="33"/>
      <c r="C138" s="33">
        <f t="shared" si="163"/>
        <v>0</v>
      </c>
      <c r="D138" s="33">
        <f t="shared" si="164"/>
        <v>0</v>
      </c>
      <c r="E138" s="33">
        <f t="shared" si="165"/>
        <v>0</v>
      </c>
      <c r="F138" s="33">
        <f t="shared" si="166"/>
        <v>0</v>
      </c>
      <c r="G138" s="33">
        <f t="shared" si="167"/>
        <v>0</v>
      </c>
      <c r="H138" s="120">
        <v>0.1</v>
      </c>
      <c r="I138" s="120">
        <v>0.3</v>
      </c>
      <c r="J138" s="120">
        <v>0.4</v>
      </c>
      <c r="K138" s="120">
        <v>0.2</v>
      </c>
      <c r="L138" s="121">
        <v>0</v>
      </c>
      <c r="M138" s="109" t="str">
        <f t="shared" si="187"/>
        <v>Box</v>
      </c>
      <c r="N138" s="33">
        <v>450</v>
      </c>
      <c r="O138" s="33">
        <f t="shared" si="169"/>
        <v>45</v>
      </c>
      <c r="P138" s="33">
        <f t="shared" si="170"/>
        <v>135</v>
      </c>
      <c r="Q138" s="33">
        <f t="shared" si="171"/>
        <v>180</v>
      </c>
      <c r="R138" s="33">
        <f t="shared" si="172"/>
        <v>90</v>
      </c>
      <c r="S138" s="33">
        <f t="shared" si="173"/>
        <v>0</v>
      </c>
      <c r="T138" s="110">
        <v>0.1</v>
      </c>
      <c r="U138" s="110">
        <v>0.3</v>
      </c>
      <c r="V138" s="110">
        <v>0.4</v>
      </c>
      <c r="W138" s="110">
        <v>0.2</v>
      </c>
      <c r="X138" s="111">
        <v>0</v>
      </c>
      <c r="Y138" s="109" t="str">
        <f t="shared" si="188"/>
        <v>Box</v>
      </c>
      <c r="Z138" s="33">
        <f t="shared" si="175"/>
        <v>0</v>
      </c>
      <c r="AA138" s="33">
        <f t="shared" si="176"/>
        <v>0</v>
      </c>
      <c r="AB138" s="33">
        <f t="shared" si="177"/>
        <v>0</v>
      </c>
      <c r="AC138" s="33">
        <f t="shared" si="178"/>
        <v>0</v>
      </c>
      <c r="AD138" s="33">
        <f t="shared" si="179"/>
        <v>0</v>
      </c>
      <c r="AE138" s="33">
        <f t="shared" si="180"/>
        <v>0</v>
      </c>
      <c r="AF138" s="110">
        <v>0.1</v>
      </c>
      <c r="AG138" s="110">
        <v>0.3</v>
      </c>
      <c r="AH138" s="110">
        <v>0.4</v>
      </c>
      <c r="AI138" s="110">
        <v>0.2</v>
      </c>
      <c r="AJ138" s="111">
        <v>0</v>
      </c>
      <c r="AK138" s="109" t="str">
        <f t="shared" si="189"/>
        <v>Box</v>
      </c>
      <c r="AL138" s="33">
        <v>450</v>
      </c>
      <c r="AM138" s="33">
        <f t="shared" si="182"/>
        <v>45</v>
      </c>
      <c r="AN138" s="33">
        <f t="shared" si="183"/>
        <v>135</v>
      </c>
      <c r="AO138" s="33">
        <f t="shared" si="184"/>
        <v>180</v>
      </c>
      <c r="AP138" s="33">
        <f t="shared" si="185"/>
        <v>90</v>
      </c>
      <c r="AQ138" s="33">
        <f t="shared" si="186"/>
        <v>0</v>
      </c>
      <c r="AR138" s="110">
        <v>0.1</v>
      </c>
      <c r="AS138" s="110">
        <v>0.3</v>
      </c>
      <c r="AT138" s="110">
        <v>0.4</v>
      </c>
      <c r="AU138" s="110">
        <v>0.2</v>
      </c>
      <c r="AV138" s="111">
        <v>0</v>
      </c>
      <c r="AX138" s="16">
        <v>450</v>
      </c>
      <c r="AY138" s="16">
        <v>450</v>
      </c>
    </row>
    <row r="139" spans="1:51">
      <c r="A139" s="109" t="s">
        <v>523</v>
      </c>
      <c r="B139" s="33"/>
      <c r="C139" s="33">
        <f t="shared" si="163"/>
        <v>0</v>
      </c>
      <c r="D139" s="33">
        <f t="shared" si="164"/>
        <v>0</v>
      </c>
      <c r="E139" s="33">
        <f t="shared" si="165"/>
        <v>0</v>
      </c>
      <c r="F139" s="33">
        <f t="shared" si="166"/>
        <v>0</v>
      </c>
      <c r="G139" s="33">
        <f t="shared" si="167"/>
        <v>0</v>
      </c>
      <c r="H139" s="120">
        <v>0.1</v>
      </c>
      <c r="I139" s="120">
        <v>0.3</v>
      </c>
      <c r="J139" s="120">
        <v>0.4</v>
      </c>
      <c r="K139" s="120">
        <v>0.2</v>
      </c>
      <c r="L139" s="121">
        <v>0</v>
      </c>
      <c r="M139" s="109" t="str">
        <f t="shared" si="187"/>
        <v>Decomposition pipe</v>
      </c>
      <c r="N139" s="33">
        <v>150</v>
      </c>
      <c r="O139" s="33">
        <f t="shared" si="169"/>
        <v>15</v>
      </c>
      <c r="P139" s="33">
        <f t="shared" si="170"/>
        <v>45</v>
      </c>
      <c r="Q139" s="33">
        <f t="shared" si="171"/>
        <v>60</v>
      </c>
      <c r="R139" s="33">
        <f t="shared" si="172"/>
        <v>30</v>
      </c>
      <c r="S139" s="33">
        <f t="shared" si="173"/>
        <v>0</v>
      </c>
      <c r="T139" s="110">
        <v>0.1</v>
      </c>
      <c r="U139" s="110">
        <v>0.3</v>
      </c>
      <c r="V139" s="110">
        <v>0.4</v>
      </c>
      <c r="W139" s="110">
        <v>0.2</v>
      </c>
      <c r="X139" s="111">
        <v>0</v>
      </c>
      <c r="Y139" s="109" t="str">
        <f t="shared" si="188"/>
        <v>Decomposition pipe</v>
      </c>
      <c r="Z139" s="33">
        <f t="shared" si="175"/>
        <v>0</v>
      </c>
      <c r="AA139" s="33">
        <f t="shared" si="176"/>
        <v>0</v>
      </c>
      <c r="AB139" s="33">
        <f t="shared" si="177"/>
        <v>0</v>
      </c>
      <c r="AC139" s="33">
        <f t="shared" si="178"/>
        <v>0</v>
      </c>
      <c r="AD139" s="33">
        <f t="shared" si="179"/>
        <v>0</v>
      </c>
      <c r="AE139" s="33">
        <f t="shared" si="180"/>
        <v>0</v>
      </c>
      <c r="AF139" s="110">
        <v>0.1</v>
      </c>
      <c r="AG139" s="110">
        <v>0.3</v>
      </c>
      <c r="AH139" s="110">
        <v>0.4</v>
      </c>
      <c r="AI139" s="110">
        <v>0.2</v>
      </c>
      <c r="AJ139" s="111">
        <v>0</v>
      </c>
      <c r="AK139" s="109" t="str">
        <f t="shared" si="189"/>
        <v>Decomposition pipe</v>
      </c>
      <c r="AL139" s="33">
        <v>150</v>
      </c>
      <c r="AM139" s="33">
        <f t="shared" si="182"/>
        <v>15</v>
      </c>
      <c r="AN139" s="33">
        <f t="shared" si="183"/>
        <v>45</v>
      </c>
      <c r="AO139" s="33">
        <f t="shared" si="184"/>
        <v>60</v>
      </c>
      <c r="AP139" s="33">
        <f t="shared" si="185"/>
        <v>30</v>
      </c>
      <c r="AQ139" s="33">
        <f t="shared" si="186"/>
        <v>0</v>
      </c>
      <c r="AR139" s="110">
        <v>0.1</v>
      </c>
      <c r="AS139" s="110">
        <v>0.3</v>
      </c>
      <c r="AT139" s="110">
        <v>0.4</v>
      </c>
      <c r="AU139" s="110">
        <v>0.2</v>
      </c>
      <c r="AV139" s="111">
        <v>0</v>
      </c>
      <c r="AX139" s="16">
        <v>150</v>
      </c>
      <c r="AY139" s="16">
        <v>150</v>
      </c>
    </row>
    <row r="140" spans="1:51">
      <c r="A140" s="109" t="s">
        <v>524</v>
      </c>
      <c r="B140" s="33"/>
      <c r="C140" s="33">
        <f t="shared" si="163"/>
        <v>0</v>
      </c>
      <c r="D140" s="33">
        <f t="shared" si="164"/>
        <v>0</v>
      </c>
      <c r="E140" s="33">
        <f t="shared" si="165"/>
        <v>0</v>
      </c>
      <c r="F140" s="33">
        <f t="shared" si="166"/>
        <v>0</v>
      </c>
      <c r="G140" s="33">
        <f t="shared" si="167"/>
        <v>0</v>
      </c>
      <c r="H140" s="120">
        <v>0.1</v>
      </c>
      <c r="I140" s="120">
        <v>0.3</v>
      </c>
      <c r="J140" s="120">
        <v>0.4</v>
      </c>
      <c r="K140" s="120">
        <v>0.2</v>
      </c>
      <c r="L140" s="121">
        <v>0</v>
      </c>
      <c r="M140" s="109" t="str">
        <f t="shared" si="187"/>
        <v>Inline</v>
      </c>
      <c r="N140" s="33">
        <v>500</v>
      </c>
      <c r="O140" s="33">
        <f t="shared" si="169"/>
        <v>50</v>
      </c>
      <c r="P140" s="33">
        <f t="shared" si="170"/>
        <v>150</v>
      </c>
      <c r="Q140" s="33">
        <f t="shared" si="171"/>
        <v>200</v>
      </c>
      <c r="R140" s="33">
        <f t="shared" si="172"/>
        <v>100</v>
      </c>
      <c r="S140" s="33">
        <f t="shared" si="173"/>
        <v>0</v>
      </c>
      <c r="T140" s="110">
        <v>0.1</v>
      </c>
      <c r="U140" s="110">
        <v>0.3</v>
      </c>
      <c r="V140" s="110">
        <v>0.4</v>
      </c>
      <c r="W140" s="110">
        <v>0.2</v>
      </c>
      <c r="X140" s="111">
        <v>0</v>
      </c>
      <c r="Y140" s="109" t="str">
        <f t="shared" si="188"/>
        <v>Inline</v>
      </c>
      <c r="Z140" s="33">
        <f t="shared" si="175"/>
        <v>0</v>
      </c>
      <c r="AA140" s="33">
        <f t="shared" si="176"/>
        <v>0</v>
      </c>
      <c r="AB140" s="33">
        <f t="shared" si="177"/>
        <v>0</v>
      </c>
      <c r="AC140" s="33">
        <f t="shared" si="178"/>
        <v>0</v>
      </c>
      <c r="AD140" s="33">
        <f t="shared" si="179"/>
        <v>0</v>
      </c>
      <c r="AE140" s="33">
        <f t="shared" si="180"/>
        <v>0</v>
      </c>
      <c r="AF140" s="110">
        <v>0.1</v>
      </c>
      <c r="AG140" s="110">
        <v>0.3</v>
      </c>
      <c r="AH140" s="110">
        <v>0.4</v>
      </c>
      <c r="AI140" s="110">
        <v>0.2</v>
      </c>
      <c r="AJ140" s="111">
        <v>0</v>
      </c>
      <c r="AK140" s="109" t="str">
        <f t="shared" si="189"/>
        <v>Inline</v>
      </c>
      <c r="AL140" s="33">
        <v>500</v>
      </c>
      <c r="AM140" s="33">
        <f t="shared" si="182"/>
        <v>50</v>
      </c>
      <c r="AN140" s="33">
        <f t="shared" si="183"/>
        <v>150</v>
      </c>
      <c r="AO140" s="33">
        <f t="shared" si="184"/>
        <v>200</v>
      </c>
      <c r="AP140" s="33">
        <f t="shared" si="185"/>
        <v>100</v>
      </c>
      <c r="AQ140" s="33">
        <f t="shared" si="186"/>
        <v>0</v>
      </c>
      <c r="AR140" s="110">
        <v>0.1</v>
      </c>
      <c r="AS140" s="110">
        <v>0.3</v>
      </c>
      <c r="AT140" s="110">
        <v>0.4</v>
      </c>
      <c r="AU140" s="110">
        <v>0.2</v>
      </c>
      <c r="AV140" s="111">
        <v>0</v>
      </c>
      <c r="AX140" s="16">
        <v>500</v>
      </c>
      <c r="AY140" s="16">
        <v>500</v>
      </c>
    </row>
    <row r="141" spans="1:51">
      <c r="A141" s="109" t="s">
        <v>526</v>
      </c>
      <c r="B141" s="33"/>
      <c r="C141" s="33">
        <f t="shared" si="163"/>
        <v>0</v>
      </c>
      <c r="D141" s="33">
        <f t="shared" si="164"/>
        <v>0</v>
      </c>
      <c r="E141" s="33">
        <f t="shared" si="165"/>
        <v>0</v>
      </c>
      <c r="F141" s="33">
        <f t="shared" si="166"/>
        <v>0</v>
      </c>
      <c r="G141" s="33">
        <f t="shared" si="167"/>
        <v>0</v>
      </c>
      <c r="H141" s="120">
        <v>0.1</v>
      </c>
      <c r="I141" s="120">
        <v>0.3</v>
      </c>
      <c r="J141" s="120">
        <v>0.4</v>
      </c>
      <c r="K141" s="120">
        <v>0.2</v>
      </c>
      <c r="L141" s="121">
        <v>0</v>
      </c>
      <c r="M141" s="109" t="str">
        <f t="shared" si="187"/>
        <v>Compact Mixer</v>
      </c>
      <c r="N141" s="33">
        <v>150</v>
      </c>
      <c r="O141" s="33">
        <f t="shared" si="169"/>
        <v>15</v>
      </c>
      <c r="P141" s="33">
        <f t="shared" si="170"/>
        <v>45</v>
      </c>
      <c r="Q141" s="33">
        <f t="shared" si="171"/>
        <v>60</v>
      </c>
      <c r="R141" s="33">
        <f t="shared" si="172"/>
        <v>30</v>
      </c>
      <c r="S141" s="33">
        <f t="shared" si="173"/>
        <v>0</v>
      </c>
      <c r="T141" s="110">
        <v>0.1</v>
      </c>
      <c r="U141" s="110">
        <v>0.3</v>
      </c>
      <c r="V141" s="110">
        <v>0.4</v>
      </c>
      <c r="W141" s="110">
        <v>0.2</v>
      </c>
      <c r="X141" s="111">
        <v>0</v>
      </c>
      <c r="Y141" s="109" t="str">
        <f t="shared" si="188"/>
        <v>Compact Mixer</v>
      </c>
      <c r="Z141" s="33">
        <f t="shared" si="175"/>
        <v>0</v>
      </c>
      <c r="AA141" s="33">
        <f t="shared" si="176"/>
        <v>0</v>
      </c>
      <c r="AB141" s="33">
        <f t="shared" si="177"/>
        <v>0</v>
      </c>
      <c r="AC141" s="33">
        <f t="shared" si="178"/>
        <v>0</v>
      </c>
      <c r="AD141" s="33">
        <f t="shared" si="179"/>
        <v>0</v>
      </c>
      <c r="AE141" s="33">
        <f t="shared" si="180"/>
        <v>0</v>
      </c>
      <c r="AF141" s="110">
        <v>0.1</v>
      </c>
      <c r="AG141" s="110">
        <v>0.3</v>
      </c>
      <c r="AH141" s="110">
        <v>0.4</v>
      </c>
      <c r="AI141" s="110">
        <v>0.2</v>
      </c>
      <c r="AJ141" s="111">
        <v>0</v>
      </c>
      <c r="AK141" s="109" t="str">
        <f t="shared" si="189"/>
        <v>Compact Mixer</v>
      </c>
      <c r="AL141" s="33">
        <v>150</v>
      </c>
      <c r="AM141" s="33">
        <f t="shared" si="182"/>
        <v>15</v>
      </c>
      <c r="AN141" s="33">
        <f t="shared" si="183"/>
        <v>45</v>
      </c>
      <c r="AO141" s="33">
        <f t="shared" si="184"/>
        <v>60</v>
      </c>
      <c r="AP141" s="33">
        <f t="shared" si="185"/>
        <v>30</v>
      </c>
      <c r="AQ141" s="33">
        <f t="shared" si="186"/>
        <v>0</v>
      </c>
      <c r="AR141" s="110">
        <v>0.1</v>
      </c>
      <c r="AS141" s="110">
        <v>0.3</v>
      </c>
      <c r="AT141" s="110">
        <v>0.4</v>
      </c>
      <c r="AU141" s="110">
        <v>0.2</v>
      </c>
      <c r="AV141" s="111">
        <v>0</v>
      </c>
      <c r="AX141" s="16">
        <v>150</v>
      </c>
      <c r="AY141" s="16">
        <v>150</v>
      </c>
    </row>
    <row r="142" spans="1:51">
      <c r="A142" s="109" t="s">
        <v>528</v>
      </c>
      <c r="B142" s="33"/>
      <c r="C142" s="33">
        <f t="shared" si="163"/>
        <v>0</v>
      </c>
      <c r="D142" s="33">
        <f t="shared" si="164"/>
        <v>0</v>
      </c>
      <c r="E142" s="33">
        <f t="shared" si="165"/>
        <v>0</v>
      </c>
      <c r="F142" s="33">
        <f t="shared" si="166"/>
        <v>0</v>
      </c>
      <c r="G142" s="33">
        <f t="shared" si="167"/>
        <v>0</v>
      </c>
      <c r="H142" s="120">
        <v>0.1</v>
      </c>
      <c r="I142" s="120">
        <v>0.3</v>
      </c>
      <c r="J142" s="120">
        <v>0.4</v>
      </c>
      <c r="K142" s="120">
        <v>0.2</v>
      </c>
      <c r="L142" s="121">
        <v>0</v>
      </c>
      <c r="M142" s="109" t="str">
        <f t="shared" si="187"/>
        <v>Switch back</v>
      </c>
      <c r="N142" s="33">
        <v>500</v>
      </c>
      <c r="O142" s="33">
        <f t="shared" si="169"/>
        <v>50</v>
      </c>
      <c r="P142" s="33">
        <f t="shared" si="170"/>
        <v>150</v>
      </c>
      <c r="Q142" s="33">
        <f t="shared" si="171"/>
        <v>200</v>
      </c>
      <c r="R142" s="33">
        <f t="shared" si="172"/>
        <v>100</v>
      </c>
      <c r="S142" s="33">
        <f t="shared" si="173"/>
        <v>0</v>
      </c>
      <c r="T142" s="110">
        <v>0.1</v>
      </c>
      <c r="U142" s="110">
        <v>0.3</v>
      </c>
      <c r="V142" s="110">
        <v>0.4</v>
      </c>
      <c r="W142" s="110">
        <v>0.2</v>
      </c>
      <c r="X142" s="111">
        <v>0</v>
      </c>
      <c r="Y142" s="109" t="str">
        <f t="shared" si="188"/>
        <v>Switch back</v>
      </c>
      <c r="Z142" s="33">
        <f t="shared" si="175"/>
        <v>0</v>
      </c>
      <c r="AA142" s="33">
        <f t="shared" si="176"/>
        <v>0</v>
      </c>
      <c r="AB142" s="33">
        <f t="shared" si="177"/>
        <v>0</v>
      </c>
      <c r="AC142" s="33">
        <f t="shared" si="178"/>
        <v>0</v>
      </c>
      <c r="AD142" s="33">
        <f t="shared" si="179"/>
        <v>0</v>
      </c>
      <c r="AE142" s="33">
        <f t="shared" si="180"/>
        <v>0</v>
      </c>
      <c r="AF142" s="110">
        <v>0.1</v>
      </c>
      <c r="AG142" s="110">
        <v>0.3</v>
      </c>
      <c r="AH142" s="110">
        <v>0.4</v>
      </c>
      <c r="AI142" s="110">
        <v>0.2</v>
      </c>
      <c r="AJ142" s="111">
        <v>0</v>
      </c>
      <c r="AK142" s="109" t="str">
        <f t="shared" si="189"/>
        <v>Switch back</v>
      </c>
      <c r="AL142" s="33">
        <v>500</v>
      </c>
      <c r="AM142" s="33">
        <f t="shared" si="182"/>
        <v>50</v>
      </c>
      <c r="AN142" s="33">
        <f t="shared" si="183"/>
        <v>150</v>
      </c>
      <c r="AO142" s="33">
        <f t="shared" si="184"/>
        <v>200</v>
      </c>
      <c r="AP142" s="33">
        <f t="shared" si="185"/>
        <v>100</v>
      </c>
      <c r="AQ142" s="33">
        <f t="shared" si="186"/>
        <v>0</v>
      </c>
      <c r="AR142" s="110">
        <v>0.1</v>
      </c>
      <c r="AS142" s="110">
        <v>0.3</v>
      </c>
      <c r="AT142" s="110">
        <v>0.4</v>
      </c>
      <c r="AU142" s="110">
        <v>0.2</v>
      </c>
      <c r="AV142" s="111">
        <v>0</v>
      </c>
      <c r="AX142" s="16">
        <v>500</v>
      </c>
      <c r="AY142" s="16">
        <v>500</v>
      </c>
    </row>
    <row r="143" spans="1:51">
      <c r="A143" s="109" t="s">
        <v>531</v>
      </c>
      <c r="B143" s="33"/>
      <c r="C143" s="33">
        <f t="shared" si="163"/>
        <v>0</v>
      </c>
      <c r="D143" s="33">
        <f t="shared" si="164"/>
        <v>0</v>
      </c>
      <c r="E143" s="33">
        <f t="shared" si="165"/>
        <v>0</v>
      </c>
      <c r="F143" s="33">
        <f t="shared" si="166"/>
        <v>0</v>
      </c>
      <c r="G143" s="33">
        <f t="shared" si="167"/>
        <v>0</v>
      </c>
      <c r="H143" s="120">
        <v>0.1</v>
      </c>
      <c r="I143" s="120">
        <v>0.3</v>
      </c>
      <c r="J143" s="120">
        <v>0.4</v>
      </c>
      <c r="K143" s="120">
        <v>0.2</v>
      </c>
      <c r="L143" s="121">
        <v>0</v>
      </c>
      <c r="M143" s="109" t="str">
        <f t="shared" si="187"/>
        <v>U-Mixer</v>
      </c>
      <c r="N143" s="33">
        <v>150</v>
      </c>
      <c r="O143" s="33">
        <f t="shared" si="169"/>
        <v>15</v>
      </c>
      <c r="P143" s="33">
        <f t="shared" si="170"/>
        <v>45</v>
      </c>
      <c r="Q143" s="33">
        <f t="shared" si="171"/>
        <v>60</v>
      </c>
      <c r="R143" s="33">
        <f t="shared" si="172"/>
        <v>30</v>
      </c>
      <c r="S143" s="33">
        <f t="shared" si="173"/>
        <v>0</v>
      </c>
      <c r="T143" s="110">
        <v>0.1</v>
      </c>
      <c r="U143" s="110">
        <v>0.3</v>
      </c>
      <c r="V143" s="110">
        <v>0.4</v>
      </c>
      <c r="W143" s="110">
        <v>0.2</v>
      </c>
      <c r="X143" s="111">
        <v>0</v>
      </c>
      <c r="Y143" s="109" t="str">
        <f t="shared" si="188"/>
        <v>U-Mixer</v>
      </c>
      <c r="Z143" s="33">
        <f t="shared" si="175"/>
        <v>0</v>
      </c>
      <c r="AA143" s="33">
        <f t="shared" si="176"/>
        <v>0</v>
      </c>
      <c r="AB143" s="33">
        <f t="shared" si="177"/>
        <v>0</v>
      </c>
      <c r="AC143" s="33">
        <f t="shared" si="178"/>
        <v>0</v>
      </c>
      <c r="AD143" s="33">
        <f t="shared" si="179"/>
        <v>0</v>
      </c>
      <c r="AE143" s="33">
        <f t="shared" si="180"/>
        <v>0</v>
      </c>
      <c r="AF143" s="110">
        <v>0.1</v>
      </c>
      <c r="AG143" s="110">
        <v>0.3</v>
      </c>
      <c r="AH143" s="110">
        <v>0.4</v>
      </c>
      <c r="AI143" s="110">
        <v>0.2</v>
      </c>
      <c r="AJ143" s="111">
        <v>0</v>
      </c>
      <c r="AK143" s="109" t="str">
        <f t="shared" si="189"/>
        <v>U-Mixer</v>
      </c>
      <c r="AL143" s="33">
        <v>150</v>
      </c>
      <c r="AM143" s="33">
        <f t="shared" si="182"/>
        <v>15</v>
      </c>
      <c r="AN143" s="33">
        <f t="shared" si="183"/>
        <v>45</v>
      </c>
      <c r="AO143" s="33">
        <f t="shared" si="184"/>
        <v>60</v>
      </c>
      <c r="AP143" s="33">
        <f t="shared" si="185"/>
        <v>30</v>
      </c>
      <c r="AQ143" s="33">
        <f t="shared" si="186"/>
        <v>0</v>
      </c>
      <c r="AR143" s="110">
        <v>0.1</v>
      </c>
      <c r="AS143" s="110">
        <v>0.3</v>
      </c>
      <c r="AT143" s="110">
        <v>0.4</v>
      </c>
      <c r="AU143" s="110">
        <v>0.2</v>
      </c>
      <c r="AV143" s="111">
        <v>0</v>
      </c>
      <c r="AX143" s="16">
        <v>150</v>
      </c>
      <c r="AY143" s="16">
        <v>150</v>
      </c>
    </row>
    <row r="144" spans="1:51" ht="13" thickBot="1">
      <c r="A144" s="112" t="s">
        <v>534</v>
      </c>
      <c r="B144" s="113"/>
      <c r="C144" s="113">
        <f t="shared" si="163"/>
        <v>0</v>
      </c>
      <c r="D144" s="113">
        <f t="shared" si="164"/>
        <v>0</v>
      </c>
      <c r="E144" s="113">
        <f t="shared" si="165"/>
        <v>0</v>
      </c>
      <c r="F144" s="113">
        <f t="shared" si="166"/>
        <v>0</v>
      </c>
      <c r="G144" s="113">
        <f t="shared" si="167"/>
        <v>0</v>
      </c>
      <c r="H144" s="122">
        <v>0.1</v>
      </c>
      <c r="I144" s="122">
        <v>0.3</v>
      </c>
      <c r="J144" s="122">
        <v>0.4</v>
      </c>
      <c r="K144" s="122">
        <v>0.2</v>
      </c>
      <c r="L144" s="123">
        <v>0</v>
      </c>
      <c r="M144" s="112" t="str">
        <f t="shared" si="187"/>
        <v>U-shape</v>
      </c>
      <c r="N144" s="113">
        <v>500</v>
      </c>
      <c r="O144" s="113">
        <f t="shared" si="169"/>
        <v>50</v>
      </c>
      <c r="P144" s="113">
        <f t="shared" si="170"/>
        <v>150</v>
      </c>
      <c r="Q144" s="113">
        <f t="shared" si="171"/>
        <v>200</v>
      </c>
      <c r="R144" s="113">
        <f t="shared" si="172"/>
        <v>100</v>
      </c>
      <c r="S144" s="113">
        <f t="shared" si="173"/>
        <v>0</v>
      </c>
      <c r="T144" s="114">
        <v>0.1</v>
      </c>
      <c r="U144" s="114">
        <v>0.3</v>
      </c>
      <c r="V144" s="114">
        <v>0.4</v>
      </c>
      <c r="W144" s="114">
        <v>0.2</v>
      </c>
      <c r="X144" s="115">
        <v>0</v>
      </c>
      <c r="Y144" s="112" t="s">
        <v>534</v>
      </c>
      <c r="Z144" s="113">
        <f t="shared" si="175"/>
        <v>0</v>
      </c>
      <c r="AA144" s="113">
        <f t="shared" si="176"/>
        <v>0</v>
      </c>
      <c r="AB144" s="113">
        <f t="shared" si="177"/>
        <v>0</v>
      </c>
      <c r="AC144" s="113">
        <f t="shared" si="178"/>
        <v>0</v>
      </c>
      <c r="AD144" s="113">
        <f t="shared" si="179"/>
        <v>0</v>
      </c>
      <c r="AE144" s="113">
        <f t="shared" si="180"/>
        <v>0</v>
      </c>
      <c r="AF144" s="114">
        <v>0.1</v>
      </c>
      <c r="AG144" s="114">
        <v>0.3</v>
      </c>
      <c r="AH144" s="114">
        <v>0.4</v>
      </c>
      <c r="AI144" s="114">
        <v>0.2</v>
      </c>
      <c r="AJ144" s="115">
        <v>0</v>
      </c>
      <c r="AK144" s="112" t="s">
        <v>534</v>
      </c>
      <c r="AL144" s="113">
        <v>500</v>
      </c>
      <c r="AM144" s="113">
        <f t="shared" si="182"/>
        <v>50</v>
      </c>
      <c r="AN144" s="113">
        <f t="shared" si="183"/>
        <v>150</v>
      </c>
      <c r="AO144" s="113">
        <f t="shared" si="184"/>
        <v>200</v>
      </c>
      <c r="AP144" s="113">
        <f t="shared" si="185"/>
        <v>100</v>
      </c>
      <c r="AQ144" s="113">
        <f t="shared" si="186"/>
        <v>0</v>
      </c>
      <c r="AR144" s="114">
        <v>0.1</v>
      </c>
      <c r="AS144" s="114">
        <v>0.3</v>
      </c>
      <c r="AT144" s="114">
        <v>0.4</v>
      </c>
      <c r="AU144" s="114">
        <v>0.2</v>
      </c>
      <c r="AV144" s="115">
        <v>0</v>
      </c>
      <c r="AX144" s="16">
        <v>500</v>
      </c>
      <c r="AY144" s="16">
        <v>500</v>
      </c>
    </row>
    <row r="145" spans="1:51" s="56" customFormat="1" ht="37.5">
      <c r="A145" s="107" t="s">
        <v>460</v>
      </c>
      <c r="B145" s="108" t="s">
        <v>149</v>
      </c>
      <c r="C145" s="124" t="s">
        <v>120</v>
      </c>
      <c r="D145" s="124" t="s">
        <v>121</v>
      </c>
      <c r="E145" s="124" t="s">
        <v>122</v>
      </c>
      <c r="F145" s="126" t="s">
        <v>123</v>
      </c>
      <c r="G145" s="126" t="s">
        <v>124</v>
      </c>
      <c r="H145" s="127" t="s">
        <v>120</v>
      </c>
      <c r="I145" s="125" t="s">
        <v>121</v>
      </c>
      <c r="J145" s="125" t="s">
        <v>122</v>
      </c>
      <c r="K145" s="127" t="s">
        <v>123</v>
      </c>
      <c r="L145" s="128" t="s">
        <v>124</v>
      </c>
      <c r="M145" s="107" t="s">
        <v>93</v>
      </c>
      <c r="N145" s="108" t="str">
        <f>B145</f>
        <v>Program Quality Leader</v>
      </c>
      <c r="O145" s="124" t="s">
        <v>120</v>
      </c>
      <c r="P145" s="124" t="s">
        <v>121</v>
      </c>
      <c r="Q145" s="124" t="s">
        <v>122</v>
      </c>
      <c r="R145" s="126" t="s">
        <v>123</v>
      </c>
      <c r="S145" s="126" t="s">
        <v>124</v>
      </c>
      <c r="T145" s="127" t="s">
        <v>120</v>
      </c>
      <c r="U145" s="125" t="s">
        <v>121</v>
      </c>
      <c r="V145" s="125" t="s">
        <v>122</v>
      </c>
      <c r="W145" s="127" t="s">
        <v>123</v>
      </c>
      <c r="X145" s="128" t="s">
        <v>124</v>
      </c>
      <c r="Y145" s="107" t="s">
        <v>483</v>
      </c>
      <c r="Z145" s="108" t="str">
        <f>N145</f>
        <v>Program Quality Leader</v>
      </c>
      <c r="AA145" s="124" t="s">
        <v>120</v>
      </c>
      <c r="AB145" s="124" t="s">
        <v>121</v>
      </c>
      <c r="AC145" s="124" t="s">
        <v>122</v>
      </c>
      <c r="AD145" s="126" t="s">
        <v>123</v>
      </c>
      <c r="AE145" s="126" t="s">
        <v>124</v>
      </c>
      <c r="AF145" s="127" t="s">
        <v>120</v>
      </c>
      <c r="AG145" s="125" t="s">
        <v>121</v>
      </c>
      <c r="AH145" s="125" t="s">
        <v>122</v>
      </c>
      <c r="AI145" s="127" t="s">
        <v>123</v>
      </c>
      <c r="AJ145" s="128" t="s">
        <v>124</v>
      </c>
      <c r="AK145" s="107" t="s">
        <v>482</v>
      </c>
      <c r="AL145" s="108" t="str">
        <f>Z145</f>
        <v>Program Quality Leader</v>
      </c>
      <c r="AM145" s="124" t="s">
        <v>120</v>
      </c>
      <c r="AN145" s="124" t="s">
        <v>121</v>
      </c>
      <c r="AO145" s="124" t="s">
        <v>122</v>
      </c>
      <c r="AP145" s="126" t="s">
        <v>123</v>
      </c>
      <c r="AQ145" s="126" t="s">
        <v>124</v>
      </c>
      <c r="AR145" s="127" t="s">
        <v>120</v>
      </c>
      <c r="AS145" s="125" t="s">
        <v>121</v>
      </c>
      <c r="AT145" s="125" t="s">
        <v>122</v>
      </c>
      <c r="AU145" s="127" t="s">
        <v>123</v>
      </c>
      <c r="AV145" s="128" t="s">
        <v>124</v>
      </c>
      <c r="AX145" s="56" t="s">
        <v>149</v>
      </c>
      <c r="AY145" s="56" t="s">
        <v>149</v>
      </c>
    </row>
    <row r="146" spans="1:51">
      <c r="A146" s="109" t="s">
        <v>490</v>
      </c>
      <c r="B146" s="33"/>
      <c r="C146" s="33">
        <f t="shared" ref="C146:C162" si="190">ROUND($B146*H146,0)</f>
        <v>0</v>
      </c>
      <c r="D146" s="33">
        <f t="shared" ref="D146:D162" si="191">ROUND($B146*I146,0)</f>
        <v>0</v>
      </c>
      <c r="E146" s="33">
        <f t="shared" ref="E146:E162" si="192">ROUND($B146*J146,0)</f>
        <v>0</v>
      </c>
      <c r="F146" s="33">
        <f t="shared" ref="F146:F162" si="193">ROUND($B146*K146,0)</f>
        <v>0</v>
      </c>
      <c r="G146" s="33">
        <f t="shared" ref="G146:G162" si="194">ROUND($B146*L146,0)</f>
        <v>0</v>
      </c>
      <c r="H146" s="120">
        <v>0.1</v>
      </c>
      <c r="I146" s="120">
        <v>0.16</v>
      </c>
      <c r="J146" s="120">
        <v>0.2</v>
      </c>
      <c r="K146" s="120">
        <v>0.38</v>
      </c>
      <c r="L146" s="121">
        <v>0.16</v>
      </c>
      <c r="M146" s="109" t="str">
        <f t="shared" ref="M146:M162" si="195">$A146</f>
        <v>Cold End Complex</v>
      </c>
      <c r="N146" s="33">
        <v>462</v>
      </c>
      <c r="O146" s="33">
        <f t="shared" ref="O146:O162" si="196">ROUND($N146*T146,0)</f>
        <v>69</v>
      </c>
      <c r="P146" s="33">
        <f t="shared" ref="P146:P162" si="197">ROUND($N146*U146,0)</f>
        <v>102</v>
      </c>
      <c r="Q146" s="33">
        <f t="shared" ref="Q146:Q162" si="198">ROUND($N146*V146,0)</f>
        <v>134</v>
      </c>
      <c r="R146" s="33">
        <f t="shared" ref="R146:R162" si="199">ROUND($N146*W146,0)</f>
        <v>148</v>
      </c>
      <c r="S146" s="33">
        <f t="shared" ref="S146:S162" si="200">ROUND($N146*X146,0)</f>
        <v>9</v>
      </c>
      <c r="T146" s="110">
        <v>0.14935064935064929</v>
      </c>
      <c r="U146" s="110">
        <v>0.2207792207792208</v>
      </c>
      <c r="V146" s="110">
        <v>0.29004329004328999</v>
      </c>
      <c r="W146" s="110">
        <v>0.32034632034632032</v>
      </c>
      <c r="X146" s="111">
        <v>1.948051948051948E-2</v>
      </c>
      <c r="Y146" s="109" t="str">
        <f t="shared" ref="Y146:Y161" si="201">$A146</f>
        <v>Cold End Complex</v>
      </c>
      <c r="Z146" s="33">
        <f t="shared" ref="Z146:Z162" si="202">B146</f>
        <v>0</v>
      </c>
      <c r="AA146" s="33">
        <f t="shared" ref="AA146:AA162" si="203">ROUND($Z146*AF146,0)</f>
        <v>0</v>
      </c>
      <c r="AB146" s="33">
        <f t="shared" ref="AB146:AB162" si="204">ROUND($Z146*AG146,0)</f>
        <v>0</v>
      </c>
      <c r="AC146" s="33">
        <f t="shared" ref="AC146:AC162" si="205">ROUND($Z146*AH146,0)</f>
        <v>0</v>
      </c>
      <c r="AD146" s="33">
        <f t="shared" ref="AD146:AD162" si="206">ROUND($Z146*AI146,0)</f>
        <v>0</v>
      </c>
      <c r="AE146" s="33">
        <f t="shared" ref="AE146:AE162" si="207">ROUND($Z146*AJ146,0)</f>
        <v>0</v>
      </c>
      <c r="AF146" s="120">
        <v>0.1</v>
      </c>
      <c r="AG146" s="120">
        <v>0.16</v>
      </c>
      <c r="AH146" s="120">
        <v>0.2</v>
      </c>
      <c r="AI146" s="120">
        <v>0.38</v>
      </c>
      <c r="AJ146" s="121">
        <v>0.16</v>
      </c>
      <c r="AK146" s="109" t="str">
        <f t="shared" ref="AK146:AK161" si="208">$A146</f>
        <v>Cold End Complex</v>
      </c>
      <c r="AL146" s="118"/>
      <c r="AM146" s="33">
        <f t="shared" ref="AM146:AM162" si="209">ROUND($AL146*AR146,0)</f>
        <v>0</v>
      </c>
      <c r="AN146" s="33">
        <f t="shared" ref="AN146:AN162" si="210">ROUND($AL146*AS146,0)</f>
        <v>0</v>
      </c>
      <c r="AO146" s="33">
        <f t="shared" ref="AO146:AO162" si="211">ROUND($AL146*AT146,0)</f>
        <v>0</v>
      </c>
      <c r="AP146" s="33">
        <f t="shared" ref="AP146:AP162" si="212">ROUND($AL146*AU146,0)</f>
        <v>0</v>
      </c>
      <c r="AQ146" s="33">
        <f t="shared" ref="AQ146:AQ162" si="213">ROUND($AL146*AV146,0)</f>
        <v>0</v>
      </c>
      <c r="AR146" s="118"/>
      <c r="AS146" s="118"/>
      <c r="AT146" s="118"/>
      <c r="AU146" s="118"/>
      <c r="AV146" s="119"/>
      <c r="AX146" s="16">
        <v>320</v>
      </c>
      <c r="AY146" s="16">
        <v>320</v>
      </c>
    </row>
    <row r="147" spans="1:51">
      <c r="A147" s="109" t="s">
        <v>494</v>
      </c>
      <c r="B147" s="33"/>
      <c r="C147" s="33">
        <f t="shared" si="190"/>
        <v>0</v>
      </c>
      <c r="D147" s="33">
        <f t="shared" si="191"/>
        <v>0</v>
      </c>
      <c r="E147" s="33">
        <f t="shared" si="192"/>
        <v>0</v>
      </c>
      <c r="F147" s="33">
        <f t="shared" si="193"/>
        <v>0</v>
      </c>
      <c r="G147" s="33">
        <f t="shared" si="194"/>
        <v>0</v>
      </c>
      <c r="H147" s="120">
        <v>0.1</v>
      </c>
      <c r="I147" s="120">
        <v>0.16</v>
      </c>
      <c r="J147" s="120">
        <v>0.2</v>
      </c>
      <c r="K147" s="120">
        <v>0.38</v>
      </c>
      <c r="L147" s="121">
        <v>0.16</v>
      </c>
      <c r="M147" s="109" t="str">
        <f t="shared" si="195"/>
        <v>Cold End Simple</v>
      </c>
      <c r="N147" s="33">
        <v>462</v>
      </c>
      <c r="O147" s="33">
        <f t="shared" si="196"/>
        <v>41</v>
      </c>
      <c r="P147" s="33">
        <f t="shared" si="197"/>
        <v>60</v>
      </c>
      <c r="Q147" s="33">
        <f t="shared" si="198"/>
        <v>79</v>
      </c>
      <c r="R147" s="33">
        <f t="shared" si="199"/>
        <v>87</v>
      </c>
      <c r="S147" s="33">
        <f t="shared" si="200"/>
        <v>5</v>
      </c>
      <c r="T147" s="110">
        <v>8.7786259541984726E-2</v>
      </c>
      <c r="U147" s="110">
        <v>0.12977099236641221</v>
      </c>
      <c r="V147" s="110">
        <v>0.17048346055979641</v>
      </c>
      <c r="W147" s="110">
        <v>0.188295165394402</v>
      </c>
      <c r="X147" s="111">
        <v>1.1450381679389309E-2</v>
      </c>
      <c r="Y147" s="109" t="str">
        <f t="shared" si="201"/>
        <v>Cold End Simple</v>
      </c>
      <c r="Z147" s="33">
        <f t="shared" si="202"/>
        <v>0</v>
      </c>
      <c r="AA147" s="33">
        <f t="shared" si="203"/>
        <v>0</v>
      </c>
      <c r="AB147" s="33">
        <f t="shared" si="204"/>
        <v>0</v>
      </c>
      <c r="AC147" s="33">
        <f t="shared" si="205"/>
        <v>0</v>
      </c>
      <c r="AD147" s="33">
        <f t="shared" si="206"/>
        <v>0</v>
      </c>
      <c r="AE147" s="33">
        <f t="shared" si="207"/>
        <v>0</v>
      </c>
      <c r="AF147" s="120">
        <v>0.1</v>
      </c>
      <c r="AG147" s="120">
        <v>0.16</v>
      </c>
      <c r="AH147" s="120">
        <v>0.2</v>
      </c>
      <c r="AI147" s="120">
        <v>0.38</v>
      </c>
      <c r="AJ147" s="121">
        <v>0.16</v>
      </c>
      <c r="AK147" s="109" t="str">
        <f t="shared" si="208"/>
        <v>Cold End Simple</v>
      </c>
      <c r="AL147" s="118"/>
      <c r="AM147" s="33">
        <f t="shared" si="209"/>
        <v>0</v>
      </c>
      <c r="AN147" s="33">
        <f t="shared" si="210"/>
        <v>0</v>
      </c>
      <c r="AO147" s="33">
        <f t="shared" si="211"/>
        <v>0</v>
      </c>
      <c r="AP147" s="33">
        <f t="shared" si="212"/>
        <v>0</v>
      </c>
      <c r="AQ147" s="33">
        <f t="shared" si="213"/>
        <v>0</v>
      </c>
      <c r="AR147" s="118"/>
      <c r="AS147" s="118"/>
      <c r="AT147" s="118"/>
      <c r="AU147" s="118"/>
      <c r="AV147" s="119"/>
      <c r="AX147" s="16">
        <v>280</v>
      </c>
      <c r="AY147" s="16">
        <v>280</v>
      </c>
    </row>
    <row r="148" spans="1:51">
      <c r="A148" s="109" t="s">
        <v>498</v>
      </c>
      <c r="B148" s="33"/>
      <c r="C148" s="33">
        <f t="shared" si="190"/>
        <v>0</v>
      </c>
      <c r="D148" s="33">
        <f t="shared" si="191"/>
        <v>0</v>
      </c>
      <c r="E148" s="33">
        <f t="shared" si="192"/>
        <v>0</v>
      </c>
      <c r="F148" s="33">
        <f t="shared" si="193"/>
        <v>0</v>
      </c>
      <c r="G148" s="33">
        <f t="shared" si="194"/>
        <v>0</v>
      </c>
      <c r="H148" s="120">
        <v>0.1</v>
      </c>
      <c r="I148" s="120">
        <v>0.16</v>
      </c>
      <c r="J148" s="120">
        <v>0.2</v>
      </c>
      <c r="K148" s="120">
        <v>0.38</v>
      </c>
      <c r="L148" s="121">
        <v>0.16</v>
      </c>
      <c r="M148" s="109" t="str">
        <f t="shared" si="195"/>
        <v>Diesel (DOC+DPF)</v>
      </c>
      <c r="N148" s="33">
        <v>462</v>
      </c>
      <c r="O148" s="33">
        <f t="shared" si="196"/>
        <v>111</v>
      </c>
      <c r="P148" s="33">
        <f t="shared" si="197"/>
        <v>106</v>
      </c>
      <c r="Q148" s="33">
        <f t="shared" si="198"/>
        <v>106</v>
      </c>
      <c r="R148" s="33">
        <f t="shared" si="199"/>
        <v>125</v>
      </c>
      <c r="S148" s="33">
        <f t="shared" si="200"/>
        <v>14</v>
      </c>
      <c r="T148" s="110">
        <v>0.24025974025974031</v>
      </c>
      <c r="U148" s="110">
        <v>0.22943722943722941</v>
      </c>
      <c r="V148" s="110">
        <v>0.22943722943722941</v>
      </c>
      <c r="W148" s="110">
        <v>0.27056277056277062</v>
      </c>
      <c r="X148" s="111">
        <v>3.03030303030303E-2</v>
      </c>
      <c r="Y148" s="109" t="str">
        <f t="shared" si="201"/>
        <v>Diesel (DOC+DPF)</v>
      </c>
      <c r="Z148" s="33">
        <f t="shared" si="202"/>
        <v>0</v>
      </c>
      <c r="AA148" s="33">
        <f t="shared" si="203"/>
        <v>0</v>
      </c>
      <c r="AB148" s="33">
        <f t="shared" si="204"/>
        <v>0</v>
      </c>
      <c r="AC148" s="33">
        <f t="shared" si="205"/>
        <v>0</v>
      </c>
      <c r="AD148" s="33">
        <f t="shared" si="206"/>
        <v>0</v>
      </c>
      <c r="AE148" s="33">
        <f t="shared" si="207"/>
        <v>0</v>
      </c>
      <c r="AF148" s="120">
        <v>0.1</v>
      </c>
      <c r="AG148" s="120">
        <v>0.16</v>
      </c>
      <c r="AH148" s="120">
        <v>0.2</v>
      </c>
      <c r="AI148" s="120">
        <v>0.38</v>
      </c>
      <c r="AJ148" s="121">
        <v>0.16</v>
      </c>
      <c r="AK148" s="109" t="str">
        <f t="shared" si="208"/>
        <v>Diesel (DOC+DPF)</v>
      </c>
      <c r="AL148" s="118"/>
      <c r="AM148" s="33">
        <f t="shared" si="209"/>
        <v>0</v>
      </c>
      <c r="AN148" s="33">
        <f t="shared" si="210"/>
        <v>0</v>
      </c>
      <c r="AO148" s="33">
        <f t="shared" si="211"/>
        <v>0</v>
      </c>
      <c r="AP148" s="33">
        <f t="shared" si="212"/>
        <v>0</v>
      </c>
      <c r="AQ148" s="33">
        <f t="shared" si="213"/>
        <v>0</v>
      </c>
      <c r="AR148" s="118"/>
      <c r="AS148" s="118"/>
      <c r="AT148" s="118"/>
      <c r="AU148" s="118"/>
      <c r="AV148" s="119"/>
      <c r="AX148" s="16">
        <v>540</v>
      </c>
      <c r="AY148" s="16">
        <v>540</v>
      </c>
    </row>
    <row r="149" spans="1:51" ht="37.5">
      <c r="A149" s="109" t="s">
        <v>500</v>
      </c>
      <c r="B149" s="33"/>
      <c r="C149" s="33">
        <f t="shared" si="190"/>
        <v>0</v>
      </c>
      <c r="D149" s="33">
        <f t="shared" si="191"/>
        <v>0</v>
      </c>
      <c r="E149" s="33">
        <f t="shared" si="192"/>
        <v>0</v>
      </c>
      <c r="F149" s="33">
        <f t="shared" si="193"/>
        <v>0</v>
      </c>
      <c r="G149" s="33">
        <f t="shared" si="194"/>
        <v>0</v>
      </c>
      <c r="H149" s="120">
        <v>0.1</v>
      </c>
      <c r="I149" s="120">
        <v>0.16</v>
      </c>
      <c r="J149" s="120">
        <v>0.2</v>
      </c>
      <c r="K149" s="120">
        <v>0.38</v>
      </c>
      <c r="L149" s="121">
        <v>0.16</v>
      </c>
      <c r="M149" s="109" t="str">
        <f t="shared" si="195"/>
        <v>Diesel (DOC+DPF+SCR) Underfloor (with underfloor mixer &amp; underfloor SCR)</v>
      </c>
      <c r="N149" s="33">
        <v>870</v>
      </c>
      <c r="O149" s="33">
        <f t="shared" si="196"/>
        <v>207</v>
      </c>
      <c r="P149" s="33">
        <f t="shared" si="197"/>
        <v>200</v>
      </c>
      <c r="Q149" s="33">
        <f t="shared" si="198"/>
        <v>200</v>
      </c>
      <c r="R149" s="33">
        <f t="shared" si="199"/>
        <v>235</v>
      </c>
      <c r="S149" s="33">
        <f t="shared" si="200"/>
        <v>28</v>
      </c>
      <c r="T149" s="110">
        <v>0.2379310344827586</v>
      </c>
      <c r="U149" s="110">
        <v>0.22988505747126439</v>
      </c>
      <c r="V149" s="110">
        <v>0.22988505747126439</v>
      </c>
      <c r="W149" s="110">
        <v>0.27011494252873558</v>
      </c>
      <c r="X149" s="111">
        <v>3.2183908045977011E-2</v>
      </c>
      <c r="Y149" s="109" t="str">
        <f t="shared" si="201"/>
        <v>Diesel (DOC+DPF+SCR) Underfloor (with underfloor mixer &amp; underfloor SCR)</v>
      </c>
      <c r="Z149" s="33">
        <f t="shared" si="202"/>
        <v>0</v>
      </c>
      <c r="AA149" s="33">
        <f t="shared" si="203"/>
        <v>0</v>
      </c>
      <c r="AB149" s="33">
        <f t="shared" si="204"/>
        <v>0</v>
      </c>
      <c r="AC149" s="33">
        <f t="shared" si="205"/>
        <v>0</v>
      </c>
      <c r="AD149" s="33">
        <f t="shared" si="206"/>
        <v>0</v>
      </c>
      <c r="AE149" s="33">
        <f t="shared" si="207"/>
        <v>0</v>
      </c>
      <c r="AF149" s="120">
        <v>0.1</v>
      </c>
      <c r="AG149" s="120">
        <v>0.16</v>
      </c>
      <c r="AH149" s="120">
        <v>0.2</v>
      </c>
      <c r="AI149" s="120">
        <v>0.38</v>
      </c>
      <c r="AJ149" s="121">
        <v>0.16</v>
      </c>
      <c r="AK149" s="109" t="str">
        <f t="shared" si="208"/>
        <v>Diesel (DOC+DPF+SCR) Underfloor (with underfloor mixer &amp; underfloor SCR)</v>
      </c>
      <c r="AL149" s="118"/>
      <c r="AM149" s="33">
        <f t="shared" si="209"/>
        <v>0</v>
      </c>
      <c r="AN149" s="33">
        <f t="shared" si="210"/>
        <v>0</v>
      </c>
      <c r="AO149" s="33">
        <f t="shared" si="211"/>
        <v>0</v>
      </c>
      <c r="AP149" s="33">
        <f t="shared" si="212"/>
        <v>0</v>
      </c>
      <c r="AQ149" s="33">
        <f t="shared" si="213"/>
        <v>0</v>
      </c>
      <c r="AR149" s="118"/>
      <c r="AS149" s="118"/>
      <c r="AT149" s="118"/>
      <c r="AU149" s="118"/>
      <c r="AV149" s="119"/>
      <c r="AX149" s="16">
        <v>560</v>
      </c>
      <c r="AY149" s="16">
        <v>560</v>
      </c>
    </row>
    <row r="150" spans="1:51" ht="37.5">
      <c r="A150" s="109" t="s">
        <v>505</v>
      </c>
      <c r="B150" s="33"/>
      <c r="C150" s="33">
        <f t="shared" si="190"/>
        <v>0</v>
      </c>
      <c r="D150" s="33">
        <f t="shared" si="191"/>
        <v>0</v>
      </c>
      <c r="E150" s="33">
        <f t="shared" si="192"/>
        <v>0</v>
      </c>
      <c r="F150" s="33">
        <f t="shared" si="193"/>
        <v>0</v>
      </c>
      <c r="G150" s="33">
        <f t="shared" si="194"/>
        <v>0</v>
      </c>
      <c r="H150" s="120">
        <v>0.1</v>
      </c>
      <c r="I150" s="120">
        <v>0.16</v>
      </c>
      <c r="J150" s="120">
        <v>0.2</v>
      </c>
      <c r="K150" s="120">
        <v>0.38</v>
      </c>
      <c r="L150" s="121">
        <v>0.16</v>
      </c>
      <c r="M150" s="109" t="str">
        <f t="shared" si="195"/>
        <v>Diesel (DOC+SDPF) Compact (Compact mixer in CCC ex: U shape, Chistera...)</v>
      </c>
      <c r="N150" s="33">
        <v>870</v>
      </c>
      <c r="O150" s="33">
        <f t="shared" si="196"/>
        <v>207</v>
      </c>
      <c r="P150" s="33">
        <f t="shared" si="197"/>
        <v>200</v>
      </c>
      <c r="Q150" s="33">
        <f t="shared" si="198"/>
        <v>200</v>
      </c>
      <c r="R150" s="33">
        <f t="shared" si="199"/>
        <v>235</v>
      </c>
      <c r="S150" s="33">
        <f t="shared" si="200"/>
        <v>28</v>
      </c>
      <c r="T150" s="110">
        <v>0.2379310344827586</v>
      </c>
      <c r="U150" s="110">
        <v>0.22988505747126439</v>
      </c>
      <c r="V150" s="110">
        <v>0.22988505747126439</v>
      </c>
      <c r="W150" s="110">
        <v>0.27011494252873558</v>
      </c>
      <c r="X150" s="111">
        <v>3.2183908045977011E-2</v>
      </c>
      <c r="Y150" s="109" t="str">
        <f t="shared" si="201"/>
        <v>Diesel (DOC+SDPF) Compact (Compact mixer in CCC ex: U shape, Chistera...)</v>
      </c>
      <c r="Z150" s="33">
        <f t="shared" si="202"/>
        <v>0</v>
      </c>
      <c r="AA150" s="33">
        <f t="shared" si="203"/>
        <v>0</v>
      </c>
      <c r="AB150" s="33">
        <f t="shared" si="204"/>
        <v>0</v>
      </c>
      <c r="AC150" s="33">
        <f t="shared" si="205"/>
        <v>0</v>
      </c>
      <c r="AD150" s="33">
        <f t="shared" si="206"/>
        <v>0</v>
      </c>
      <c r="AE150" s="33">
        <f t="shared" si="207"/>
        <v>0</v>
      </c>
      <c r="AF150" s="120">
        <v>0.1</v>
      </c>
      <c r="AG150" s="120">
        <v>0.16</v>
      </c>
      <c r="AH150" s="120">
        <v>0.2</v>
      </c>
      <c r="AI150" s="120">
        <v>0.38</v>
      </c>
      <c r="AJ150" s="121">
        <v>0.16</v>
      </c>
      <c r="AK150" s="109" t="str">
        <f t="shared" si="208"/>
        <v>Diesel (DOC+SDPF) Compact (Compact mixer in CCC ex: U shape, Chistera...)</v>
      </c>
      <c r="AL150" s="118"/>
      <c r="AM150" s="33">
        <f t="shared" si="209"/>
        <v>0</v>
      </c>
      <c r="AN150" s="33">
        <f t="shared" si="210"/>
        <v>0</v>
      </c>
      <c r="AO150" s="33">
        <f t="shared" si="211"/>
        <v>0</v>
      </c>
      <c r="AP150" s="33">
        <f t="shared" si="212"/>
        <v>0</v>
      </c>
      <c r="AQ150" s="33">
        <f t="shared" si="213"/>
        <v>0</v>
      </c>
      <c r="AR150" s="118"/>
      <c r="AS150" s="118"/>
      <c r="AT150" s="118"/>
      <c r="AU150" s="118"/>
      <c r="AV150" s="119"/>
      <c r="AX150" s="16">
        <v>580</v>
      </c>
      <c r="AY150" s="16">
        <v>580</v>
      </c>
    </row>
    <row r="151" spans="1:51">
      <c r="A151" s="109" t="s">
        <v>509</v>
      </c>
      <c r="B151" s="33"/>
      <c r="C151" s="33">
        <f t="shared" si="190"/>
        <v>0</v>
      </c>
      <c r="D151" s="33">
        <f t="shared" si="191"/>
        <v>0</v>
      </c>
      <c r="E151" s="33">
        <f t="shared" si="192"/>
        <v>0</v>
      </c>
      <c r="F151" s="33">
        <f t="shared" si="193"/>
        <v>0</v>
      </c>
      <c r="G151" s="33">
        <f t="shared" si="194"/>
        <v>0</v>
      </c>
      <c r="H151" s="120">
        <v>0.1</v>
      </c>
      <c r="I151" s="120">
        <v>0.16</v>
      </c>
      <c r="J151" s="120">
        <v>0.2</v>
      </c>
      <c r="K151" s="120">
        <v>0.38</v>
      </c>
      <c r="L151" s="121">
        <v>0.16</v>
      </c>
      <c r="M151" s="109" t="str">
        <f t="shared" si="195"/>
        <v>Manifold</v>
      </c>
      <c r="N151" s="33">
        <v>300</v>
      </c>
      <c r="O151" s="33">
        <f t="shared" si="196"/>
        <v>30</v>
      </c>
      <c r="P151" s="33">
        <f t="shared" si="197"/>
        <v>48</v>
      </c>
      <c r="Q151" s="33">
        <f t="shared" si="198"/>
        <v>60</v>
      </c>
      <c r="R151" s="33">
        <f t="shared" si="199"/>
        <v>114</v>
      </c>
      <c r="S151" s="33">
        <f t="shared" si="200"/>
        <v>48</v>
      </c>
      <c r="T151" s="110">
        <v>0.1</v>
      </c>
      <c r="U151" s="110">
        <v>0.16</v>
      </c>
      <c r="V151" s="110">
        <v>0.2</v>
      </c>
      <c r="W151" s="110">
        <v>0.38</v>
      </c>
      <c r="X151" s="111">
        <v>0.16</v>
      </c>
      <c r="Y151" s="109" t="str">
        <f t="shared" si="201"/>
        <v>Manifold</v>
      </c>
      <c r="Z151" s="33">
        <f t="shared" si="202"/>
        <v>0</v>
      </c>
      <c r="AA151" s="33">
        <f t="shared" si="203"/>
        <v>0</v>
      </c>
      <c r="AB151" s="33">
        <f t="shared" si="204"/>
        <v>0</v>
      </c>
      <c r="AC151" s="33">
        <f t="shared" si="205"/>
        <v>0</v>
      </c>
      <c r="AD151" s="33">
        <f t="shared" si="206"/>
        <v>0</v>
      </c>
      <c r="AE151" s="33">
        <f t="shared" si="207"/>
        <v>0</v>
      </c>
      <c r="AF151" s="120">
        <v>0.1</v>
      </c>
      <c r="AG151" s="120">
        <v>0.16</v>
      </c>
      <c r="AH151" s="120">
        <v>0.2</v>
      </c>
      <c r="AI151" s="120">
        <v>0.38</v>
      </c>
      <c r="AJ151" s="121">
        <v>0.16</v>
      </c>
      <c r="AK151" s="109" t="str">
        <f t="shared" si="208"/>
        <v>Manifold</v>
      </c>
      <c r="AL151" s="118"/>
      <c r="AM151" s="33">
        <f t="shared" si="209"/>
        <v>0</v>
      </c>
      <c r="AN151" s="33">
        <f t="shared" si="210"/>
        <v>0</v>
      </c>
      <c r="AO151" s="33">
        <f t="shared" si="211"/>
        <v>0</v>
      </c>
      <c r="AP151" s="33">
        <f t="shared" si="212"/>
        <v>0</v>
      </c>
      <c r="AQ151" s="33">
        <f t="shared" si="213"/>
        <v>0</v>
      </c>
      <c r="AR151" s="118"/>
      <c r="AS151" s="118"/>
      <c r="AT151" s="118"/>
      <c r="AU151" s="118"/>
      <c r="AV151" s="119"/>
      <c r="AX151" s="16">
        <v>300</v>
      </c>
      <c r="AY151" s="16">
        <v>300</v>
      </c>
    </row>
    <row r="152" spans="1:51">
      <c r="A152" s="109" t="s">
        <v>512</v>
      </c>
      <c r="B152" s="33"/>
      <c r="C152" s="33">
        <f t="shared" si="190"/>
        <v>0</v>
      </c>
      <c r="D152" s="33">
        <f t="shared" si="191"/>
        <v>0</v>
      </c>
      <c r="E152" s="33">
        <f t="shared" si="192"/>
        <v>0</v>
      </c>
      <c r="F152" s="33">
        <f t="shared" si="193"/>
        <v>0</v>
      </c>
      <c r="G152" s="33">
        <f t="shared" si="194"/>
        <v>0</v>
      </c>
      <c r="H152" s="120">
        <v>0.1</v>
      </c>
      <c r="I152" s="120">
        <v>0.16</v>
      </c>
      <c r="J152" s="120">
        <v>0.2</v>
      </c>
      <c r="K152" s="120">
        <v>0.38</v>
      </c>
      <c r="L152" s="121">
        <v>0.16</v>
      </c>
      <c r="M152" s="109" t="str">
        <f t="shared" si="195"/>
        <v xml:space="preserve">Maniverter </v>
      </c>
      <c r="N152" s="33">
        <v>462</v>
      </c>
      <c r="O152" s="33">
        <f t="shared" si="196"/>
        <v>111</v>
      </c>
      <c r="P152" s="33">
        <f t="shared" si="197"/>
        <v>106</v>
      </c>
      <c r="Q152" s="33">
        <f t="shared" si="198"/>
        <v>106</v>
      </c>
      <c r="R152" s="33">
        <f t="shared" si="199"/>
        <v>125</v>
      </c>
      <c r="S152" s="33">
        <f t="shared" si="200"/>
        <v>14</v>
      </c>
      <c r="T152" s="110">
        <v>0.24025974025974031</v>
      </c>
      <c r="U152" s="110">
        <v>0.22943722943722941</v>
      </c>
      <c r="V152" s="110">
        <v>0.22943722943722941</v>
      </c>
      <c r="W152" s="110">
        <v>0.27056277056277062</v>
      </c>
      <c r="X152" s="111">
        <v>3.03030303030303E-2</v>
      </c>
      <c r="Y152" s="109" t="str">
        <f t="shared" si="201"/>
        <v xml:space="preserve">Maniverter </v>
      </c>
      <c r="Z152" s="33">
        <f t="shared" si="202"/>
        <v>0</v>
      </c>
      <c r="AA152" s="33">
        <f t="shared" si="203"/>
        <v>0</v>
      </c>
      <c r="AB152" s="33">
        <f t="shared" si="204"/>
        <v>0</v>
      </c>
      <c r="AC152" s="33">
        <f t="shared" si="205"/>
        <v>0</v>
      </c>
      <c r="AD152" s="33">
        <f t="shared" si="206"/>
        <v>0</v>
      </c>
      <c r="AE152" s="33">
        <f t="shared" si="207"/>
        <v>0</v>
      </c>
      <c r="AF152" s="120">
        <v>0.1</v>
      </c>
      <c r="AG152" s="120">
        <v>0.16</v>
      </c>
      <c r="AH152" s="120">
        <v>0.2</v>
      </c>
      <c r="AI152" s="120">
        <v>0.38</v>
      </c>
      <c r="AJ152" s="121">
        <v>0.16</v>
      </c>
      <c r="AK152" s="109" t="str">
        <f t="shared" si="208"/>
        <v xml:space="preserve">Maniverter </v>
      </c>
      <c r="AL152" s="118"/>
      <c r="AM152" s="33">
        <f t="shared" si="209"/>
        <v>0</v>
      </c>
      <c r="AN152" s="33">
        <f t="shared" si="210"/>
        <v>0</v>
      </c>
      <c r="AO152" s="33">
        <f t="shared" si="211"/>
        <v>0</v>
      </c>
      <c r="AP152" s="33">
        <f t="shared" si="212"/>
        <v>0</v>
      </c>
      <c r="AQ152" s="33">
        <f t="shared" si="213"/>
        <v>0</v>
      </c>
      <c r="AR152" s="118"/>
      <c r="AS152" s="118"/>
      <c r="AT152" s="118"/>
      <c r="AU152" s="118"/>
      <c r="AV152" s="119"/>
      <c r="AX152" s="16">
        <v>310</v>
      </c>
      <c r="AY152" s="16">
        <v>310</v>
      </c>
    </row>
    <row r="153" spans="1:51">
      <c r="A153" s="109" t="s">
        <v>514</v>
      </c>
      <c r="B153" s="33"/>
      <c r="C153" s="33">
        <f t="shared" si="190"/>
        <v>0</v>
      </c>
      <c r="D153" s="33">
        <f t="shared" si="191"/>
        <v>0</v>
      </c>
      <c r="E153" s="33">
        <f t="shared" si="192"/>
        <v>0</v>
      </c>
      <c r="F153" s="33">
        <f t="shared" si="193"/>
        <v>0</v>
      </c>
      <c r="G153" s="33">
        <f t="shared" si="194"/>
        <v>0</v>
      </c>
      <c r="H153" s="120">
        <v>0.1</v>
      </c>
      <c r="I153" s="120">
        <v>0.16</v>
      </c>
      <c r="J153" s="120">
        <v>0.2</v>
      </c>
      <c r="K153" s="120">
        <v>0.38</v>
      </c>
      <c r="L153" s="121">
        <v>0.16</v>
      </c>
      <c r="M153" s="109" t="str">
        <f t="shared" si="195"/>
        <v>Turbo HE</v>
      </c>
      <c r="N153" s="33">
        <v>462</v>
      </c>
      <c r="O153" s="33">
        <f t="shared" si="196"/>
        <v>111</v>
      </c>
      <c r="P153" s="33">
        <f t="shared" si="197"/>
        <v>106</v>
      </c>
      <c r="Q153" s="33">
        <f t="shared" si="198"/>
        <v>106</v>
      </c>
      <c r="R153" s="33">
        <f t="shared" si="199"/>
        <v>125</v>
      </c>
      <c r="S153" s="33">
        <f t="shared" si="200"/>
        <v>14</v>
      </c>
      <c r="T153" s="110">
        <v>0.24025974025974031</v>
      </c>
      <c r="U153" s="110">
        <v>0.22943722943722941</v>
      </c>
      <c r="V153" s="110">
        <v>0.22943722943722941</v>
      </c>
      <c r="W153" s="110">
        <v>0.27056277056277062</v>
      </c>
      <c r="X153" s="111">
        <v>3.03030303030303E-2</v>
      </c>
      <c r="Y153" s="109" t="str">
        <f t="shared" si="201"/>
        <v>Turbo HE</v>
      </c>
      <c r="Z153" s="33">
        <f t="shared" si="202"/>
        <v>0</v>
      </c>
      <c r="AA153" s="33">
        <f t="shared" si="203"/>
        <v>0</v>
      </c>
      <c r="AB153" s="33">
        <f t="shared" si="204"/>
        <v>0</v>
      </c>
      <c r="AC153" s="33">
        <f t="shared" si="205"/>
        <v>0</v>
      </c>
      <c r="AD153" s="33">
        <f t="shared" si="206"/>
        <v>0</v>
      </c>
      <c r="AE153" s="33">
        <f t="shared" si="207"/>
        <v>0</v>
      </c>
      <c r="AF153" s="120">
        <v>0.1</v>
      </c>
      <c r="AG153" s="120">
        <v>0.16</v>
      </c>
      <c r="AH153" s="120">
        <v>0.2</v>
      </c>
      <c r="AI153" s="120">
        <v>0.38</v>
      </c>
      <c r="AJ153" s="121">
        <v>0.16</v>
      </c>
      <c r="AK153" s="109" t="str">
        <f t="shared" si="208"/>
        <v>Turbo HE</v>
      </c>
      <c r="AL153" s="118"/>
      <c r="AM153" s="33">
        <f t="shared" si="209"/>
        <v>0</v>
      </c>
      <c r="AN153" s="33">
        <f t="shared" si="210"/>
        <v>0</v>
      </c>
      <c r="AO153" s="33">
        <f t="shared" si="211"/>
        <v>0</v>
      </c>
      <c r="AP153" s="33">
        <f t="shared" si="212"/>
        <v>0</v>
      </c>
      <c r="AQ153" s="33">
        <f t="shared" si="213"/>
        <v>0</v>
      </c>
      <c r="AR153" s="118"/>
      <c r="AS153" s="118"/>
      <c r="AT153" s="118"/>
      <c r="AU153" s="118"/>
      <c r="AV153" s="119"/>
      <c r="AX153" s="16">
        <v>300</v>
      </c>
      <c r="AY153" s="16">
        <v>300</v>
      </c>
    </row>
    <row r="154" spans="1:51">
      <c r="A154" s="109" t="s">
        <v>516</v>
      </c>
      <c r="B154" s="33"/>
      <c r="C154" s="33">
        <f t="shared" si="190"/>
        <v>0</v>
      </c>
      <c r="D154" s="33">
        <f t="shared" si="191"/>
        <v>0</v>
      </c>
      <c r="E154" s="33">
        <f t="shared" si="192"/>
        <v>0</v>
      </c>
      <c r="F154" s="33">
        <f t="shared" si="193"/>
        <v>0</v>
      </c>
      <c r="G154" s="33">
        <f t="shared" si="194"/>
        <v>0</v>
      </c>
      <c r="H154" s="120">
        <v>0.1</v>
      </c>
      <c r="I154" s="120">
        <v>0.16</v>
      </c>
      <c r="J154" s="120">
        <v>0.2</v>
      </c>
      <c r="K154" s="120">
        <v>0.38</v>
      </c>
      <c r="L154" s="121">
        <v>0.16</v>
      </c>
      <c r="M154" s="109" t="str">
        <f t="shared" si="195"/>
        <v>Turbo HE + UCC</v>
      </c>
      <c r="N154" s="33">
        <v>786</v>
      </c>
      <c r="O154" s="33">
        <f t="shared" si="196"/>
        <v>189</v>
      </c>
      <c r="P154" s="33">
        <f t="shared" si="197"/>
        <v>180</v>
      </c>
      <c r="Q154" s="33">
        <f t="shared" si="198"/>
        <v>180</v>
      </c>
      <c r="R154" s="33">
        <f t="shared" si="199"/>
        <v>213</v>
      </c>
      <c r="S154" s="33">
        <f t="shared" si="200"/>
        <v>24</v>
      </c>
      <c r="T154" s="110">
        <v>0.24025974025974031</v>
      </c>
      <c r="U154" s="110">
        <v>0.22943722943722941</v>
      </c>
      <c r="V154" s="110">
        <v>0.22943722943722941</v>
      </c>
      <c r="W154" s="110">
        <v>0.27056277056277062</v>
      </c>
      <c r="X154" s="111">
        <v>3.03030303030303E-2</v>
      </c>
      <c r="Y154" s="109" t="str">
        <f t="shared" si="201"/>
        <v>Turbo HE + UCC</v>
      </c>
      <c r="Z154" s="33">
        <f t="shared" si="202"/>
        <v>0</v>
      </c>
      <c r="AA154" s="33">
        <f t="shared" si="203"/>
        <v>0</v>
      </c>
      <c r="AB154" s="33">
        <f t="shared" si="204"/>
        <v>0</v>
      </c>
      <c r="AC154" s="33">
        <f t="shared" si="205"/>
        <v>0</v>
      </c>
      <c r="AD154" s="33">
        <f t="shared" si="206"/>
        <v>0</v>
      </c>
      <c r="AE154" s="33">
        <f t="shared" si="207"/>
        <v>0</v>
      </c>
      <c r="AF154" s="120">
        <v>0.1</v>
      </c>
      <c r="AG154" s="120">
        <v>0.16</v>
      </c>
      <c r="AH154" s="120">
        <v>0.2</v>
      </c>
      <c r="AI154" s="120">
        <v>0.38</v>
      </c>
      <c r="AJ154" s="121">
        <v>0.16</v>
      </c>
      <c r="AK154" s="109" t="str">
        <f t="shared" si="208"/>
        <v>Turbo HE + UCC</v>
      </c>
      <c r="AL154" s="118"/>
      <c r="AM154" s="33">
        <f t="shared" si="209"/>
        <v>0</v>
      </c>
      <c r="AN154" s="33">
        <f t="shared" si="210"/>
        <v>0</v>
      </c>
      <c r="AO154" s="33">
        <f t="shared" si="211"/>
        <v>0</v>
      </c>
      <c r="AP154" s="33">
        <f t="shared" si="212"/>
        <v>0</v>
      </c>
      <c r="AQ154" s="33">
        <f t="shared" si="213"/>
        <v>0</v>
      </c>
      <c r="AR154" s="118"/>
      <c r="AS154" s="118"/>
      <c r="AT154" s="118"/>
      <c r="AU154" s="118"/>
      <c r="AV154" s="119"/>
      <c r="AX154" s="16">
        <v>300</v>
      </c>
      <c r="AY154" s="16">
        <v>300</v>
      </c>
    </row>
    <row r="155" spans="1:51">
      <c r="A155" s="109" t="s">
        <v>518</v>
      </c>
      <c r="B155" s="33"/>
      <c r="C155" s="33">
        <f t="shared" si="190"/>
        <v>0</v>
      </c>
      <c r="D155" s="33">
        <f t="shared" si="191"/>
        <v>0</v>
      </c>
      <c r="E155" s="33">
        <f t="shared" si="192"/>
        <v>0</v>
      </c>
      <c r="F155" s="33">
        <f t="shared" si="193"/>
        <v>0</v>
      </c>
      <c r="G155" s="33">
        <f t="shared" si="194"/>
        <v>0</v>
      </c>
      <c r="H155" s="120">
        <v>0.1</v>
      </c>
      <c r="I155" s="120">
        <v>0.16</v>
      </c>
      <c r="J155" s="120">
        <v>0.2</v>
      </c>
      <c r="K155" s="120">
        <v>0.38</v>
      </c>
      <c r="L155" s="121">
        <v>0.16</v>
      </c>
      <c r="M155" s="109" t="str">
        <f t="shared" si="195"/>
        <v>UCC</v>
      </c>
      <c r="N155" s="33">
        <v>324</v>
      </c>
      <c r="O155" s="33">
        <f t="shared" si="196"/>
        <v>78</v>
      </c>
      <c r="P155" s="33">
        <f t="shared" si="197"/>
        <v>74</v>
      </c>
      <c r="Q155" s="33">
        <f t="shared" si="198"/>
        <v>74</v>
      </c>
      <c r="R155" s="33">
        <f t="shared" si="199"/>
        <v>88</v>
      </c>
      <c r="S155" s="33">
        <f t="shared" si="200"/>
        <v>10</v>
      </c>
      <c r="T155" s="110">
        <v>0.2407407407407407</v>
      </c>
      <c r="U155" s="110">
        <v>0.22839506172839499</v>
      </c>
      <c r="V155" s="110">
        <v>0.22839506172839499</v>
      </c>
      <c r="W155" s="110">
        <v>0.27160493827160492</v>
      </c>
      <c r="X155" s="111">
        <v>3.0864197530864199E-2</v>
      </c>
      <c r="Y155" s="109" t="str">
        <f t="shared" si="201"/>
        <v>UCC</v>
      </c>
      <c r="Z155" s="33">
        <f t="shared" si="202"/>
        <v>0</v>
      </c>
      <c r="AA155" s="33">
        <f t="shared" si="203"/>
        <v>0</v>
      </c>
      <c r="AB155" s="33">
        <f t="shared" si="204"/>
        <v>0</v>
      </c>
      <c r="AC155" s="33">
        <f t="shared" si="205"/>
        <v>0</v>
      </c>
      <c r="AD155" s="33">
        <f t="shared" si="206"/>
        <v>0</v>
      </c>
      <c r="AE155" s="33">
        <f t="shared" si="207"/>
        <v>0</v>
      </c>
      <c r="AF155" s="120">
        <v>0.1</v>
      </c>
      <c r="AG155" s="120">
        <v>0.16</v>
      </c>
      <c r="AH155" s="120">
        <v>0.2</v>
      </c>
      <c r="AI155" s="120">
        <v>0.38</v>
      </c>
      <c r="AJ155" s="121">
        <v>0.16</v>
      </c>
      <c r="AK155" s="109" t="str">
        <f t="shared" si="208"/>
        <v>UCC</v>
      </c>
      <c r="AL155" s="118"/>
      <c r="AM155" s="33">
        <f t="shared" si="209"/>
        <v>0</v>
      </c>
      <c r="AN155" s="33">
        <f t="shared" si="210"/>
        <v>0</v>
      </c>
      <c r="AO155" s="33">
        <f t="shared" si="211"/>
        <v>0</v>
      </c>
      <c r="AP155" s="33">
        <f t="shared" si="212"/>
        <v>0</v>
      </c>
      <c r="AQ155" s="33">
        <f t="shared" si="213"/>
        <v>0</v>
      </c>
      <c r="AR155" s="118"/>
      <c r="AS155" s="118"/>
      <c r="AT155" s="118"/>
      <c r="AU155" s="118"/>
      <c r="AV155" s="119"/>
      <c r="AX155" s="16">
        <v>300</v>
      </c>
      <c r="AY155" s="16">
        <v>300</v>
      </c>
    </row>
    <row r="156" spans="1:51">
      <c r="A156" s="109" t="s">
        <v>520</v>
      </c>
      <c r="B156" s="33"/>
      <c r="C156" s="33">
        <f t="shared" si="190"/>
        <v>0</v>
      </c>
      <c r="D156" s="33">
        <f t="shared" si="191"/>
        <v>0</v>
      </c>
      <c r="E156" s="33">
        <f t="shared" si="192"/>
        <v>0</v>
      </c>
      <c r="F156" s="33">
        <f t="shared" si="193"/>
        <v>0</v>
      </c>
      <c r="G156" s="33">
        <f t="shared" si="194"/>
        <v>0</v>
      </c>
      <c r="H156" s="120">
        <v>0.1</v>
      </c>
      <c r="I156" s="120">
        <v>0.16</v>
      </c>
      <c r="J156" s="120">
        <v>0.2</v>
      </c>
      <c r="K156" s="120">
        <v>0.38</v>
      </c>
      <c r="L156" s="121">
        <v>0.16</v>
      </c>
      <c r="M156" s="109" t="str">
        <f t="shared" si="195"/>
        <v>Box</v>
      </c>
      <c r="N156" s="33">
        <v>500</v>
      </c>
      <c r="O156" s="33">
        <f t="shared" si="196"/>
        <v>50</v>
      </c>
      <c r="P156" s="33">
        <f t="shared" si="197"/>
        <v>80</v>
      </c>
      <c r="Q156" s="33">
        <f t="shared" si="198"/>
        <v>100</v>
      </c>
      <c r="R156" s="33">
        <f t="shared" si="199"/>
        <v>190</v>
      </c>
      <c r="S156" s="33">
        <f t="shared" si="200"/>
        <v>80</v>
      </c>
      <c r="T156" s="110">
        <v>0.1</v>
      </c>
      <c r="U156" s="110">
        <v>0.16</v>
      </c>
      <c r="V156" s="110">
        <v>0.2</v>
      </c>
      <c r="W156" s="110">
        <v>0.38</v>
      </c>
      <c r="X156" s="111">
        <v>0.16</v>
      </c>
      <c r="Y156" s="109" t="str">
        <f t="shared" si="201"/>
        <v>Box</v>
      </c>
      <c r="Z156" s="33">
        <f t="shared" si="202"/>
        <v>0</v>
      </c>
      <c r="AA156" s="33">
        <f t="shared" si="203"/>
        <v>0</v>
      </c>
      <c r="AB156" s="33">
        <f t="shared" si="204"/>
        <v>0</v>
      </c>
      <c r="AC156" s="33">
        <f t="shared" si="205"/>
        <v>0</v>
      </c>
      <c r="AD156" s="33">
        <f t="shared" si="206"/>
        <v>0</v>
      </c>
      <c r="AE156" s="33">
        <f t="shared" si="207"/>
        <v>0</v>
      </c>
      <c r="AF156" s="110">
        <v>0.1</v>
      </c>
      <c r="AG156" s="110">
        <v>0.16</v>
      </c>
      <c r="AH156" s="110">
        <v>0.2</v>
      </c>
      <c r="AI156" s="110">
        <v>0.38</v>
      </c>
      <c r="AJ156" s="111">
        <v>0.16</v>
      </c>
      <c r="AK156" s="109" t="str">
        <f t="shared" si="208"/>
        <v>Box</v>
      </c>
      <c r="AL156" s="33">
        <v>500</v>
      </c>
      <c r="AM156" s="33">
        <f t="shared" si="209"/>
        <v>50</v>
      </c>
      <c r="AN156" s="33">
        <f t="shared" si="210"/>
        <v>80</v>
      </c>
      <c r="AO156" s="33">
        <f t="shared" si="211"/>
        <v>100</v>
      </c>
      <c r="AP156" s="33">
        <f t="shared" si="212"/>
        <v>190</v>
      </c>
      <c r="AQ156" s="33">
        <f t="shared" si="213"/>
        <v>80</v>
      </c>
      <c r="AR156" s="110">
        <v>0.1</v>
      </c>
      <c r="AS156" s="110">
        <v>0.16</v>
      </c>
      <c r="AT156" s="110">
        <v>0.2</v>
      </c>
      <c r="AU156" s="110">
        <v>0.38</v>
      </c>
      <c r="AV156" s="111">
        <v>0.16</v>
      </c>
      <c r="AX156" s="16">
        <v>500</v>
      </c>
      <c r="AY156" s="16">
        <v>500</v>
      </c>
    </row>
    <row r="157" spans="1:51">
      <c r="A157" s="109" t="s">
        <v>523</v>
      </c>
      <c r="B157" s="33"/>
      <c r="C157" s="33">
        <f t="shared" si="190"/>
        <v>0</v>
      </c>
      <c r="D157" s="33">
        <f t="shared" si="191"/>
        <v>0</v>
      </c>
      <c r="E157" s="33">
        <f t="shared" si="192"/>
        <v>0</v>
      </c>
      <c r="F157" s="33">
        <f t="shared" si="193"/>
        <v>0</v>
      </c>
      <c r="G157" s="33">
        <f t="shared" si="194"/>
        <v>0</v>
      </c>
      <c r="H157" s="120">
        <v>0.1</v>
      </c>
      <c r="I157" s="120">
        <v>0.16</v>
      </c>
      <c r="J157" s="120">
        <v>0.2</v>
      </c>
      <c r="K157" s="120">
        <v>0.38</v>
      </c>
      <c r="L157" s="121">
        <v>0.16</v>
      </c>
      <c r="M157" s="109" t="str">
        <f t="shared" si="195"/>
        <v>Decomposition pipe</v>
      </c>
      <c r="N157" s="33">
        <v>150</v>
      </c>
      <c r="O157" s="33">
        <f t="shared" si="196"/>
        <v>15</v>
      </c>
      <c r="P157" s="33">
        <f t="shared" si="197"/>
        <v>24</v>
      </c>
      <c r="Q157" s="33">
        <f t="shared" si="198"/>
        <v>30</v>
      </c>
      <c r="R157" s="33">
        <f t="shared" si="199"/>
        <v>57</v>
      </c>
      <c r="S157" s="33">
        <f t="shared" si="200"/>
        <v>24</v>
      </c>
      <c r="T157" s="110">
        <v>0.1</v>
      </c>
      <c r="U157" s="110">
        <v>0.16</v>
      </c>
      <c r="V157" s="110">
        <v>0.2</v>
      </c>
      <c r="W157" s="110">
        <v>0.38</v>
      </c>
      <c r="X157" s="111">
        <v>0.16</v>
      </c>
      <c r="Y157" s="109" t="str">
        <f t="shared" si="201"/>
        <v>Decomposition pipe</v>
      </c>
      <c r="Z157" s="33">
        <f t="shared" si="202"/>
        <v>0</v>
      </c>
      <c r="AA157" s="33">
        <f t="shared" si="203"/>
        <v>0</v>
      </c>
      <c r="AB157" s="33">
        <f t="shared" si="204"/>
        <v>0</v>
      </c>
      <c r="AC157" s="33">
        <f t="shared" si="205"/>
        <v>0</v>
      </c>
      <c r="AD157" s="33">
        <f t="shared" si="206"/>
        <v>0</v>
      </c>
      <c r="AE157" s="33">
        <f t="shared" si="207"/>
        <v>0</v>
      </c>
      <c r="AF157" s="110">
        <v>0.1</v>
      </c>
      <c r="AG157" s="110">
        <v>0.16</v>
      </c>
      <c r="AH157" s="110">
        <v>0.2</v>
      </c>
      <c r="AI157" s="110">
        <v>0.38</v>
      </c>
      <c r="AJ157" s="111">
        <v>0.16</v>
      </c>
      <c r="AK157" s="109" t="str">
        <f t="shared" si="208"/>
        <v>Decomposition pipe</v>
      </c>
      <c r="AL157" s="33">
        <v>150</v>
      </c>
      <c r="AM157" s="33">
        <f t="shared" si="209"/>
        <v>15</v>
      </c>
      <c r="AN157" s="33">
        <f t="shared" si="210"/>
        <v>24</v>
      </c>
      <c r="AO157" s="33">
        <f t="shared" si="211"/>
        <v>30</v>
      </c>
      <c r="AP157" s="33">
        <f t="shared" si="212"/>
        <v>57</v>
      </c>
      <c r="AQ157" s="33">
        <f t="shared" si="213"/>
        <v>24</v>
      </c>
      <c r="AR157" s="110">
        <v>0.1</v>
      </c>
      <c r="AS157" s="110">
        <v>0.16</v>
      </c>
      <c r="AT157" s="110">
        <v>0.2</v>
      </c>
      <c r="AU157" s="110">
        <v>0.38</v>
      </c>
      <c r="AV157" s="111">
        <v>0.16</v>
      </c>
      <c r="AX157" s="16">
        <v>150</v>
      </c>
      <c r="AY157" s="16">
        <v>150</v>
      </c>
    </row>
    <row r="158" spans="1:51">
      <c r="A158" s="109" t="s">
        <v>524</v>
      </c>
      <c r="B158" s="33"/>
      <c r="C158" s="33">
        <f t="shared" si="190"/>
        <v>0</v>
      </c>
      <c r="D158" s="33">
        <f t="shared" si="191"/>
        <v>0</v>
      </c>
      <c r="E158" s="33">
        <f t="shared" si="192"/>
        <v>0</v>
      </c>
      <c r="F158" s="33">
        <f t="shared" si="193"/>
        <v>0</v>
      </c>
      <c r="G158" s="33">
        <f t="shared" si="194"/>
        <v>0</v>
      </c>
      <c r="H158" s="120">
        <v>0.1</v>
      </c>
      <c r="I158" s="120">
        <v>0.16</v>
      </c>
      <c r="J158" s="120">
        <v>0.2</v>
      </c>
      <c r="K158" s="120">
        <v>0.38</v>
      </c>
      <c r="L158" s="121">
        <v>0.16</v>
      </c>
      <c r="M158" s="109" t="str">
        <f t="shared" si="195"/>
        <v>Inline</v>
      </c>
      <c r="N158" s="33">
        <v>600</v>
      </c>
      <c r="O158" s="33">
        <f t="shared" si="196"/>
        <v>60</v>
      </c>
      <c r="P158" s="33">
        <f t="shared" si="197"/>
        <v>96</v>
      </c>
      <c r="Q158" s="33">
        <f t="shared" si="198"/>
        <v>120</v>
      </c>
      <c r="R158" s="33">
        <f t="shared" si="199"/>
        <v>228</v>
      </c>
      <c r="S158" s="33">
        <f t="shared" si="200"/>
        <v>96</v>
      </c>
      <c r="T158" s="110">
        <v>0.1</v>
      </c>
      <c r="U158" s="110">
        <v>0.16</v>
      </c>
      <c r="V158" s="110">
        <v>0.2</v>
      </c>
      <c r="W158" s="110">
        <v>0.38</v>
      </c>
      <c r="X158" s="111">
        <v>0.16</v>
      </c>
      <c r="Y158" s="109" t="str">
        <f t="shared" si="201"/>
        <v>Inline</v>
      </c>
      <c r="Z158" s="33">
        <f t="shared" si="202"/>
        <v>0</v>
      </c>
      <c r="AA158" s="33">
        <f t="shared" si="203"/>
        <v>0</v>
      </c>
      <c r="AB158" s="33">
        <f t="shared" si="204"/>
        <v>0</v>
      </c>
      <c r="AC158" s="33">
        <f t="shared" si="205"/>
        <v>0</v>
      </c>
      <c r="AD158" s="33">
        <f t="shared" si="206"/>
        <v>0</v>
      </c>
      <c r="AE158" s="33">
        <f t="shared" si="207"/>
        <v>0</v>
      </c>
      <c r="AF158" s="110">
        <v>0.1</v>
      </c>
      <c r="AG158" s="110">
        <v>0.16</v>
      </c>
      <c r="AH158" s="110">
        <v>0.2</v>
      </c>
      <c r="AI158" s="110">
        <v>0.38</v>
      </c>
      <c r="AJ158" s="111">
        <v>0.16</v>
      </c>
      <c r="AK158" s="109" t="str">
        <f t="shared" si="208"/>
        <v>Inline</v>
      </c>
      <c r="AL158" s="33">
        <v>600</v>
      </c>
      <c r="AM158" s="33">
        <f t="shared" si="209"/>
        <v>60</v>
      </c>
      <c r="AN158" s="33">
        <f t="shared" si="210"/>
        <v>96</v>
      </c>
      <c r="AO158" s="33">
        <f t="shared" si="211"/>
        <v>120</v>
      </c>
      <c r="AP158" s="33">
        <f t="shared" si="212"/>
        <v>228</v>
      </c>
      <c r="AQ158" s="33">
        <f t="shared" si="213"/>
        <v>96</v>
      </c>
      <c r="AR158" s="110">
        <v>0.1</v>
      </c>
      <c r="AS158" s="110">
        <v>0.16</v>
      </c>
      <c r="AT158" s="110">
        <v>0.2</v>
      </c>
      <c r="AU158" s="110">
        <v>0.38</v>
      </c>
      <c r="AV158" s="111">
        <v>0.16</v>
      </c>
      <c r="AX158" s="16">
        <v>600</v>
      </c>
      <c r="AY158" s="16">
        <v>600</v>
      </c>
    </row>
    <row r="159" spans="1:51">
      <c r="A159" s="109" t="s">
        <v>526</v>
      </c>
      <c r="B159" s="33"/>
      <c r="C159" s="33">
        <f t="shared" si="190"/>
        <v>0</v>
      </c>
      <c r="D159" s="33">
        <f t="shared" si="191"/>
        <v>0</v>
      </c>
      <c r="E159" s="33">
        <f t="shared" si="192"/>
        <v>0</v>
      </c>
      <c r="F159" s="33">
        <f t="shared" si="193"/>
        <v>0</v>
      </c>
      <c r="G159" s="33">
        <f t="shared" si="194"/>
        <v>0</v>
      </c>
      <c r="H159" s="120">
        <v>0.1</v>
      </c>
      <c r="I159" s="120">
        <v>0.16</v>
      </c>
      <c r="J159" s="120">
        <v>0.2</v>
      </c>
      <c r="K159" s="120">
        <v>0.38</v>
      </c>
      <c r="L159" s="121">
        <v>0.16</v>
      </c>
      <c r="M159" s="109" t="str">
        <f t="shared" si="195"/>
        <v>Compact Mixer</v>
      </c>
      <c r="N159" s="33">
        <v>150</v>
      </c>
      <c r="O159" s="33">
        <f t="shared" si="196"/>
        <v>15</v>
      </c>
      <c r="P159" s="33">
        <f t="shared" si="197"/>
        <v>24</v>
      </c>
      <c r="Q159" s="33">
        <f t="shared" si="198"/>
        <v>30</v>
      </c>
      <c r="R159" s="33">
        <f t="shared" si="199"/>
        <v>57</v>
      </c>
      <c r="S159" s="33">
        <f t="shared" si="200"/>
        <v>24</v>
      </c>
      <c r="T159" s="110">
        <v>0.1</v>
      </c>
      <c r="U159" s="110">
        <v>0.16</v>
      </c>
      <c r="V159" s="110">
        <v>0.2</v>
      </c>
      <c r="W159" s="110">
        <v>0.38</v>
      </c>
      <c r="X159" s="111">
        <v>0.16</v>
      </c>
      <c r="Y159" s="109" t="str">
        <f t="shared" si="201"/>
        <v>Compact Mixer</v>
      </c>
      <c r="Z159" s="33">
        <f t="shared" si="202"/>
        <v>0</v>
      </c>
      <c r="AA159" s="33">
        <f t="shared" si="203"/>
        <v>0</v>
      </c>
      <c r="AB159" s="33">
        <f t="shared" si="204"/>
        <v>0</v>
      </c>
      <c r="AC159" s="33">
        <f t="shared" si="205"/>
        <v>0</v>
      </c>
      <c r="AD159" s="33">
        <f t="shared" si="206"/>
        <v>0</v>
      </c>
      <c r="AE159" s="33">
        <f t="shared" si="207"/>
        <v>0</v>
      </c>
      <c r="AF159" s="110">
        <v>0.1</v>
      </c>
      <c r="AG159" s="110">
        <v>0.16</v>
      </c>
      <c r="AH159" s="110">
        <v>0.2</v>
      </c>
      <c r="AI159" s="110">
        <v>0.38</v>
      </c>
      <c r="AJ159" s="111">
        <v>0.16</v>
      </c>
      <c r="AK159" s="109" t="str">
        <f t="shared" si="208"/>
        <v>Compact Mixer</v>
      </c>
      <c r="AL159" s="33">
        <v>150</v>
      </c>
      <c r="AM159" s="33">
        <f t="shared" si="209"/>
        <v>15</v>
      </c>
      <c r="AN159" s="33">
        <f t="shared" si="210"/>
        <v>24</v>
      </c>
      <c r="AO159" s="33">
        <f t="shared" si="211"/>
        <v>30</v>
      </c>
      <c r="AP159" s="33">
        <f t="shared" si="212"/>
        <v>57</v>
      </c>
      <c r="AQ159" s="33">
        <f t="shared" si="213"/>
        <v>24</v>
      </c>
      <c r="AR159" s="110">
        <v>0.1</v>
      </c>
      <c r="AS159" s="110">
        <v>0.16</v>
      </c>
      <c r="AT159" s="110">
        <v>0.2</v>
      </c>
      <c r="AU159" s="110">
        <v>0.38</v>
      </c>
      <c r="AV159" s="111">
        <v>0.16</v>
      </c>
      <c r="AX159" s="16">
        <v>150</v>
      </c>
      <c r="AY159" s="16">
        <v>150</v>
      </c>
    </row>
    <row r="160" spans="1:51">
      <c r="A160" s="109" t="s">
        <v>528</v>
      </c>
      <c r="B160" s="33"/>
      <c r="C160" s="33">
        <f t="shared" si="190"/>
        <v>0</v>
      </c>
      <c r="D160" s="33">
        <f t="shared" si="191"/>
        <v>0</v>
      </c>
      <c r="E160" s="33">
        <f t="shared" si="192"/>
        <v>0</v>
      </c>
      <c r="F160" s="33">
        <f t="shared" si="193"/>
        <v>0</v>
      </c>
      <c r="G160" s="33">
        <f t="shared" si="194"/>
        <v>0</v>
      </c>
      <c r="H160" s="120">
        <v>0.1</v>
      </c>
      <c r="I160" s="120">
        <v>0.16</v>
      </c>
      <c r="J160" s="120">
        <v>0.2</v>
      </c>
      <c r="K160" s="120">
        <v>0.38</v>
      </c>
      <c r="L160" s="121">
        <v>0.16</v>
      </c>
      <c r="M160" s="109" t="str">
        <f t="shared" si="195"/>
        <v>Switch back</v>
      </c>
      <c r="N160" s="33">
        <v>600</v>
      </c>
      <c r="O160" s="33">
        <f t="shared" si="196"/>
        <v>60</v>
      </c>
      <c r="P160" s="33">
        <f t="shared" si="197"/>
        <v>96</v>
      </c>
      <c r="Q160" s="33">
        <f t="shared" si="198"/>
        <v>120</v>
      </c>
      <c r="R160" s="33">
        <f t="shared" si="199"/>
        <v>228</v>
      </c>
      <c r="S160" s="33">
        <f t="shared" si="200"/>
        <v>96</v>
      </c>
      <c r="T160" s="110">
        <v>0.1</v>
      </c>
      <c r="U160" s="110">
        <v>0.16</v>
      </c>
      <c r="V160" s="110">
        <v>0.2</v>
      </c>
      <c r="W160" s="110">
        <v>0.38</v>
      </c>
      <c r="X160" s="111">
        <v>0.16</v>
      </c>
      <c r="Y160" s="109" t="str">
        <f t="shared" si="201"/>
        <v>Switch back</v>
      </c>
      <c r="Z160" s="33">
        <f t="shared" si="202"/>
        <v>0</v>
      </c>
      <c r="AA160" s="33">
        <f t="shared" si="203"/>
        <v>0</v>
      </c>
      <c r="AB160" s="33">
        <f t="shared" si="204"/>
        <v>0</v>
      </c>
      <c r="AC160" s="33">
        <f t="shared" si="205"/>
        <v>0</v>
      </c>
      <c r="AD160" s="33">
        <f t="shared" si="206"/>
        <v>0</v>
      </c>
      <c r="AE160" s="33">
        <f t="shared" si="207"/>
        <v>0</v>
      </c>
      <c r="AF160" s="110">
        <v>0.1</v>
      </c>
      <c r="AG160" s="110">
        <v>0.16</v>
      </c>
      <c r="AH160" s="110">
        <v>0.2</v>
      </c>
      <c r="AI160" s="110">
        <v>0.38</v>
      </c>
      <c r="AJ160" s="111">
        <v>0.16</v>
      </c>
      <c r="AK160" s="109" t="str">
        <f t="shared" si="208"/>
        <v>Switch back</v>
      </c>
      <c r="AL160" s="33">
        <v>600</v>
      </c>
      <c r="AM160" s="33">
        <f t="shared" si="209"/>
        <v>60</v>
      </c>
      <c r="AN160" s="33">
        <f t="shared" si="210"/>
        <v>96</v>
      </c>
      <c r="AO160" s="33">
        <f t="shared" si="211"/>
        <v>120</v>
      </c>
      <c r="AP160" s="33">
        <f t="shared" si="212"/>
        <v>228</v>
      </c>
      <c r="AQ160" s="33">
        <f t="shared" si="213"/>
        <v>96</v>
      </c>
      <c r="AR160" s="110">
        <v>0.1</v>
      </c>
      <c r="AS160" s="110">
        <v>0.16</v>
      </c>
      <c r="AT160" s="110">
        <v>0.2</v>
      </c>
      <c r="AU160" s="110">
        <v>0.38</v>
      </c>
      <c r="AV160" s="111">
        <v>0.16</v>
      </c>
      <c r="AX160" s="16">
        <v>600</v>
      </c>
      <c r="AY160" s="16">
        <v>600</v>
      </c>
    </row>
    <row r="161" spans="1:51">
      <c r="A161" s="109" t="s">
        <v>531</v>
      </c>
      <c r="B161" s="33"/>
      <c r="C161" s="33">
        <f t="shared" si="190"/>
        <v>0</v>
      </c>
      <c r="D161" s="33">
        <f t="shared" si="191"/>
        <v>0</v>
      </c>
      <c r="E161" s="33">
        <f t="shared" si="192"/>
        <v>0</v>
      </c>
      <c r="F161" s="33">
        <f t="shared" si="193"/>
        <v>0</v>
      </c>
      <c r="G161" s="33">
        <f t="shared" si="194"/>
        <v>0</v>
      </c>
      <c r="H161" s="120">
        <v>0.1</v>
      </c>
      <c r="I161" s="120">
        <v>0.16</v>
      </c>
      <c r="J161" s="120">
        <v>0.2</v>
      </c>
      <c r="K161" s="120">
        <v>0.38</v>
      </c>
      <c r="L161" s="121">
        <v>0.16</v>
      </c>
      <c r="M161" s="109" t="str">
        <f t="shared" si="195"/>
        <v>U-Mixer</v>
      </c>
      <c r="N161" s="33">
        <v>150</v>
      </c>
      <c r="O161" s="33">
        <f t="shared" si="196"/>
        <v>15</v>
      </c>
      <c r="P161" s="33">
        <f t="shared" si="197"/>
        <v>24</v>
      </c>
      <c r="Q161" s="33">
        <f t="shared" si="198"/>
        <v>30</v>
      </c>
      <c r="R161" s="33">
        <f t="shared" si="199"/>
        <v>57</v>
      </c>
      <c r="S161" s="33">
        <f t="shared" si="200"/>
        <v>24</v>
      </c>
      <c r="T161" s="110">
        <v>0.1</v>
      </c>
      <c r="U161" s="110">
        <v>0.16</v>
      </c>
      <c r="V161" s="110">
        <v>0.2</v>
      </c>
      <c r="W161" s="110">
        <v>0.38</v>
      </c>
      <c r="X161" s="111">
        <v>0.16</v>
      </c>
      <c r="Y161" s="109" t="str">
        <f t="shared" si="201"/>
        <v>U-Mixer</v>
      </c>
      <c r="Z161" s="33">
        <f t="shared" si="202"/>
        <v>0</v>
      </c>
      <c r="AA161" s="33">
        <f t="shared" si="203"/>
        <v>0</v>
      </c>
      <c r="AB161" s="33">
        <f t="shared" si="204"/>
        <v>0</v>
      </c>
      <c r="AC161" s="33">
        <f t="shared" si="205"/>
        <v>0</v>
      </c>
      <c r="AD161" s="33">
        <f t="shared" si="206"/>
        <v>0</v>
      </c>
      <c r="AE161" s="33">
        <f t="shared" si="207"/>
        <v>0</v>
      </c>
      <c r="AF161" s="110">
        <v>0.1</v>
      </c>
      <c r="AG161" s="110">
        <v>0.16</v>
      </c>
      <c r="AH161" s="110">
        <v>0.2</v>
      </c>
      <c r="AI161" s="110">
        <v>0.38</v>
      </c>
      <c r="AJ161" s="111">
        <v>0.16</v>
      </c>
      <c r="AK161" s="109" t="str">
        <f t="shared" si="208"/>
        <v>U-Mixer</v>
      </c>
      <c r="AL161" s="33">
        <v>150</v>
      </c>
      <c r="AM161" s="33">
        <f t="shared" si="209"/>
        <v>15</v>
      </c>
      <c r="AN161" s="33">
        <f t="shared" si="210"/>
        <v>24</v>
      </c>
      <c r="AO161" s="33">
        <f t="shared" si="211"/>
        <v>30</v>
      </c>
      <c r="AP161" s="33">
        <f t="shared" si="212"/>
        <v>57</v>
      </c>
      <c r="AQ161" s="33">
        <f t="shared" si="213"/>
        <v>24</v>
      </c>
      <c r="AR161" s="110">
        <v>0.1</v>
      </c>
      <c r="AS161" s="110">
        <v>0.16</v>
      </c>
      <c r="AT161" s="110">
        <v>0.2</v>
      </c>
      <c r="AU161" s="110">
        <v>0.38</v>
      </c>
      <c r="AV161" s="111">
        <v>0.16</v>
      </c>
      <c r="AX161" s="16">
        <v>150</v>
      </c>
      <c r="AY161" s="16">
        <v>150</v>
      </c>
    </row>
    <row r="162" spans="1:51" ht="13" thickBot="1">
      <c r="A162" s="112" t="s">
        <v>534</v>
      </c>
      <c r="B162" s="113"/>
      <c r="C162" s="113">
        <f t="shared" si="190"/>
        <v>0</v>
      </c>
      <c r="D162" s="113">
        <f t="shared" si="191"/>
        <v>0</v>
      </c>
      <c r="E162" s="113">
        <f t="shared" si="192"/>
        <v>0</v>
      </c>
      <c r="F162" s="113">
        <f t="shared" si="193"/>
        <v>0</v>
      </c>
      <c r="G162" s="113">
        <f t="shared" si="194"/>
        <v>0</v>
      </c>
      <c r="H162" s="122">
        <v>0.1</v>
      </c>
      <c r="I162" s="122">
        <v>0.16</v>
      </c>
      <c r="J162" s="122">
        <v>0.2</v>
      </c>
      <c r="K162" s="122">
        <v>0.38</v>
      </c>
      <c r="L162" s="123">
        <v>0.16</v>
      </c>
      <c r="M162" s="112" t="str">
        <f t="shared" si="195"/>
        <v>U-shape</v>
      </c>
      <c r="N162" s="113">
        <v>600</v>
      </c>
      <c r="O162" s="113">
        <f t="shared" si="196"/>
        <v>60</v>
      </c>
      <c r="P162" s="113">
        <f t="shared" si="197"/>
        <v>96</v>
      </c>
      <c r="Q162" s="113">
        <f t="shared" si="198"/>
        <v>120</v>
      </c>
      <c r="R162" s="113">
        <f t="shared" si="199"/>
        <v>228</v>
      </c>
      <c r="S162" s="113">
        <f t="shared" si="200"/>
        <v>96</v>
      </c>
      <c r="T162" s="114">
        <v>0.1</v>
      </c>
      <c r="U162" s="114">
        <v>0.16</v>
      </c>
      <c r="V162" s="114">
        <v>0.2</v>
      </c>
      <c r="W162" s="114">
        <v>0.38</v>
      </c>
      <c r="X162" s="115">
        <v>0.16</v>
      </c>
      <c r="Y162" s="112" t="s">
        <v>534</v>
      </c>
      <c r="Z162" s="113">
        <f t="shared" si="202"/>
        <v>0</v>
      </c>
      <c r="AA162" s="113">
        <f t="shared" si="203"/>
        <v>0</v>
      </c>
      <c r="AB162" s="113">
        <f t="shared" si="204"/>
        <v>0</v>
      </c>
      <c r="AC162" s="113">
        <f t="shared" si="205"/>
        <v>0</v>
      </c>
      <c r="AD162" s="113">
        <f t="shared" si="206"/>
        <v>0</v>
      </c>
      <c r="AE162" s="113">
        <f t="shared" si="207"/>
        <v>0</v>
      </c>
      <c r="AF162" s="114">
        <v>0.1</v>
      </c>
      <c r="AG162" s="114">
        <v>0.16</v>
      </c>
      <c r="AH162" s="114">
        <v>0.2</v>
      </c>
      <c r="AI162" s="114">
        <v>0.38</v>
      </c>
      <c r="AJ162" s="115">
        <v>0.16</v>
      </c>
      <c r="AK162" s="112" t="s">
        <v>534</v>
      </c>
      <c r="AL162" s="113">
        <v>600</v>
      </c>
      <c r="AM162" s="113">
        <f t="shared" si="209"/>
        <v>60</v>
      </c>
      <c r="AN162" s="113">
        <f t="shared" si="210"/>
        <v>96</v>
      </c>
      <c r="AO162" s="113">
        <f t="shared" si="211"/>
        <v>120</v>
      </c>
      <c r="AP162" s="113">
        <f t="shared" si="212"/>
        <v>228</v>
      </c>
      <c r="AQ162" s="113">
        <f t="shared" si="213"/>
        <v>96</v>
      </c>
      <c r="AR162" s="114">
        <v>0.1</v>
      </c>
      <c r="AS162" s="114">
        <v>0.16</v>
      </c>
      <c r="AT162" s="114">
        <v>0.2</v>
      </c>
      <c r="AU162" s="114">
        <v>0.38</v>
      </c>
      <c r="AV162" s="115">
        <v>0.16</v>
      </c>
      <c r="AX162" s="16">
        <v>600</v>
      </c>
      <c r="AY162" s="16">
        <v>600</v>
      </c>
    </row>
    <row r="163" spans="1:51" s="56" customFormat="1" ht="50">
      <c r="A163" s="107" t="s">
        <v>460</v>
      </c>
      <c r="B163" s="108" t="s">
        <v>148</v>
      </c>
      <c r="C163" s="124" t="s">
        <v>120</v>
      </c>
      <c r="D163" s="124" t="s">
        <v>121</v>
      </c>
      <c r="E163" s="124" t="s">
        <v>122</v>
      </c>
      <c r="F163" s="126" t="s">
        <v>123</v>
      </c>
      <c r="G163" s="126" t="s">
        <v>124</v>
      </c>
      <c r="H163" s="127" t="s">
        <v>120</v>
      </c>
      <c r="I163" s="125" t="s">
        <v>121</v>
      </c>
      <c r="J163" s="125" t="s">
        <v>122</v>
      </c>
      <c r="K163" s="127" t="s">
        <v>123</v>
      </c>
      <c r="L163" s="128" t="s">
        <v>124</v>
      </c>
      <c r="M163" s="107" t="s">
        <v>93</v>
      </c>
      <c r="N163" s="108" t="str">
        <f>B163</f>
        <v>Advanced Supplier Quality</v>
      </c>
      <c r="O163" s="124" t="s">
        <v>120</v>
      </c>
      <c r="P163" s="124" t="s">
        <v>121</v>
      </c>
      <c r="Q163" s="124" t="s">
        <v>122</v>
      </c>
      <c r="R163" s="126" t="s">
        <v>123</v>
      </c>
      <c r="S163" s="126" t="s">
        <v>124</v>
      </c>
      <c r="T163" s="127" t="s">
        <v>120</v>
      </c>
      <c r="U163" s="125" t="s">
        <v>121</v>
      </c>
      <c r="V163" s="125" t="s">
        <v>122</v>
      </c>
      <c r="W163" s="127" t="s">
        <v>123</v>
      </c>
      <c r="X163" s="128" t="s">
        <v>124</v>
      </c>
      <c r="Y163" s="107" t="s">
        <v>483</v>
      </c>
      <c r="Z163" s="108" t="str">
        <f>N163</f>
        <v>Advanced Supplier Quality</v>
      </c>
      <c r="AA163" s="124" t="s">
        <v>120</v>
      </c>
      <c r="AB163" s="124" t="s">
        <v>121</v>
      </c>
      <c r="AC163" s="124" t="s">
        <v>122</v>
      </c>
      <c r="AD163" s="126" t="s">
        <v>123</v>
      </c>
      <c r="AE163" s="126" t="s">
        <v>124</v>
      </c>
      <c r="AF163" s="127" t="s">
        <v>120</v>
      </c>
      <c r="AG163" s="125" t="s">
        <v>121</v>
      </c>
      <c r="AH163" s="125" t="s">
        <v>122</v>
      </c>
      <c r="AI163" s="127" t="s">
        <v>123</v>
      </c>
      <c r="AJ163" s="128" t="s">
        <v>124</v>
      </c>
      <c r="AK163" s="107" t="s">
        <v>482</v>
      </c>
      <c r="AL163" s="108" t="str">
        <f>Z163</f>
        <v>Advanced Supplier Quality</v>
      </c>
      <c r="AM163" s="124" t="s">
        <v>120</v>
      </c>
      <c r="AN163" s="124" t="s">
        <v>121</v>
      </c>
      <c r="AO163" s="124" t="s">
        <v>122</v>
      </c>
      <c r="AP163" s="126" t="s">
        <v>123</v>
      </c>
      <c r="AQ163" s="126" t="s">
        <v>124</v>
      </c>
      <c r="AR163" s="127" t="s">
        <v>120</v>
      </c>
      <c r="AS163" s="125" t="s">
        <v>121</v>
      </c>
      <c r="AT163" s="125" t="s">
        <v>122</v>
      </c>
      <c r="AU163" s="127" t="s">
        <v>123</v>
      </c>
      <c r="AV163" s="128" t="s">
        <v>124</v>
      </c>
      <c r="AX163" s="56" t="s">
        <v>148</v>
      </c>
      <c r="AY163" s="56" t="s">
        <v>148</v>
      </c>
    </row>
    <row r="164" spans="1:51">
      <c r="A164" s="109" t="s">
        <v>490</v>
      </c>
      <c r="B164" s="33"/>
      <c r="C164" s="33">
        <f t="shared" ref="C164:C180" si="214">ROUND($B164*H164,0)</f>
        <v>0</v>
      </c>
      <c r="D164" s="33">
        <f t="shared" ref="D164:D180" si="215">ROUND($B164*I164,0)</f>
        <v>0</v>
      </c>
      <c r="E164" s="33">
        <f t="shared" ref="E164:E180" si="216">ROUND($B164*J164,0)</f>
        <v>0</v>
      </c>
      <c r="F164" s="33">
        <f t="shared" ref="F164:F180" si="217">ROUND($B164*K164,0)</f>
        <v>0</v>
      </c>
      <c r="G164" s="33">
        <f t="shared" ref="G164:G180" si="218">ROUND($B164*L164,0)</f>
        <v>0</v>
      </c>
      <c r="H164" s="120">
        <v>0</v>
      </c>
      <c r="I164" s="120">
        <v>0.16</v>
      </c>
      <c r="J164" s="120">
        <v>0.37</v>
      </c>
      <c r="K164" s="120">
        <v>0.42</v>
      </c>
      <c r="L164" s="121">
        <v>0.05</v>
      </c>
      <c r="M164" s="109" t="str">
        <f t="shared" ref="M164:M180" si="219">$A164</f>
        <v>Cold End Complex</v>
      </c>
      <c r="N164" s="33">
        <v>350</v>
      </c>
      <c r="O164" s="33">
        <f t="shared" ref="O164:O180" si="220">ROUND($N164*T164,0)</f>
        <v>25</v>
      </c>
      <c r="P164" s="33">
        <f t="shared" ref="P164:P180" si="221">ROUND($N164*U164,0)</f>
        <v>50</v>
      </c>
      <c r="Q164" s="33">
        <f t="shared" ref="Q164:Q180" si="222">ROUND($N164*V164,0)</f>
        <v>103</v>
      </c>
      <c r="R164" s="33">
        <f t="shared" ref="R164:R180" si="223">ROUND($N164*W164,0)</f>
        <v>172</v>
      </c>
      <c r="S164" s="33">
        <f t="shared" ref="S164:S180" si="224">ROUND($N164*X164,0)</f>
        <v>0</v>
      </c>
      <c r="T164" s="110">
        <v>7.1428571428571425E-2</v>
      </c>
      <c r="U164" s="110">
        <v>0.14285714285714279</v>
      </c>
      <c r="V164" s="110">
        <v>0.29428571428571432</v>
      </c>
      <c r="W164" s="110">
        <v>0.49142857142857138</v>
      </c>
      <c r="X164" s="111">
        <v>0</v>
      </c>
      <c r="Y164" s="109" t="str">
        <f t="shared" ref="Y164:Y179" si="225">$A164</f>
        <v>Cold End Complex</v>
      </c>
      <c r="Z164" s="33">
        <f t="shared" ref="Z164:Z180" si="226">B164</f>
        <v>0</v>
      </c>
      <c r="AA164" s="33">
        <f t="shared" ref="AA164:AA180" si="227">ROUND($Z164*AF164,0)</f>
        <v>0</v>
      </c>
      <c r="AB164" s="33">
        <f t="shared" ref="AB164:AB180" si="228">ROUND($Z164*AG164,0)</f>
        <v>0</v>
      </c>
      <c r="AC164" s="33">
        <f t="shared" ref="AC164:AC180" si="229">ROUND($Z164*AH164,0)</f>
        <v>0</v>
      </c>
      <c r="AD164" s="33">
        <f t="shared" ref="AD164:AD180" si="230">ROUND($Z164*AI164,0)</f>
        <v>0</v>
      </c>
      <c r="AE164" s="33">
        <f t="shared" ref="AE164:AE180" si="231">ROUND($Z164*AJ164,0)</f>
        <v>0</v>
      </c>
      <c r="AF164" s="120">
        <v>0</v>
      </c>
      <c r="AG164" s="120">
        <v>0.16</v>
      </c>
      <c r="AH164" s="120">
        <v>0.37</v>
      </c>
      <c r="AI164" s="120">
        <v>0.42</v>
      </c>
      <c r="AJ164" s="121">
        <v>0.05</v>
      </c>
      <c r="AK164" s="109" t="str">
        <f t="shared" ref="AK164:AK179" si="232">$A164</f>
        <v>Cold End Complex</v>
      </c>
      <c r="AL164" s="118"/>
      <c r="AM164" s="33">
        <f t="shared" ref="AM164:AM180" si="233">ROUND($AL164*AR164,0)</f>
        <v>0</v>
      </c>
      <c r="AN164" s="33">
        <f t="shared" ref="AN164:AN180" si="234">ROUND($AL164*AS164,0)</f>
        <v>0</v>
      </c>
      <c r="AO164" s="33">
        <f t="shared" ref="AO164:AO180" si="235">ROUND($AL164*AT164,0)</f>
        <v>0</v>
      </c>
      <c r="AP164" s="33">
        <f t="shared" ref="AP164:AP180" si="236">ROUND($AL164*AU164,0)</f>
        <v>0</v>
      </c>
      <c r="AQ164" s="33">
        <f t="shared" ref="AQ164:AQ180" si="237">ROUND($AL164*AV164,0)</f>
        <v>0</v>
      </c>
      <c r="AR164" s="118"/>
      <c r="AS164" s="118"/>
      <c r="AT164" s="118"/>
      <c r="AU164" s="118"/>
      <c r="AV164" s="119"/>
      <c r="AX164" s="16">
        <v>620</v>
      </c>
      <c r="AY164" s="16">
        <v>620</v>
      </c>
    </row>
    <row r="165" spans="1:51">
      <c r="A165" s="109" t="s">
        <v>494</v>
      </c>
      <c r="B165" s="33"/>
      <c r="C165" s="33">
        <f t="shared" si="214"/>
        <v>0</v>
      </c>
      <c r="D165" s="33">
        <f t="shared" si="215"/>
        <v>0</v>
      </c>
      <c r="E165" s="33">
        <f t="shared" si="216"/>
        <v>0</v>
      </c>
      <c r="F165" s="33">
        <f t="shared" si="217"/>
        <v>0</v>
      </c>
      <c r="G165" s="33">
        <f t="shared" si="218"/>
        <v>0</v>
      </c>
      <c r="H165" s="120">
        <v>0</v>
      </c>
      <c r="I165" s="120">
        <v>0.16</v>
      </c>
      <c r="J165" s="120">
        <v>0.37</v>
      </c>
      <c r="K165" s="120">
        <v>0.42</v>
      </c>
      <c r="L165" s="121">
        <v>0.05</v>
      </c>
      <c r="M165" s="109" t="str">
        <f t="shared" si="219"/>
        <v>Cold End Simple</v>
      </c>
      <c r="N165" s="33">
        <v>350</v>
      </c>
      <c r="O165" s="33">
        <f t="shared" si="220"/>
        <v>25</v>
      </c>
      <c r="P165" s="33">
        <f t="shared" si="221"/>
        <v>50</v>
      </c>
      <c r="Q165" s="33">
        <f t="shared" si="222"/>
        <v>103</v>
      </c>
      <c r="R165" s="33">
        <f t="shared" si="223"/>
        <v>172</v>
      </c>
      <c r="S165" s="33">
        <f t="shared" si="224"/>
        <v>0</v>
      </c>
      <c r="T165" s="110">
        <v>7.1428571428571425E-2</v>
      </c>
      <c r="U165" s="110">
        <v>0.14285714285714279</v>
      </c>
      <c r="V165" s="110">
        <v>0.29428571428571432</v>
      </c>
      <c r="W165" s="110">
        <v>0.49142857142857138</v>
      </c>
      <c r="X165" s="111">
        <v>0</v>
      </c>
      <c r="Y165" s="109" t="str">
        <f t="shared" si="225"/>
        <v>Cold End Simple</v>
      </c>
      <c r="Z165" s="33">
        <f t="shared" si="226"/>
        <v>0</v>
      </c>
      <c r="AA165" s="33">
        <f t="shared" si="227"/>
        <v>0</v>
      </c>
      <c r="AB165" s="33">
        <f t="shared" si="228"/>
        <v>0</v>
      </c>
      <c r="AC165" s="33">
        <f t="shared" si="229"/>
        <v>0</v>
      </c>
      <c r="AD165" s="33">
        <f t="shared" si="230"/>
        <v>0</v>
      </c>
      <c r="AE165" s="33">
        <f t="shared" si="231"/>
        <v>0</v>
      </c>
      <c r="AF165" s="120">
        <v>0</v>
      </c>
      <c r="AG165" s="120">
        <v>0.16</v>
      </c>
      <c r="AH165" s="120">
        <v>0.37</v>
      </c>
      <c r="AI165" s="120">
        <v>0.42</v>
      </c>
      <c r="AJ165" s="121">
        <v>0.05</v>
      </c>
      <c r="AK165" s="109" t="str">
        <f t="shared" si="232"/>
        <v>Cold End Simple</v>
      </c>
      <c r="AL165" s="118"/>
      <c r="AM165" s="33">
        <f t="shared" si="233"/>
        <v>0</v>
      </c>
      <c r="AN165" s="33">
        <f t="shared" si="234"/>
        <v>0</v>
      </c>
      <c r="AO165" s="33">
        <f t="shared" si="235"/>
        <v>0</v>
      </c>
      <c r="AP165" s="33">
        <f t="shared" si="236"/>
        <v>0</v>
      </c>
      <c r="AQ165" s="33">
        <f t="shared" si="237"/>
        <v>0</v>
      </c>
      <c r="AR165" s="118"/>
      <c r="AS165" s="118"/>
      <c r="AT165" s="118"/>
      <c r="AU165" s="118"/>
      <c r="AV165" s="119"/>
      <c r="AX165" s="16">
        <v>200</v>
      </c>
      <c r="AY165" s="16">
        <v>200</v>
      </c>
    </row>
    <row r="166" spans="1:51">
      <c r="A166" s="109" t="s">
        <v>498</v>
      </c>
      <c r="B166" s="33"/>
      <c r="C166" s="33">
        <f t="shared" si="214"/>
        <v>0</v>
      </c>
      <c r="D166" s="33">
        <f t="shared" si="215"/>
        <v>0</v>
      </c>
      <c r="E166" s="33">
        <f t="shared" si="216"/>
        <v>0</v>
      </c>
      <c r="F166" s="33">
        <f t="shared" si="217"/>
        <v>0</v>
      </c>
      <c r="G166" s="33">
        <f t="shared" si="218"/>
        <v>0</v>
      </c>
      <c r="H166" s="120">
        <v>0</v>
      </c>
      <c r="I166" s="120">
        <v>0.16</v>
      </c>
      <c r="J166" s="120">
        <v>0.37</v>
      </c>
      <c r="K166" s="120">
        <v>0.42</v>
      </c>
      <c r="L166" s="121">
        <v>0.05</v>
      </c>
      <c r="M166" s="109" t="str">
        <f t="shared" si="219"/>
        <v>Diesel (DOC+DPF)</v>
      </c>
      <c r="N166" s="33">
        <v>430</v>
      </c>
      <c r="O166" s="33">
        <f t="shared" si="220"/>
        <v>86</v>
      </c>
      <c r="P166" s="33">
        <f t="shared" si="221"/>
        <v>95</v>
      </c>
      <c r="Q166" s="33">
        <f t="shared" si="222"/>
        <v>133</v>
      </c>
      <c r="R166" s="33">
        <f t="shared" si="223"/>
        <v>116</v>
      </c>
      <c r="S166" s="33">
        <f t="shared" si="224"/>
        <v>0</v>
      </c>
      <c r="T166" s="110">
        <v>0.2</v>
      </c>
      <c r="U166" s="110">
        <v>0.22093023255813951</v>
      </c>
      <c r="V166" s="110">
        <v>0.30930232558139542</v>
      </c>
      <c r="W166" s="110">
        <v>0.26976744186046508</v>
      </c>
      <c r="X166" s="111">
        <v>0</v>
      </c>
      <c r="Y166" s="109" t="str">
        <f t="shared" si="225"/>
        <v>Diesel (DOC+DPF)</v>
      </c>
      <c r="Z166" s="33">
        <f t="shared" si="226"/>
        <v>0</v>
      </c>
      <c r="AA166" s="33">
        <f t="shared" si="227"/>
        <v>0</v>
      </c>
      <c r="AB166" s="33">
        <f t="shared" si="228"/>
        <v>0</v>
      </c>
      <c r="AC166" s="33">
        <f t="shared" si="229"/>
        <v>0</v>
      </c>
      <c r="AD166" s="33">
        <f t="shared" si="230"/>
        <v>0</v>
      </c>
      <c r="AE166" s="33">
        <f t="shared" si="231"/>
        <v>0</v>
      </c>
      <c r="AF166" s="120">
        <v>0</v>
      </c>
      <c r="AG166" s="120">
        <v>0.16</v>
      </c>
      <c r="AH166" s="120">
        <v>0.37</v>
      </c>
      <c r="AI166" s="120">
        <v>0.42</v>
      </c>
      <c r="AJ166" s="121">
        <v>0.05</v>
      </c>
      <c r="AK166" s="109" t="str">
        <f t="shared" si="232"/>
        <v>Diesel (DOC+DPF)</v>
      </c>
      <c r="AL166" s="118"/>
      <c r="AM166" s="33">
        <f t="shared" si="233"/>
        <v>0</v>
      </c>
      <c r="AN166" s="33">
        <f t="shared" si="234"/>
        <v>0</v>
      </c>
      <c r="AO166" s="33">
        <f t="shared" si="235"/>
        <v>0</v>
      </c>
      <c r="AP166" s="33">
        <f t="shared" si="236"/>
        <v>0</v>
      </c>
      <c r="AQ166" s="33">
        <f t="shared" si="237"/>
        <v>0</v>
      </c>
      <c r="AR166" s="118"/>
      <c r="AS166" s="118"/>
      <c r="AT166" s="118"/>
      <c r="AU166" s="118"/>
      <c r="AV166" s="119"/>
      <c r="AX166" s="16">
        <v>370</v>
      </c>
      <c r="AY166" s="16">
        <v>370</v>
      </c>
    </row>
    <row r="167" spans="1:51" ht="37.5">
      <c r="A167" s="109" t="s">
        <v>500</v>
      </c>
      <c r="B167" s="33"/>
      <c r="C167" s="33">
        <f t="shared" si="214"/>
        <v>0</v>
      </c>
      <c r="D167" s="33">
        <f t="shared" si="215"/>
        <v>0</v>
      </c>
      <c r="E167" s="33">
        <f t="shared" si="216"/>
        <v>0</v>
      </c>
      <c r="F167" s="33">
        <f t="shared" si="217"/>
        <v>0</v>
      </c>
      <c r="G167" s="33">
        <f t="shared" si="218"/>
        <v>0</v>
      </c>
      <c r="H167" s="120">
        <v>0</v>
      </c>
      <c r="I167" s="120">
        <v>0.16</v>
      </c>
      <c r="J167" s="120">
        <v>0.37</v>
      </c>
      <c r="K167" s="120">
        <v>0.42</v>
      </c>
      <c r="L167" s="121">
        <v>0.05</v>
      </c>
      <c r="M167" s="109" t="str">
        <f t="shared" si="219"/>
        <v>Diesel (DOC+DPF+SCR) Underfloor (with underfloor mixer &amp; underfloor SCR)</v>
      </c>
      <c r="N167" s="33">
        <v>1066</v>
      </c>
      <c r="O167" s="33">
        <f t="shared" si="220"/>
        <v>216</v>
      </c>
      <c r="P167" s="33">
        <f t="shared" si="221"/>
        <v>240</v>
      </c>
      <c r="Q167" s="33">
        <f t="shared" si="222"/>
        <v>320</v>
      </c>
      <c r="R167" s="33">
        <f t="shared" si="223"/>
        <v>290</v>
      </c>
      <c r="S167" s="33">
        <f t="shared" si="224"/>
        <v>0</v>
      </c>
      <c r="T167" s="110">
        <v>0.20262664165103189</v>
      </c>
      <c r="U167" s="110">
        <v>0.22514071294559099</v>
      </c>
      <c r="V167" s="110">
        <v>0.30018761726078802</v>
      </c>
      <c r="W167" s="110">
        <v>0.27204502814258907</v>
      </c>
      <c r="X167" s="111">
        <v>0</v>
      </c>
      <c r="Y167" s="109" t="str">
        <f t="shared" si="225"/>
        <v>Diesel (DOC+DPF+SCR) Underfloor (with underfloor mixer &amp; underfloor SCR)</v>
      </c>
      <c r="Z167" s="33">
        <f t="shared" si="226"/>
        <v>0</v>
      </c>
      <c r="AA167" s="33">
        <f t="shared" si="227"/>
        <v>0</v>
      </c>
      <c r="AB167" s="33">
        <f t="shared" si="228"/>
        <v>0</v>
      </c>
      <c r="AC167" s="33">
        <f t="shared" si="229"/>
        <v>0</v>
      </c>
      <c r="AD167" s="33">
        <f t="shared" si="230"/>
        <v>0</v>
      </c>
      <c r="AE167" s="33">
        <f t="shared" si="231"/>
        <v>0</v>
      </c>
      <c r="AF167" s="120">
        <v>0</v>
      </c>
      <c r="AG167" s="120">
        <v>0.16</v>
      </c>
      <c r="AH167" s="120">
        <v>0.37</v>
      </c>
      <c r="AI167" s="120">
        <v>0.42</v>
      </c>
      <c r="AJ167" s="121">
        <v>0.05</v>
      </c>
      <c r="AK167" s="109" t="str">
        <f t="shared" si="232"/>
        <v>Diesel (DOC+DPF+SCR) Underfloor (with underfloor mixer &amp; underfloor SCR)</v>
      </c>
      <c r="AL167" s="118"/>
      <c r="AM167" s="33">
        <f t="shared" si="233"/>
        <v>0</v>
      </c>
      <c r="AN167" s="33">
        <f t="shared" si="234"/>
        <v>0</v>
      </c>
      <c r="AO167" s="33">
        <f t="shared" si="235"/>
        <v>0</v>
      </c>
      <c r="AP167" s="33">
        <f t="shared" si="236"/>
        <v>0</v>
      </c>
      <c r="AQ167" s="33">
        <f t="shared" si="237"/>
        <v>0</v>
      </c>
      <c r="AR167" s="118"/>
      <c r="AS167" s="118"/>
      <c r="AT167" s="118"/>
      <c r="AU167" s="118"/>
      <c r="AV167" s="119"/>
      <c r="AX167" s="16">
        <v>380</v>
      </c>
      <c r="AY167" s="16">
        <v>380</v>
      </c>
    </row>
    <row r="168" spans="1:51" ht="37.5">
      <c r="A168" s="109" t="s">
        <v>505</v>
      </c>
      <c r="B168" s="33"/>
      <c r="C168" s="33">
        <f t="shared" si="214"/>
        <v>0</v>
      </c>
      <c r="D168" s="33">
        <f t="shared" si="215"/>
        <v>0</v>
      </c>
      <c r="E168" s="33">
        <f t="shared" si="216"/>
        <v>0</v>
      </c>
      <c r="F168" s="33">
        <f t="shared" si="217"/>
        <v>0</v>
      </c>
      <c r="G168" s="33">
        <f t="shared" si="218"/>
        <v>0</v>
      </c>
      <c r="H168" s="120">
        <v>0</v>
      </c>
      <c r="I168" s="120">
        <v>0.16</v>
      </c>
      <c r="J168" s="120">
        <v>0.37</v>
      </c>
      <c r="K168" s="120">
        <v>0.42</v>
      </c>
      <c r="L168" s="121">
        <v>0.05</v>
      </c>
      <c r="M168" s="109" t="str">
        <f t="shared" si="219"/>
        <v>Diesel (DOC+SDPF) Compact (Compact mixer in CCC ex: U shape, Chistera...)</v>
      </c>
      <c r="N168" s="33">
        <v>1066</v>
      </c>
      <c r="O168" s="33">
        <f t="shared" si="220"/>
        <v>216</v>
      </c>
      <c r="P168" s="33">
        <f t="shared" si="221"/>
        <v>240</v>
      </c>
      <c r="Q168" s="33">
        <f t="shared" si="222"/>
        <v>320</v>
      </c>
      <c r="R168" s="33">
        <f t="shared" si="223"/>
        <v>290</v>
      </c>
      <c r="S168" s="33">
        <f t="shared" si="224"/>
        <v>0</v>
      </c>
      <c r="T168" s="110">
        <v>0.20262664165103189</v>
      </c>
      <c r="U168" s="110">
        <v>0.22514071294559099</v>
      </c>
      <c r="V168" s="110">
        <v>0.30018761726078802</v>
      </c>
      <c r="W168" s="110">
        <v>0.27204502814258907</v>
      </c>
      <c r="X168" s="111">
        <v>0</v>
      </c>
      <c r="Y168" s="109" t="str">
        <f t="shared" si="225"/>
        <v>Diesel (DOC+SDPF) Compact (Compact mixer in CCC ex: U shape, Chistera...)</v>
      </c>
      <c r="Z168" s="33">
        <f t="shared" si="226"/>
        <v>0</v>
      </c>
      <c r="AA168" s="33">
        <f t="shared" si="227"/>
        <v>0</v>
      </c>
      <c r="AB168" s="33">
        <f t="shared" si="228"/>
        <v>0</v>
      </c>
      <c r="AC168" s="33">
        <f t="shared" si="229"/>
        <v>0</v>
      </c>
      <c r="AD168" s="33">
        <f t="shared" si="230"/>
        <v>0</v>
      </c>
      <c r="AE168" s="33">
        <f t="shared" si="231"/>
        <v>0</v>
      </c>
      <c r="AF168" s="120">
        <v>0</v>
      </c>
      <c r="AG168" s="120">
        <v>0.16</v>
      </c>
      <c r="AH168" s="120">
        <v>0.37</v>
      </c>
      <c r="AI168" s="120">
        <v>0.42</v>
      </c>
      <c r="AJ168" s="121">
        <v>0.05</v>
      </c>
      <c r="AK168" s="109" t="str">
        <f t="shared" si="232"/>
        <v>Diesel (DOC+SDPF) Compact (Compact mixer in CCC ex: U shape, Chistera...)</v>
      </c>
      <c r="AL168" s="118"/>
      <c r="AM168" s="33">
        <f t="shared" si="233"/>
        <v>0</v>
      </c>
      <c r="AN168" s="33">
        <f t="shared" si="234"/>
        <v>0</v>
      </c>
      <c r="AO168" s="33">
        <f t="shared" si="235"/>
        <v>0</v>
      </c>
      <c r="AP168" s="33">
        <f t="shared" si="236"/>
        <v>0</v>
      </c>
      <c r="AQ168" s="33">
        <f t="shared" si="237"/>
        <v>0</v>
      </c>
      <c r="AR168" s="118"/>
      <c r="AS168" s="118"/>
      <c r="AT168" s="118"/>
      <c r="AU168" s="118"/>
      <c r="AV168" s="119"/>
      <c r="AX168" s="16">
        <v>400</v>
      </c>
      <c r="AY168" s="16">
        <v>400</v>
      </c>
    </row>
    <row r="169" spans="1:51">
      <c r="A169" s="109" t="s">
        <v>509</v>
      </c>
      <c r="B169" s="33"/>
      <c r="C169" s="33">
        <f t="shared" si="214"/>
        <v>0</v>
      </c>
      <c r="D169" s="33">
        <f t="shared" si="215"/>
        <v>0</v>
      </c>
      <c r="E169" s="33">
        <f t="shared" si="216"/>
        <v>0</v>
      </c>
      <c r="F169" s="33">
        <f t="shared" si="217"/>
        <v>0</v>
      </c>
      <c r="G169" s="33">
        <f t="shared" si="218"/>
        <v>0</v>
      </c>
      <c r="H169" s="120">
        <v>0</v>
      </c>
      <c r="I169" s="120">
        <v>0.16</v>
      </c>
      <c r="J169" s="120">
        <v>0.37</v>
      </c>
      <c r="K169" s="120">
        <v>0.42</v>
      </c>
      <c r="L169" s="121">
        <v>0.05</v>
      </c>
      <c r="M169" s="109" t="str">
        <f t="shared" si="219"/>
        <v>Manifold</v>
      </c>
      <c r="N169" s="33">
        <v>240</v>
      </c>
      <c r="O169" s="33">
        <f t="shared" si="220"/>
        <v>0</v>
      </c>
      <c r="P169" s="33">
        <f t="shared" si="221"/>
        <v>38</v>
      </c>
      <c r="Q169" s="33">
        <f t="shared" si="222"/>
        <v>89</v>
      </c>
      <c r="R169" s="33">
        <f t="shared" si="223"/>
        <v>101</v>
      </c>
      <c r="S169" s="33">
        <f t="shared" si="224"/>
        <v>12</v>
      </c>
      <c r="T169" s="110">
        <v>0</v>
      </c>
      <c r="U169" s="110">
        <v>0.16</v>
      </c>
      <c r="V169" s="110">
        <v>0.37</v>
      </c>
      <c r="W169" s="110">
        <v>0.42</v>
      </c>
      <c r="X169" s="111">
        <v>0.05</v>
      </c>
      <c r="Y169" s="109" t="str">
        <f t="shared" si="225"/>
        <v>Manifold</v>
      </c>
      <c r="Z169" s="33">
        <f t="shared" si="226"/>
        <v>0</v>
      </c>
      <c r="AA169" s="33">
        <f t="shared" si="227"/>
        <v>0</v>
      </c>
      <c r="AB169" s="33">
        <f t="shared" si="228"/>
        <v>0</v>
      </c>
      <c r="AC169" s="33">
        <f t="shared" si="229"/>
        <v>0</v>
      </c>
      <c r="AD169" s="33">
        <f t="shared" si="230"/>
        <v>0</v>
      </c>
      <c r="AE169" s="33">
        <f t="shared" si="231"/>
        <v>0</v>
      </c>
      <c r="AF169" s="120">
        <v>0</v>
      </c>
      <c r="AG169" s="120">
        <v>0.16</v>
      </c>
      <c r="AH169" s="120">
        <v>0.37</v>
      </c>
      <c r="AI169" s="120">
        <v>0.42</v>
      </c>
      <c r="AJ169" s="121">
        <v>0.05</v>
      </c>
      <c r="AK169" s="109" t="str">
        <f t="shared" si="232"/>
        <v>Manifold</v>
      </c>
      <c r="AL169" s="118"/>
      <c r="AM169" s="33">
        <f t="shared" si="233"/>
        <v>0</v>
      </c>
      <c r="AN169" s="33">
        <f t="shared" si="234"/>
        <v>0</v>
      </c>
      <c r="AO169" s="33">
        <f t="shared" si="235"/>
        <v>0</v>
      </c>
      <c r="AP169" s="33">
        <f t="shared" si="236"/>
        <v>0</v>
      </c>
      <c r="AQ169" s="33">
        <f t="shared" si="237"/>
        <v>0</v>
      </c>
      <c r="AR169" s="118"/>
      <c r="AS169" s="118"/>
      <c r="AT169" s="118"/>
      <c r="AU169" s="118"/>
      <c r="AV169" s="119"/>
      <c r="AX169" s="16">
        <v>240</v>
      </c>
      <c r="AY169" s="16">
        <v>240</v>
      </c>
    </row>
    <row r="170" spans="1:51">
      <c r="A170" s="109" t="s">
        <v>512</v>
      </c>
      <c r="B170" s="33"/>
      <c r="C170" s="33">
        <f t="shared" si="214"/>
        <v>0</v>
      </c>
      <c r="D170" s="33">
        <f t="shared" si="215"/>
        <v>0</v>
      </c>
      <c r="E170" s="33">
        <f t="shared" si="216"/>
        <v>0</v>
      </c>
      <c r="F170" s="33">
        <f t="shared" si="217"/>
        <v>0</v>
      </c>
      <c r="G170" s="33">
        <f t="shared" si="218"/>
        <v>0</v>
      </c>
      <c r="H170" s="120">
        <v>0</v>
      </c>
      <c r="I170" s="120">
        <v>0.16</v>
      </c>
      <c r="J170" s="120">
        <v>0.37</v>
      </c>
      <c r="K170" s="120">
        <v>0.42</v>
      </c>
      <c r="L170" s="121">
        <v>0.05</v>
      </c>
      <c r="M170" s="109" t="str">
        <f t="shared" si="219"/>
        <v xml:space="preserve">Maniverter </v>
      </c>
      <c r="N170" s="33">
        <v>430</v>
      </c>
      <c r="O170" s="33">
        <f t="shared" si="220"/>
        <v>86</v>
      </c>
      <c r="P170" s="33">
        <f t="shared" si="221"/>
        <v>95</v>
      </c>
      <c r="Q170" s="33">
        <f t="shared" si="222"/>
        <v>133</v>
      </c>
      <c r="R170" s="33">
        <f t="shared" si="223"/>
        <v>116</v>
      </c>
      <c r="S170" s="33">
        <f t="shared" si="224"/>
        <v>0</v>
      </c>
      <c r="T170" s="110">
        <v>0.2</v>
      </c>
      <c r="U170" s="110">
        <v>0.22093023255813951</v>
      </c>
      <c r="V170" s="110">
        <v>0.30930232558139542</v>
      </c>
      <c r="W170" s="110">
        <v>0.26976744186046508</v>
      </c>
      <c r="X170" s="111">
        <v>0</v>
      </c>
      <c r="Y170" s="109" t="str">
        <f t="shared" si="225"/>
        <v xml:space="preserve">Maniverter </v>
      </c>
      <c r="Z170" s="33">
        <f t="shared" si="226"/>
        <v>0</v>
      </c>
      <c r="AA170" s="33">
        <f t="shared" si="227"/>
        <v>0</v>
      </c>
      <c r="AB170" s="33">
        <f t="shared" si="228"/>
        <v>0</v>
      </c>
      <c r="AC170" s="33">
        <f t="shared" si="229"/>
        <v>0</v>
      </c>
      <c r="AD170" s="33">
        <f t="shared" si="230"/>
        <v>0</v>
      </c>
      <c r="AE170" s="33">
        <f t="shared" si="231"/>
        <v>0</v>
      </c>
      <c r="AF170" s="120">
        <v>0</v>
      </c>
      <c r="AG170" s="120">
        <v>0.16</v>
      </c>
      <c r="AH170" s="120">
        <v>0.37</v>
      </c>
      <c r="AI170" s="120">
        <v>0.42</v>
      </c>
      <c r="AJ170" s="121">
        <v>0.05</v>
      </c>
      <c r="AK170" s="109" t="str">
        <f t="shared" si="232"/>
        <v xml:space="preserve">Maniverter </v>
      </c>
      <c r="AL170" s="118"/>
      <c r="AM170" s="33">
        <f t="shared" si="233"/>
        <v>0</v>
      </c>
      <c r="AN170" s="33">
        <f t="shared" si="234"/>
        <v>0</v>
      </c>
      <c r="AO170" s="33">
        <f t="shared" si="235"/>
        <v>0</v>
      </c>
      <c r="AP170" s="33">
        <f t="shared" si="236"/>
        <v>0</v>
      </c>
      <c r="AQ170" s="33">
        <f t="shared" si="237"/>
        <v>0</v>
      </c>
      <c r="AR170" s="118"/>
      <c r="AS170" s="118"/>
      <c r="AT170" s="118"/>
      <c r="AU170" s="118"/>
      <c r="AV170" s="119"/>
      <c r="AX170" s="16">
        <v>280</v>
      </c>
      <c r="AY170" s="16">
        <v>280</v>
      </c>
    </row>
    <row r="171" spans="1:51">
      <c r="A171" s="109" t="s">
        <v>514</v>
      </c>
      <c r="B171" s="33"/>
      <c r="C171" s="33">
        <f t="shared" si="214"/>
        <v>0</v>
      </c>
      <c r="D171" s="33">
        <f t="shared" si="215"/>
        <v>0</v>
      </c>
      <c r="E171" s="33">
        <f t="shared" si="216"/>
        <v>0</v>
      </c>
      <c r="F171" s="33">
        <f t="shared" si="217"/>
        <v>0</v>
      </c>
      <c r="G171" s="33">
        <f t="shared" si="218"/>
        <v>0</v>
      </c>
      <c r="H171" s="120">
        <v>0</v>
      </c>
      <c r="I171" s="120">
        <v>0.16</v>
      </c>
      <c r="J171" s="120">
        <v>0.37</v>
      </c>
      <c r="K171" s="120">
        <v>0.42</v>
      </c>
      <c r="L171" s="121">
        <v>0.05</v>
      </c>
      <c r="M171" s="109" t="str">
        <f t="shared" si="219"/>
        <v>Turbo HE</v>
      </c>
      <c r="N171" s="33">
        <v>430</v>
      </c>
      <c r="O171" s="33">
        <f t="shared" si="220"/>
        <v>86</v>
      </c>
      <c r="P171" s="33">
        <f t="shared" si="221"/>
        <v>95</v>
      </c>
      <c r="Q171" s="33">
        <f t="shared" si="222"/>
        <v>133</v>
      </c>
      <c r="R171" s="33">
        <f t="shared" si="223"/>
        <v>116</v>
      </c>
      <c r="S171" s="33">
        <f t="shared" si="224"/>
        <v>0</v>
      </c>
      <c r="T171" s="110">
        <v>0.2</v>
      </c>
      <c r="U171" s="110">
        <v>0.22093023255813951</v>
      </c>
      <c r="V171" s="110">
        <v>0.30930232558139542</v>
      </c>
      <c r="W171" s="110">
        <v>0.26976744186046508</v>
      </c>
      <c r="X171" s="111">
        <v>0</v>
      </c>
      <c r="Y171" s="109" t="str">
        <f t="shared" si="225"/>
        <v>Turbo HE</v>
      </c>
      <c r="Z171" s="33">
        <f t="shared" si="226"/>
        <v>0</v>
      </c>
      <c r="AA171" s="33">
        <f t="shared" si="227"/>
        <v>0</v>
      </c>
      <c r="AB171" s="33">
        <f t="shared" si="228"/>
        <v>0</v>
      </c>
      <c r="AC171" s="33">
        <f t="shared" si="229"/>
        <v>0</v>
      </c>
      <c r="AD171" s="33">
        <f t="shared" si="230"/>
        <v>0</v>
      </c>
      <c r="AE171" s="33">
        <f t="shared" si="231"/>
        <v>0</v>
      </c>
      <c r="AF171" s="120">
        <v>0</v>
      </c>
      <c r="AG171" s="120">
        <v>0.16</v>
      </c>
      <c r="AH171" s="120">
        <v>0.37</v>
      </c>
      <c r="AI171" s="120">
        <v>0.42</v>
      </c>
      <c r="AJ171" s="121">
        <v>0.05</v>
      </c>
      <c r="AK171" s="109" t="str">
        <f t="shared" si="232"/>
        <v>Turbo HE</v>
      </c>
      <c r="AL171" s="118"/>
      <c r="AM171" s="33">
        <f t="shared" si="233"/>
        <v>0</v>
      </c>
      <c r="AN171" s="33">
        <f t="shared" si="234"/>
        <v>0</v>
      </c>
      <c r="AO171" s="33">
        <f t="shared" si="235"/>
        <v>0</v>
      </c>
      <c r="AP171" s="33">
        <f t="shared" si="236"/>
        <v>0</v>
      </c>
      <c r="AQ171" s="33">
        <f t="shared" si="237"/>
        <v>0</v>
      </c>
      <c r="AR171" s="118"/>
      <c r="AS171" s="118"/>
      <c r="AT171" s="118"/>
      <c r="AU171" s="118"/>
      <c r="AV171" s="119"/>
      <c r="AX171" s="16">
        <v>320</v>
      </c>
      <c r="AY171" s="16">
        <v>320</v>
      </c>
    </row>
    <row r="172" spans="1:51">
      <c r="A172" s="109" t="s">
        <v>516</v>
      </c>
      <c r="B172" s="33"/>
      <c r="C172" s="33">
        <f t="shared" si="214"/>
        <v>0</v>
      </c>
      <c r="D172" s="33">
        <f t="shared" si="215"/>
        <v>0</v>
      </c>
      <c r="E172" s="33">
        <f t="shared" si="216"/>
        <v>0</v>
      </c>
      <c r="F172" s="33">
        <f t="shared" si="217"/>
        <v>0</v>
      </c>
      <c r="G172" s="33">
        <f t="shared" si="218"/>
        <v>0</v>
      </c>
      <c r="H172" s="120">
        <v>0</v>
      </c>
      <c r="I172" s="120">
        <v>0.16</v>
      </c>
      <c r="J172" s="120">
        <v>0.37</v>
      </c>
      <c r="K172" s="120">
        <v>0.42</v>
      </c>
      <c r="L172" s="121">
        <v>0.05</v>
      </c>
      <c r="M172" s="109" t="str">
        <f t="shared" si="219"/>
        <v>Turbo HE + UCC</v>
      </c>
      <c r="N172" s="33">
        <v>731</v>
      </c>
      <c r="O172" s="33">
        <f t="shared" si="220"/>
        <v>146</v>
      </c>
      <c r="P172" s="33">
        <f t="shared" si="221"/>
        <v>162</v>
      </c>
      <c r="Q172" s="33">
        <f t="shared" si="222"/>
        <v>226</v>
      </c>
      <c r="R172" s="33">
        <f t="shared" si="223"/>
        <v>197</v>
      </c>
      <c r="S172" s="33">
        <f t="shared" si="224"/>
        <v>0</v>
      </c>
      <c r="T172" s="110">
        <v>0.2</v>
      </c>
      <c r="U172" s="110">
        <v>0.22093023255813951</v>
      </c>
      <c r="V172" s="110">
        <v>0.30930232558139542</v>
      </c>
      <c r="W172" s="110">
        <v>0.26976744186046508</v>
      </c>
      <c r="X172" s="111">
        <v>0</v>
      </c>
      <c r="Y172" s="109" t="str">
        <f t="shared" si="225"/>
        <v>Turbo HE + UCC</v>
      </c>
      <c r="Z172" s="33">
        <f t="shared" si="226"/>
        <v>0</v>
      </c>
      <c r="AA172" s="33">
        <f t="shared" si="227"/>
        <v>0</v>
      </c>
      <c r="AB172" s="33">
        <f t="shared" si="228"/>
        <v>0</v>
      </c>
      <c r="AC172" s="33">
        <f t="shared" si="229"/>
        <v>0</v>
      </c>
      <c r="AD172" s="33">
        <f t="shared" si="230"/>
        <v>0</v>
      </c>
      <c r="AE172" s="33">
        <f t="shared" si="231"/>
        <v>0</v>
      </c>
      <c r="AF172" s="120">
        <v>0</v>
      </c>
      <c r="AG172" s="120">
        <v>0.16</v>
      </c>
      <c r="AH172" s="120">
        <v>0.37</v>
      </c>
      <c r="AI172" s="120">
        <v>0.42</v>
      </c>
      <c r="AJ172" s="121">
        <v>0.05</v>
      </c>
      <c r="AK172" s="109" t="str">
        <f t="shared" si="232"/>
        <v>Turbo HE + UCC</v>
      </c>
      <c r="AL172" s="118"/>
      <c r="AM172" s="33">
        <f t="shared" si="233"/>
        <v>0</v>
      </c>
      <c r="AN172" s="33">
        <f t="shared" si="234"/>
        <v>0</v>
      </c>
      <c r="AO172" s="33">
        <f t="shared" si="235"/>
        <v>0</v>
      </c>
      <c r="AP172" s="33">
        <f t="shared" si="236"/>
        <v>0</v>
      </c>
      <c r="AQ172" s="33">
        <f t="shared" si="237"/>
        <v>0</v>
      </c>
      <c r="AR172" s="118"/>
      <c r="AS172" s="118"/>
      <c r="AT172" s="118"/>
      <c r="AU172" s="118"/>
      <c r="AV172" s="119"/>
      <c r="AX172" s="16">
        <v>320</v>
      </c>
      <c r="AY172" s="16">
        <v>320</v>
      </c>
    </row>
    <row r="173" spans="1:51">
      <c r="A173" s="109" t="s">
        <v>518</v>
      </c>
      <c r="B173" s="33"/>
      <c r="C173" s="33">
        <f t="shared" si="214"/>
        <v>0</v>
      </c>
      <c r="D173" s="33">
        <f t="shared" si="215"/>
        <v>0</v>
      </c>
      <c r="E173" s="33">
        <f t="shared" si="216"/>
        <v>0</v>
      </c>
      <c r="F173" s="33">
        <f t="shared" si="217"/>
        <v>0</v>
      </c>
      <c r="G173" s="33">
        <f t="shared" si="218"/>
        <v>0</v>
      </c>
      <c r="H173" s="120">
        <v>0</v>
      </c>
      <c r="I173" s="120">
        <v>0.16</v>
      </c>
      <c r="J173" s="120">
        <v>0.37</v>
      </c>
      <c r="K173" s="120">
        <v>0.42</v>
      </c>
      <c r="L173" s="121">
        <v>0.05</v>
      </c>
      <c r="M173" s="109" t="str">
        <f t="shared" si="219"/>
        <v>UCC</v>
      </c>
      <c r="N173" s="33">
        <v>301</v>
      </c>
      <c r="O173" s="33">
        <f t="shared" si="220"/>
        <v>60</v>
      </c>
      <c r="P173" s="33">
        <f t="shared" si="221"/>
        <v>67</v>
      </c>
      <c r="Q173" s="33">
        <f t="shared" si="222"/>
        <v>93</v>
      </c>
      <c r="R173" s="33">
        <f t="shared" si="223"/>
        <v>81</v>
      </c>
      <c r="S173" s="33">
        <f t="shared" si="224"/>
        <v>0</v>
      </c>
      <c r="T173" s="110">
        <v>0.1993355481727575</v>
      </c>
      <c r="U173" s="110">
        <v>0.22259136212624581</v>
      </c>
      <c r="V173" s="110">
        <v>0.30897009966777411</v>
      </c>
      <c r="W173" s="110">
        <v>0.26910299003322258</v>
      </c>
      <c r="X173" s="111">
        <v>0</v>
      </c>
      <c r="Y173" s="109" t="str">
        <f t="shared" si="225"/>
        <v>UCC</v>
      </c>
      <c r="Z173" s="33">
        <f t="shared" si="226"/>
        <v>0</v>
      </c>
      <c r="AA173" s="33">
        <f t="shared" si="227"/>
        <v>0</v>
      </c>
      <c r="AB173" s="33">
        <f t="shared" si="228"/>
        <v>0</v>
      </c>
      <c r="AC173" s="33">
        <f t="shared" si="229"/>
        <v>0</v>
      </c>
      <c r="AD173" s="33">
        <f t="shared" si="230"/>
        <v>0</v>
      </c>
      <c r="AE173" s="33">
        <f t="shared" si="231"/>
        <v>0</v>
      </c>
      <c r="AF173" s="120">
        <v>0</v>
      </c>
      <c r="AG173" s="120">
        <v>0.16</v>
      </c>
      <c r="AH173" s="120">
        <v>0.37</v>
      </c>
      <c r="AI173" s="120">
        <v>0.42</v>
      </c>
      <c r="AJ173" s="121">
        <v>0.05</v>
      </c>
      <c r="AK173" s="109" t="str">
        <f t="shared" si="232"/>
        <v>UCC</v>
      </c>
      <c r="AL173" s="118"/>
      <c r="AM173" s="33">
        <f t="shared" si="233"/>
        <v>0</v>
      </c>
      <c r="AN173" s="33">
        <f t="shared" si="234"/>
        <v>0</v>
      </c>
      <c r="AO173" s="33">
        <f t="shared" si="235"/>
        <v>0</v>
      </c>
      <c r="AP173" s="33">
        <f t="shared" si="236"/>
        <v>0</v>
      </c>
      <c r="AQ173" s="33">
        <f t="shared" si="237"/>
        <v>0</v>
      </c>
      <c r="AR173" s="118"/>
      <c r="AS173" s="118"/>
      <c r="AT173" s="118"/>
      <c r="AU173" s="118"/>
      <c r="AV173" s="119"/>
      <c r="AX173" s="16">
        <v>320</v>
      </c>
      <c r="AY173" s="16">
        <v>320</v>
      </c>
    </row>
    <row r="174" spans="1:51">
      <c r="A174" s="109" t="s">
        <v>520</v>
      </c>
      <c r="B174" s="33"/>
      <c r="C174" s="33">
        <f t="shared" si="214"/>
        <v>0</v>
      </c>
      <c r="D174" s="33">
        <f t="shared" si="215"/>
        <v>0</v>
      </c>
      <c r="E174" s="33">
        <f t="shared" si="216"/>
        <v>0</v>
      </c>
      <c r="F174" s="33">
        <f t="shared" si="217"/>
        <v>0</v>
      </c>
      <c r="G174" s="33">
        <f t="shared" si="218"/>
        <v>0</v>
      </c>
      <c r="H174" s="120">
        <v>0</v>
      </c>
      <c r="I174" s="120">
        <v>0.16</v>
      </c>
      <c r="J174" s="120">
        <v>0.37</v>
      </c>
      <c r="K174" s="120">
        <v>0.42</v>
      </c>
      <c r="L174" s="121">
        <v>0.05</v>
      </c>
      <c r="M174" s="109" t="str">
        <f t="shared" si="219"/>
        <v>Box</v>
      </c>
      <c r="N174" s="33">
        <v>450</v>
      </c>
      <c r="O174" s="33">
        <f t="shared" si="220"/>
        <v>0</v>
      </c>
      <c r="P174" s="33">
        <f t="shared" si="221"/>
        <v>72</v>
      </c>
      <c r="Q174" s="33">
        <f t="shared" si="222"/>
        <v>167</v>
      </c>
      <c r="R174" s="33">
        <f t="shared" si="223"/>
        <v>189</v>
      </c>
      <c r="S174" s="33">
        <f t="shared" si="224"/>
        <v>23</v>
      </c>
      <c r="T174" s="110">
        <v>0</v>
      </c>
      <c r="U174" s="110">
        <v>0.16</v>
      </c>
      <c r="V174" s="110">
        <v>0.37</v>
      </c>
      <c r="W174" s="110">
        <v>0.42</v>
      </c>
      <c r="X174" s="111">
        <v>0.05</v>
      </c>
      <c r="Y174" s="109" t="str">
        <f t="shared" si="225"/>
        <v>Box</v>
      </c>
      <c r="Z174" s="33">
        <f t="shared" si="226"/>
        <v>0</v>
      </c>
      <c r="AA174" s="33">
        <f t="shared" si="227"/>
        <v>0</v>
      </c>
      <c r="AB174" s="33">
        <f t="shared" si="228"/>
        <v>0</v>
      </c>
      <c r="AC174" s="33">
        <f t="shared" si="229"/>
        <v>0</v>
      </c>
      <c r="AD174" s="33">
        <f t="shared" si="230"/>
        <v>0</v>
      </c>
      <c r="AE174" s="33">
        <f t="shared" si="231"/>
        <v>0</v>
      </c>
      <c r="AF174" s="110">
        <v>0</v>
      </c>
      <c r="AG174" s="110">
        <v>0.16</v>
      </c>
      <c r="AH174" s="110">
        <v>0.37</v>
      </c>
      <c r="AI174" s="110">
        <v>0.42</v>
      </c>
      <c r="AJ174" s="111">
        <v>0.05</v>
      </c>
      <c r="AK174" s="109" t="str">
        <f t="shared" si="232"/>
        <v>Box</v>
      </c>
      <c r="AL174" s="33">
        <v>450</v>
      </c>
      <c r="AM174" s="33">
        <f t="shared" si="233"/>
        <v>0</v>
      </c>
      <c r="AN174" s="33">
        <f t="shared" si="234"/>
        <v>72</v>
      </c>
      <c r="AO174" s="33">
        <f t="shared" si="235"/>
        <v>167</v>
      </c>
      <c r="AP174" s="33">
        <f t="shared" si="236"/>
        <v>189</v>
      </c>
      <c r="AQ174" s="33">
        <f t="shared" si="237"/>
        <v>23</v>
      </c>
      <c r="AR174" s="110">
        <v>0</v>
      </c>
      <c r="AS174" s="110">
        <v>0.16</v>
      </c>
      <c r="AT174" s="110">
        <v>0.37</v>
      </c>
      <c r="AU174" s="110">
        <v>0.42</v>
      </c>
      <c r="AV174" s="111">
        <v>0.05</v>
      </c>
      <c r="AX174" s="16">
        <v>450</v>
      </c>
      <c r="AY174" s="16">
        <v>450</v>
      </c>
    </row>
    <row r="175" spans="1:51">
      <c r="A175" s="109" t="s">
        <v>523</v>
      </c>
      <c r="B175" s="33"/>
      <c r="C175" s="33">
        <f t="shared" si="214"/>
        <v>0</v>
      </c>
      <c r="D175" s="33">
        <f t="shared" si="215"/>
        <v>0</v>
      </c>
      <c r="E175" s="33">
        <f t="shared" si="216"/>
        <v>0</v>
      </c>
      <c r="F175" s="33">
        <f t="shared" si="217"/>
        <v>0</v>
      </c>
      <c r="G175" s="33">
        <f t="shared" si="218"/>
        <v>0</v>
      </c>
      <c r="H175" s="120">
        <v>0</v>
      </c>
      <c r="I175" s="120">
        <v>0.16</v>
      </c>
      <c r="J175" s="120">
        <v>0.37</v>
      </c>
      <c r="K175" s="120">
        <v>0.42</v>
      </c>
      <c r="L175" s="121">
        <v>0.05</v>
      </c>
      <c r="M175" s="109" t="str">
        <f t="shared" si="219"/>
        <v>Decomposition pipe</v>
      </c>
      <c r="N175" s="33">
        <v>150</v>
      </c>
      <c r="O175" s="33">
        <f t="shared" si="220"/>
        <v>0</v>
      </c>
      <c r="P175" s="33">
        <f t="shared" si="221"/>
        <v>24</v>
      </c>
      <c r="Q175" s="33">
        <f t="shared" si="222"/>
        <v>56</v>
      </c>
      <c r="R175" s="33">
        <f t="shared" si="223"/>
        <v>63</v>
      </c>
      <c r="S175" s="33">
        <f t="shared" si="224"/>
        <v>8</v>
      </c>
      <c r="T175" s="110">
        <v>0</v>
      </c>
      <c r="U175" s="110">
        <v>0.16</v>
      </c>
      <c r="V175" s="110">
        <v>0.37</v>
      </c>
      <c r="W175" s="110">
        <v>0.42</v>
      </c>
      <c r="X175" s="111">
        <v>0.05</v>
      </c>
      <c r="Y175" s="109" t="str">
        <f t="shared" si="225"/>
        <v>Decomposition pipe</v>
      </c>
      <c r="Z175" s="33">
        <f t="shared" si="226"/>
        <v>0</v>
      </c>
      <c r="AA175" s="33">
        <f t="shared" si="227"/>
        <v>0</v>
      </c>
      <c r="AB175" s="33">
        <f t="shared" si="228"/>
        <v>0</v>
      </c>
      <c r="AC175" s="33">
        <f t="shared" si="229"/>
        <v>0</v>
      </c>
      <c r="AD175" s="33">
        <f t="shared" si="230"/>
        <v>0</v>
      </c>
      <c r="AE175" s="33">
        <f t="shared" si="231"/>
        <v>0</v>
      </c>
      <c r="AF175" s="110">
        <v>0</v>
      </c>
      <c r="AG175" s="110">
        <v>0.16</v>
      </c>
      <c r="AH175" s="110">
        <v>0.37</v>
      </c>
      <c r="AI175" s="110">
        <v>0.42</v>
      </c>
      <c r="AJ175" s="111">
        <v>0.05</v>
      </c>
      <c r="AK175" s="109" t="str">
        <f t="shared" si="232"/>
        <v>Decomposition pipe</v>
      </c>
      <c r="AL175" s="33">
        <v>150</v>
      </c>
      <c r="AM175" s="33">
        <f t="shared" si="233"/>
        <v>0</v>
      </c>
      <c r="AN175" s="33">
        <f t="shared" si="234"/>
        <v>24</v>
      </c>
      <c r="AO175" s="33">
        <f t="shared" si="235"/>
        <v>56</v>
      </c>
      <c r="AP175" s="33">
        <f t="shared" si="236"/>
        <v>63</v>
      </c>
      <c r="AQ175" s="33">
        <f t="shared" si="237"/>
        <v>8</v>
      </c>
      <c r="AR175" s="110">
        <v>0</v>
      </c>
      <c r="AS175" s="110">
        <v>0.16</v>
      </c>
      <c r="AT175" s="110">
        <v>0.37</v>
      </c>
      <c r="AU175" s="110">
        <v>0.42</v>
      </c>
      <c r="AV175" s="111">
        <v>0.05</v>
      </c>
      <c r="AX175" s="16">
        <v>150</v>
      </c>
      <c r="AY175" s="16">
        <v>150</v>
      </c>
    </row>
    <row r="176" spans="1:51">
      <c r="A176" s="109" t="s">
        <v>524</v>
      </c>
      <c r="B176" s="33"/>
      <c r="C176" s="33">
        <f t="shared" si="214"/>
        <v>0</v>
      </c>
      <c r="D176" s="33">
        <f t="shared" si="215"/>
        <v>0</v>
      </c>
      <c r="E176" s="33">
        <f t="shared" si="216"/>
        <v>0</v>
      </c>
      <c r="F176" s="33">
        <f t="shared" si="217"/>
        <v>0</v>
      </c>
      <c r="G176" s="33">
        <f t="shared" si="218"/>
        <v>0</v>
      </c>
      <c r="H176" s="120">
        <v>0</v>
      </c>
      <c r="I176" s="120">
        <v>0.16</v>
      </c>
      <c r="J176" s="120">
        <v>0.37</v>
      </c>
      <c r="K176" s="120">
        <v>0.42</v>
      </c>
      <c r="L176" s="121">
        <v>0.05</v>
      </c>
      <c r="M176" s="109" t="str">
        <f t="shared" si="219"/>
        <v>Inline</v>
      </c>
      <c r="N176" s="33">
        <v>500</v>
      </c>
      <c r="O176" s="33">
        <f t="shared" si="220"/>
        <v>0</v>
      </c>
      <c r="P176" s="33">
        <f t="shared" si="221"/>
        <v>80</v>
      </c>
      <c r="Q176" s="33">
        <f t="shared" si="222"/>
        <v>185</v>
      </c>
      <c r="R176" s="33">
        <f t="shared" si="223"/>
        <v>210</v>
      </c>
      <c r="S176" s="33">
        <f t="shared" si="224"/>
        <v>25</v>
      </c>
      <c r="T176" s="110">
        <v>0</v>
      </c>
      <c r="U176" s="110">
        <v>0.16</v>
      </c>
      <c r="V176" s="110">
        <v>0.37</v>
      </c>
      <c r="W176" s="110">
        <v>0.42</v>
      </c>
      <c r="X176" s="111">
        <v>0.05</v>
      </c>
      <c r="Y176" s="109" t="str">
        <f t="shared" si="225"/>
        <v>Inline</v>
      </c>
      <c r="Z176" s="33">
        <f t="shared" si="226"/>
        <v>0</v>
      </c>
      <c r="AA176" s="33">
        <f t="shared" si="227"/>
        <v>0</v>
      </c>
      <c r="AB176" s="33">
        <f t="shared" si="228"/>
        <v>0</v>
      </c>
      <c r="AC176" s="33">
        <f t="shared" si="229"/>
        <v>0</v>
      </c>
      <c r="AD176" s="33">
        <f t="shared" si="230"/>
        <v>0</v>
      </c>
      <c r="AE176" s="33">
        <f t="shared" si="231"/>
        <v>0</v>
      </c>
      <c r="AF176" s="110">
        <v>0</v>
      </c>
      <c r="AG176" s="110">
        <v>0.16</v>
      </c>
      <c r="AH176" s="110">
        <v>0.37</v>
      </c>
      <c r="AI176" s="110">
        <v>0.42</v>
      </c>
      <c r="AJ176" s="111">
        <v>0.05</v>
      </c>
      <c r="AK176" s="109" t="str">
        <f t="shared" si="232"/>
        <v>Inline</v>
      </c>
      <c r="AL176" s="33">
        <v>500</v>
      </c>
      <c r="AM176" s="33">
        <f t="shared" si="233"/>
        <v>0</v>
      </c>
      <c r="AN176" s="33">
        <f t="shared" si="234"/>
        <v>80</v>
      </c>
      <c r="AO176" s="33">
        <f t="shared" si="235"/>
        <v>185</v>
      </c>
      <c r="AP176" s="33">
        <f t="shared" si="236"/>
        <v>210</v>
      </c>
      <c r="AQ176" s="33">
        <f t="shared" si="237"/>
        <v>25</v>
      </c>
      <c r="AR176" s="110">
        <v>0</v>
      </c>
      <c r="AS176" s="110">
        <v>0.16</v>
      </c>
      <c r="AT176" s="110">
        <v>0.37</v>
      </c>
      <c r="AU176" s="110">
        <v>0.42</v>
      </c>
      <c r="AV176" s="111">
        <v>0.05</v>
      </c>
      <c r="AX176" s="16">
        <v>500</v>
      </c>
      <c r="AY176" s="16">
        <v>500</v>
      </c>
    </row>
    <row r="177" spans="1:51">
      <c r="A177" s="109" t="s">
        <v>526</v>
      </c>
      <c r="B177" s="33"/>
      <c r="C177" s="33">
        <f t="shared" si="214"/>
        <v>0</v>
      </c>
      <c r="D177" s="33">
        <f t="shared" si="215"/>
        <v>0</v>
      </c>
      <c r="E177" s="33">
        <f t="shared" si="216"/>
        <v>0</v>
      </c>
      <c r="F177" s="33">
        <f t="shared" si="217"/>
        <v>0</v>
      </c>
      <c r="G177" s="33">
        <f t="shared" si="218"/>
        <v>0</v>
      </c>
      <c r="H177" s="120">
        <v>0</v>
      </c>
      <c r="I177" s="120">
        <v>0.16</v>
      </c>
      <c r="J177" s="120">
        <v>0.37</v>
      </c>
      <c r="K177" s="120">
        <v>0.42</v>
      </c>
      <c r="L177" s="121">
        <v>0.05</v>
      </c>
      <c r="M177" s="109" t="str">
        <f t="shared" si="219"/>
        <v>Compact Mixer</v>
      </c>
      <c r="N177" s="33">
        <v>150</v>
      </c>
      <c r="O177" s="33">
        <f t="shared" si="220"/>
        <v>0</v>
      </c>
      <c r="P177" s="33">
        <f t="shared" si="221"/>
        <v>24</v>
      </c>
      <c r="Q177" s="33">
        <f t="shared" si="222"/>
        <v>56</v>
      </c>
      <c r="R177" s="33">
        <f t="shared" si="223"/>
        <v>63</v>
      </c>
      <c r="S177" s="33">
        <f t="shared" si="224"/>
        <v>8</v>
      </c>
      <c r="T177" s="110">
        <v>0</v>
      </c>
      <c r="U177" s="110">
        <v>0.16</v>
      </c>
      <c r="V177" s="110">
        <v>0.37</v>
      </c>
      <c r="W177" s="110">
        <v>0.42</v>
      </c>
      <c r="X177" s="111">
        <v>0.05</v>
      </c>
      <c r="Y177" s="109" t="str">
        <f t="shared" si="225"/>
        <v>Compact Mixer</v>
      </c>
      <c r="Z177" s="33">
        <f t="shared" si="226"/>
        <v>0</v>
      </c>
      <c r="AA177" s="33">
        <f t="shared" si="227"/>
        <v>0</v>
      </c>
      <c r="AB177" s="33">
        <f t="shared" si="228"/>
        <v>0</v>
      </c>
      <c r="AC177" s="33">
        <f t="shared" si="229"/>
        <v>0</v>
      </c>
      <c r="AD177" s="33">
        <f t="shared" si="230"/>
        <v>0</v>
      </c>
      <c r="AE177" s="33">
        <f t="shared" si="231"/>
        <v>0</v>
      </c>
      <c r="AF177" s="110">
        <v>0</v>
      </c>
      <c r="AG177" s="110">
        <v>0.16</v>
      </c>
      <c r="AH177" s="110">
        <v>0.37</v>
      </c>
      <c r="AI177" s="110">
        <v>0.42</v>
      </c>
      <c r="AJ177" s="111">
        <v>0.05</v>
      </c>
      <c r="AK177" s="109" t="str">
        <f t="shared" si="232"/>
        <v>Compact Mixer</v>
      </c>
      <c r="AL177" s="33">
        <v>150</v>
      </c>
      <c r="AM177" s="33">
        <f t="shared" si="233"/>
        <v>0</v>
      </c>
      <c r="AN177" s="33">
        <f t="shared" si="234"/>
        <v>24</v>
      </c>
      <c r="AO177" s="33">
        <f t="shared" si="235"/>
        <v>56</v>
      </c>
      <c r="AP177" s="33">
        <f t="shared" si="236"/>
        <v>63</v>
      </c>
      <c r="AQ177" s="33">
        <f t="shared" si="237"/>
        <v>8</v>
      </c>
      <c r="AR177" s="110">
        <v>0</v>
      </c>
      <c r="AS177" s="110">
        <v>0.16</v>
      </c>
      <c r="AT177" s="110">
        <v>0.37</v>
      </c>
      <c r="AU177" s="110">
        <v>0.42</v>
      </c>
      <c r="AV177" s="111">
        <v>0.05</v>
      </c>
      <c r="AX177" s="16">
        <v>150</v>
      </c>
      <c r="AY177" s="16">
        <v>150</v>
      </c>
    </row>
    <row r="178" spans="1:51">
      <c r="A178" s="109" t="s">
        <v>528</v>
      </c>
      <c r="B178" s="33"/>
      <c r="C178" s="33">
        <f t="shared" si="214"/>
        <v>0</v>
      </c>
      <c r="D178" s="33">
        <f t="shared" si="215"/>
        <v>0</v>
      </c>
      <c r="E178" s="33">
        <f t="shared" si="216"/>
        <v>0</v>
      </c>
      <c r="F178" s="33">
        <f t="shared" si="217"/>
        <v>0</v>
      </c>
      <c r="G178" s="33">
        <f t="shared" si="218"/>
        <v>0</v>
      </c>
      <c r="H178" s="120">
        <v>0</v>
      </c>
      <c r="I178" s="120">
        <v>0.16</v>
      </c>
      <c r="J178" s="120">
        <v>0.37</v>
      </c>
      <c r="K178" s="120">
        <v>0.42</v>
      </c>
      <c r="L178" s="121">
        <v>0.05</v>
      </c>
      <c r="M178" s="109" t="str">
        <f t="shared" si="219"/>
        <v>Switch back</v>
      </c>
      <c r="N178" s="33">
        <v>500</v>
      </c>
      <c r="O178" s="33">
        <f t="shared" si="220"/>
        <v>0</v>
      </c>
      <c r="P178" s="33">
        <f t="shared" si="221"/>
        <v>80</v>
      </c>
      <c r="Q178" s="33">
        <f t="shared" si="222"/>
        <v>185</v>
      </c>
      <c r="R178" s="33">
        <f t="shared" si="223"/>
        <v>210</v>
      </c>
      <c r="S178" s="33">
        <f t="shared" si="224"/>
        <v>25</v>
      </c>
      <c r="T178" s="110">
        <v>0</v>
      </c>
      <c r="U178" s="110">
        <v>0.16</v>
      </c>
      <c r="V178" s="110">
        <v>0.37</v>
      </c>
      <c r="W178" s="110">
        <v>0.42</v>
      </c>
      <c r="X178" s="111">
        <v>0.05</v>
      </c>
      <c r="Y178" s="109" t="str">
        <f t="shared" si="225"/>
        <v>Switch back</v>
      </c>
      <c r="Z178" s="33">
        <f t="shared" si="226"/>
        <v>0</v>
      </c>
      <c r="AA178" s="33">
        <f t="shared" si="227"/>
        <v>0</v>
      </c>
      <c r="AB178" s="33">
        <f t="shared" si="228"/>
        <v>0</v>
      </c>
      <c r="AC178" s="33">
        <f t="shared" si="229"/>
        <v>0</v>
      </c>
      <c r="AD178" s="33">
        <f t="shared" si="230"/>
        <v>0</v>
      </c>
      <c r="AE178" s="33">
        <f t="shared" si="231"/>
        <v>0</v>
      </c>
      <c r="AF178" s="110">
        <v>0</v>
      </c>
      <c r="AG178" s="110">
        <v>0.16</v>
      </c>
      <c r="AH178" s="110">
        <v>0.37</v>
      </c>
      <c r="AI178" s="110">
        <v>0.42</v>
      </c>
      <c r="AJ178" s="111">
        <v>0.05</v>
      </c>
      <c r="AK178" s="109" t="str">
        <f t="shared" si="232"/>
        <v>Switch back</v>
      </c>
      <c r="AL178" s="33">
        <v>500</v>
      </c>
      <c r="AM178" s="33">
        <f t="shared" si="233"/>
        <v>0</v>
      </c>
      <c r="AN178" s="33">
        <f t="shared" si="234"/>
        <v>80</v>
      </c>
      <c r="AO178" s="33">
        <f t="shared" si="235"/>
        <v>185</v>
      </c>
      <c r="AP178" s="33">
        <f t="shared" si="236"/>
        <v>210</v>
      </c>
      <c r="AQ178" s="33">
        <f t="shared" si="237"/>
        <v>25</v>
      </c>
      <c r="AR178" s="110">
        <v>0</v>
      </c>
      <c r="AS178" s="110">
        <v>0.16</v>
      </c>
      <c r="AT178" s="110">
        <v>0.37</v>
      </c>
      <c r="AU178" s="110">
        <v>0.42</v>
      </c>
      <c r="AV178" s="111">
        <v>0.05</v>
      </c>
      <c r="AX178" s="16">
        <v>500</v>
      </c>
      <c r="AY178" s="16">
        <v>500</v>
      </c>
    </row>
    <row r="179" spans="1:51">
      <c r="A179" s="109" t="s">
        <v>531</v>
      </c>
      <c r="B179" s="33"/>
      <c r="C179" s="33">
        <f t="shared" si="214"/>
        <v>0</v>
      </c>
      <c r="D179" s="33">
        <f t="shared" si="215"/>
        <v>0</v>
      </c>
      <c r="E179" s="33">
        <f t="shared" si="216"/>
        <v>0</v>
      </c>
      <c r="F179" s="33">
        <f t="shared" si="217"/>
        <v>0</v>
      </c>
      <c r="G179" s="33">
        <f t="shared" si="218"/>
        <v>0</v>
      </c>
      <c r="H179" s="120">
        <v>0</v>
      </c>
      <c r="I179" s="120">
        <v>0.16</v>
      </c>
      <c r="J179" s="120">
        <v>0.37</v>
      </c>
      <c r="K179" s="120">
        <v>0.42</v>
      </c>
      <c r="L179" s="121">
        <v>0.05</v>
      </c>
      <c r="M179" s="109" t="str">
        <f t="shared" si="219"/>
        <v>U-Mixer</v>
      </c>
      <c r="N179" s="33">
        <v>150</v>
      </c>
      <c r="O179" s="33">
        <f t="shared" si="220"/>
        <v>0</v>
      </c>
      <c r="P179" s="33">
        <f t="shared" si="221"/>
        <v>24</v>
      </c>
      <c r="Q179" s="33">
        <f t="shared" si="222"/>
        <v>56</v>
      </c>
      <c r="R179" s="33">
        <f t="shared" si="223"/>
        <v>63</v>
      </c>
      <c r="S179" s="33">
        <f t="shared" si="224"/>
        <v>8</v>
      </c>
      <c r="T179" s="110">
        <v>0</v>
      </c>
      <c r="U179" s="110">
        <v>0.16</v>
      </c>
      <c r="V179" s="110">
        <v>0.37</v>
      </c>
      <c r="W179" s="110">
        <v>0.42</v>
      </c>
      <c r="X179" s="111">
        <v>0.05</v>
      </c>
      <c r="Y179" s="109" t="str">
        <f t="shared" si="225"/>
        <v>U-Mixer</v>
      </c>
      <c r="Z179" s="33">
        <f t="shared" si="226"/>
        <v>0</v>
      </c>
      <c r="AA179" s="33">
        <f t="shared" si="227"/>
        <v>0</v>
      </c>
      <c r="AB179" s="33">
        <f t="shared" si="228"/>
        <v>0</v>
      </c>
      <c r="AC179" s="33">
        <f t="shared" si="229"/>
        <v>0</v>
      </c>
      <c r="AD179" s="33">
        <f t="shared" si="230"/>
        <v>0</v>
      </c>
      <c r="AE179" s="33">
        <f t="shared" si="231"/>
        <v>0</v>
      </c>
      <c r="AF179" s="110">
        <v>0</v>
      </c>
      <c r="AG179" s="110">
        <v>0.16</v>
      </c>
      <c r="AH179" s="110">
        <v>0.37</v>
      </c>
      <c r="AI179" s="110">
        <v>0.42</v>
      </c>
      <c r="AJ179" s="111">
        <v>0.05</v>
      </c>
      <c r="AK179" s="109" t="str">
        <f t="shared" si="232"/>
        <v>U-Mixer</v>
      </c>
      <c r="AL179" s="33">
        <v>150</v>
      </c>
      <c r="AM179" s="33">
        <f t="shared" si="233"/>
        <v>0</v>
      </c>
      <c r="AN179" s="33">
        <f t="shared" si="234"/>
        <v>24</v>
      </c>
      <c r="AO179" s="33">
        <f t="shared" si="235"/>
        <v>56</v>
      </c>
      <c r="AP179" s="33">
        <f t="shared" si="236"/>
        <v>63</v>
      </c>
      <c r="AQ179" s="33">
        <f t="shared" si="237"/>
        <v>8</v>
      </c>
      <c r="AR179" s="110">
        <v>0</v>
      </c>
      <c r="AS179" s="110">
        <v>0.16</v>
      </c>
      <c r="AT179" s="110">
        <v>0.37</v>
      </c>
      <c r="AU179" s="110">
        <v>0.42</v>
      </c>
      <c r="AV179" s="111">
        <v>0.05</v>
      </c>
      <c r="AX179" s="16">
        <v>150</v>
      </c>
      <c r="AY179" s="16">
        <v>150</v>
      </c>
    </row>
    <row r="180" spans="1:51" ht="13" thickBot="1">
      <c r="A180" s="112" t="s">
        <v>534</v>
      </c>
      <c r="B180" s="113"/>
      <c r="C180" s="113">
        <f t="shared" si="214"/>
        <v>0</v>
      </c>
      <c r="D180" s="113">
        <f t="shared" si="215"/>
        <v>0</v>
      </c>
      <c r="E180" s="113">
        <f t="shared" si="216"/>
        <v>0</v>
      </c>
      <c r="F180" s="113">
        <f t="shared" si="217"/>
        <v>0</v>
      </c>
      <c r="G180" s="113">
        <f t="shared" si="218"/>
        <v>0</v>
      </c>
      <c r="H180" s="122">
        <v>0</v>
      </c>
      <c r="I180" s="122">
        <v>0.16</v>
      </c>
      <c r="J180" s="122">
        <v>0.37</v>
      </c>
      <c r="K180" s="122">
        <v>0.42</v>
      </c>
      <c r="L180" s="123">
        <v>0.05</v>
      </c>
      <c r="M180" s="112" t="str">
        <f t="shared" si="219"/>
        <v>U-shape</v>
      </c>
      <c r="N180" s="113">
        <v>500</v>
      </c>
      <c r="O180" s="113">
        <f t="shared" si="220"/>
        <v>0</v>
      </c>
      <c r="P180" s="113">
        <f t="shared" si="221"/>
        <v>80</v>
      </c>
      <c r="Q180" s="113">
        <f t="shared" si="222"/>
        <v>185</v>
      </c>
      <c r="R180" s="113">
        <f t="shared" si="223"/>
        <v>210</v>
      </c>
      <c r="S180" s="113">
        <f t="shared" si="224"/>
        <v>25</v>
      </c>
      <c r="T180" s="114">
        <v>0</v>
      </c>
      <c r="U180" s="114">
        <v>0.16</v>
      </c>
      <c r="V180" s="114">
        <v>0.37</v>
      </c>
      <c r="W180" s="114">
        <v>0.42</v>
      </c>
      <c r="X180" s="115">
        <v>0.05</v>
      </c>
      <c r="Y180" s="112" t="s">
        <v>534</v>
      </c>
      <c r="Z180" s="113">
        <f t="shared" si="226"/>
        <v>0</v>
      </c>
      <c r="AA180" s="113">
        <f t="shared" si="227"/>
        <v>0</v>
      </c>
      <c r="AB180" s="113">
        <f t="shared" si="228"/>
        <v>0</v>
      </c>
      <c r="AC180" s="113">
        <f t="shared" si="229"/>
        <v>0</v>
      </c>
      <c r="AD180" s="113">
        <f t="shared" si="230"/>
        <v>0</v>
      </c>
      <c r="AE180" s="113">
        <f t="shared" si="231"/>
        <v>0</v>
      </c>
      <c r="AF180" s="114">
        <v>0</v>
      </c>
      <c r="AG180" s="114">
        <v>0.16</v>
      </c>
      <c r="AH180" s="114">
        <v>0.37</v>
      </c>
      <c r="AI180" s="114">
        <v>0.42</v>
      </c>
      <c r="AJ180" s="115">
        <v>0.05</v>
      </c>
      <c r="AK180" s="112" t="s">
        <v>534</v>
      </c>
      <c r="AL180" s="113">
        <v>500</v>
      </c>
      <c r="AM180" s="113">
        <f t="shared" si="233"/>
        <v>0</v>
      </c>
      <c r="AN180" s="113">
        <f t="shared" si="234"/>
        <v>80</v>
      </c>
      <c r="AO180" s="113">
        <f t="shared" si="235"/>
        <v>185</v>
      </c>
      <c r="AP180" s="113">
        <f t="shared" si="236"/>
        <v>210</v>
      </c>
      <c r="AQ180" s="113">
        <f t="shared" si="237"/>
        <v>25</v>
      </c>
      <c r="AR180" s="114">
        <v>0</v>
      </c>
      <c r="AS180" s="114">
        <v>0.16</v>
      </c>
      <c r="AT180" s="114">
        <v>0.37</v>
      </c>
      <c r="AU180" s="114">
        <v>0.42</v>
      </c>
      <c r="AV180" s="115">
        <v>0.05</v>
      </c>
      <c r="AX180" s="16">
        <v>500</v>
      </c>
      <c r="AY180" s="16">
        <v>500</v>
      </c>
    </row>
    <row r="181" spans="1:51">
      <c r="A181" s="116"/>
      <c r="H181" s="117"/>
      <c r="I181" s="117"/>
      <c r="J181" s="117"/>
      <c r="K181" s="117"/>
      <c r="L181" s="117"/>
      <c r="M181" s="116"/>
      <c r="T181" s="117"/>
      <c r="U181" s="117"/>
      <c r="V181" s="117"/>
      <c r="W181" s="117"/>
      <c r="X181" s="117"/>
      <c r="Y181" s="116"/>
      <c r="AF181" s="117"/>
      <c r="AG181" s="117"/>
      <c r="AH181" s="117"/>
      <c r="AI181" s="117"/>
      <c r="AJ181" s="117"/>
      <c r="AK181" s="116"/>
      <c r="AR181" s="117"/>
      <c r="AS181" s="117"/>
      <c r="AT181" s="117"/>
      <c r="AU181" s="117"/>
      <c r="AV181" s="117"/>
    </row>
    <row r="182" spans="1:51">
      <c r="B182" s="56"/>
      <c r="C182" s="56"/>
      <c r="D182" s="56"/>
      <c r="E182" s="56"/>
      <c r="F182" s="56"/>
      <c r="G182" s="56"/>
      <c r="H182" s="56"/>
      <c r="I182" s="56"/>
      <c r="J182" s="56"/>
    </row>
  </sheetData>
  <sortState xmlns:xlrd2="http://schemas.microsoft.com/office/spreadsheetml/2017/richdata2" ref="A6:A10">
    <sortCondition ref="A6"/>
  </sortState>
  <phoneticPr fontId="22" type="noConversion"/>
  <pageMargins left="0.7" right="0.7" top="0.75" bottom="0.75" header="0.3" footer="0.3"/>
  <pageSetup paperSize="9" orientation="portrait" r:id="rId1"/>
  <headerFooter>
    <oddHeader>&amp;R&amp;"Calibri"&amp;8&amp;K808080 INTERNAL &amp; PARTNERS&amp;1#_x000D_</oddHeader>
    <oddFooter>&amp;R_x000D_&amp;1#&amp;"Calibri"&amp;2&amp;KFFFFFF 5acXjzUk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1:J94"/>
  <sheetViews>
    <sheetView zoomScale="85" zoomScaleNormal="85" workbookViewId="0">
      <pane xSplit="1" ySplit="1" topLeftCell="B2" activePane="bottomRight" state="frozen"/>
      <selection pane="topRight" activeCell="B6" sqref="B6"/>
      <selection pane="bottomLeft" activeCell="B6" sqref="B6"/>
      <selection pane="bottomRight" activeCell="B6" sqref="B6"/>
    </sheetView>
  </sheetViews>
  <sheetFormatPr defaultColWidth="9.1796875" defaultRowHeight="14"/>
  <cols>
    <col min="1" max="1" width="15.81640625" style="131" bestFit="1" customWidth="1"/>
    <col min="2" max="2" width="10" style="131" bestFit="1" customWidth="1"/>
    <col min="3" max="3" width="61.81640625" style="131" customWidth="1"/>
    <col min="4" max="4" width="11.54296875" style="131" bestFit="1" customWidth="1"/>
    <col min="5" max="5" width="24.453125" style="131" customWidth="1"/>
    <col min="6" max="9" width="10.54296875" style="131" customWidth="1"/>
    <col min="10" max="16384" width="9.1796875" style="131"/>
  </cols>
  <sheetData>
    <row r="1" spans="1:9">
      <c r="A1" s="129" t="s">
        <v>616</v>
      </c>
      <c r="B1" s="129" t="s">
        <v>88</v>
      </c>
      <c r="C1" s="129" t="s">
        <v>617</v>
      </c>
      <c r="D1" s="129" t="s">
        <v>618</v>
      </c>
      <c r="E1" s="129" t="s">
        <v>169</v>
      </c>
      <c r="F1" s="129" t="s">
        <v>460</v>
      </c>
      <c r="G1" s="129" t="s">
        <v>93</v>
      </c>
      <c r="H1" s="129" t="s">
        <v>483</v>
      </c>
      <c r="I1" s="129" t="s">
        <v>482</v>
      </c>
    </row>
    <row r="2" spans="1:9" ht="25">
      <c r="A2" s="168" t="s">
        <v>171</v>
      </c>
      <c r="B2" s="168" t="s">
        <v>94</v>
      </c>
      <c r="C2" s="210" t="s">
        <v>619</v>
      </c>
      <c r="D2" s="168" t="s">
        <v>620</v>
      </c>
      <c r="E2" s="168" t="s">
        <v>172</v>
      </c>
      <c r="F2" s="216">
        <v>44</v>
      </c>
      <c r="G2" s="168">
        <v>48</v>
      </c>
      <c r="H2" s="168">
        <v>48</v>
      </c>
      <c r="I2" s="168" t="s">
        <v>621</v>
      </c>
    </row>
    <row r="3" spans="1:9" ht="25">
      <c r="A3" s="168" t="s">
        <v>173</v>
      </c>
      <c r="B3" s="168" t="s">
        <v>94</v>
      </c>
      <c r="C3" s="210" t="s">
        <v>622</v>
      </c>
      <c r="D3" s="168" t="s">
        <v>620</v>
      </c>
      <c r="E3" s="168" t="s">
        <v>172</v>
      </c>
      <c r="F3" s="216">
        <v>90</v>
      </c>
      <c r="G3" s="168">
        <v>96</v>
      </c>
      <c r="H3" s="168">
        <v>96</v>
      </c>
      <c r="I3" s="168" t="s">
        <v>621</v>
      </c>
    </row>
    <row r="4" spans="1:9" ht="25">
      <c r="A4" s="168" t="s">
        <v>174</v>
      </c>
      <c r="B4" s="168" t="s">
        <v>94</v>
      </c>
      <c r="C4" s="210" t="s">
        <v>623</v>
      </c>
      <c r="D4" s="168" t="s">
        <v>620</v>
      </c>
      <c r="E4" s="168" t="s">
        <v>172</v>
      </c>
      <c r="F4" s="216">
        <v>90</v>
      </c>
      <c r="G4" s="168">
        <v>96</v>
      </c>
      <c r="H4" s="168">
        <v>96</v>
      </c>
      <c r="I4" s="168" t="s">
        <v>621</v>
      </c>
    </row>
    <row r="5" spans="1:9">
      <c r="A5" s="168" t="s">
        <v>175</v>
      </c>
      <c r="B5" s="168" t="s">
        <v>549</v>
      </c>
      <c r="C5" s="210" t="s">
        <v>624</v>
      </c>
      <c r="D5" s="168" t="s">
        <v>620</v>
      </c>
      <c r="E5" s="168"/>
      <c r="F5" s="168">
        <v>40</v>
      </c>
      <c r="G5" s="168">
        <v>40</v>
      </c>
      <c r="H5" s="168">
        <v>40</v>
      </c>
      <c r="I5" s="168" t="s">
        <v>621</v>
      </c>
    </row>
    <row r="6" spans="1:9">
      <c r="A6" s="168" t="s">
        <v>176</v>
      </c>
      <c r="B6" s="168" t="s">
        <v>94</v>
      </c>
      <c r="C6" s="210" t="s">
        <v>625</v>
      </c>
      <c r="D6" s="168" t="s">
        <v>620</v>
      </c>
      <c r="E6" s="168" t="s">
        <v>177</v>
      </c>
      <c r="F6" s="217">
        <v>129.54048140043761</v>
      </c>
      <c r="G6" s="168" t="s">
        <v>621</v>
      </c>
      <c r="H6" s="168" t="s">
        <v>621</v>
      </c>
      <c r="I6" s="168" t="s">
        <v>621</v>
      </c>
    </row>
    <row r="7" spans="1:9">
      <c r="A7" s="168" t="s">
        <v>178</v>
      </c>
      <c r="B7" s="168" t="s">
        <v>94</v>
      </c>
      <c r="C7" s="210" t="s">
        <v>626</v>
      </c>
      <c r="D7" s="168" t="s">
        <v>620</v>
      </c>
      <c r="E7" s="168"/>
      <c r="F7" s="168">
        <v>16</v>
      </c>
      <c r="G7" s="168">
        <v>16</v>
      </c>
      <c r="H7" s="168">
        <v>16</v>
      </c>
      <c r="I7" s="168" t="s">
        <v>621</v>
      </c>
    </row>
    <row r="8" spans="1:9" ht="25">
      <c r="A8" s="168" t="s">
        <v>179</v>
      </c>
      <c r="B8" s="168" t="s">
        <v>94</v>
      </c>
      <c r="C8" s="210" t="s">
        <v>627</v>
      </c>
      <c r="D8" s="168" t="s">
        <v>620</v>
      </c>
      <c r="E8" s="168" t="s">
        <v>180</v>
      </c>
      <c r="F8" s="168">
        <v>18</v>
      </c>
      <c r="G8" s="168">
        <v>18</v>
      </c>
      <c r="H8" s="168" t="s">
        <v>628</v>
      </c>
      <c r="I8" s="168" t="s">
        <v>621</v>
      </c>
    </row>
    <row r="9" spans="1:9" ht="25">
      <c r="A9" s="168" t="s">
        <v>181</v>
      </c>
      <c r="B9" s="168" t="s">
        <v>94</v>
      </c>
      <c r="C9" s="210" t="s">
        <v>629</v>
      </c>
      <c r="D9" s="168" t="s">
        <v>620</v>
      </c>
      <c r="E9" s="168" t="s">
        <v>180</v>
      </c>
      <c r="F9" s="168">
        <v>24</v>
      </c>
      <c r="G9" s="168">
        <v>24</v>
      </c>
      <c r="H9" s="168">
        <v>24</v>
      </c>
      <c r="I9" s="168" t="s">
        <v>621</v>
      </c>
    </row>
    <row r="10" spans="1:9" ht="25">
      <c r="A10" s="168" t="s">
        <v>182</v>
      </c>
      <c r="B10" s="168" t="s">
        <v>94</v>
      </c>
      <c r="C10" s="210" t="s">
        <v>630</v>
      </c>
      <c r="D10" s="168" t="s">
        <v>620</v>
      </c>
      <c r="E10" s="168" t="s">
        <v>180</v>
      </c>
      <c r="F10" s="168">
        <v>20</v>
      </c>
      <c r="G10" s="168">
        <v>20</v>
      </c>
      <c r="H10" s="168">
        <v>20</v>
      </c>
      <c r="I10" s="168" t="s">
        <v>621</v>
      </c>
    </row>
    <row r="11" spans="1:9">
      <c r="A11" s="168" t="s">
        <v>183</v>
      </c>
      <c r="B11" s="168" t="s">
        <v>94</v>
      </c>
      <c r="C11" s="210" t="s">
        <v>631</v>
      </c>
      <c r="D11" s="168" t="s">
        <v>620</v>
      </c>
      <c r="E11" s="168" t="s">
        <v>180</v>
      </c>
      <c r="F11" s="168">
        <v>4</v>
      </c>
      <c r="G11" s="168">
        <v>4</v>
      </c>
      <c r="H11" s="168">
        <v>8</v>
      </c>
      <c r="I11" s="168" t="s">
        <v>621</v>
      </c>
    </row>
    <row r="12" spans="1:9" ht="25">
      <c r="A12" s="168" t="s">
        <v>184</v>
      </c>
      <c r="B12" s="168" t="s">
        <v>94</v>
      </c>
      <c r="C12" s="210" t="s">
        <v>632</v>
      </c>
      <c r="D12" s="168" t="s">
        <v>595</v>
      </c>
      <c r="E12" s="168" t="s">
        <v>185</v>
      </c>
      <c r="F12" s="168">
        <v>24</v>
      </c>
      <c r="G12" s="168" t="s">
        <v>621</v>
      </c>
      <c r="H12" s="168">
        <v>24</v>
      </c>
      <c r="I12" s="168" t="s">
        <v>621</v>
      </c>
    </row>
    <row r="13" spans="1:9" ht="25">
      <c r="A13" s="168" t="s">
        <v>186</v>
      </c>
      <c r="B13" s="168" t="s">
        <v>549</v>
      </c>
      <c r="C13" s="210" t="s">
        <v>633</v>
      </c>
      <c r="D13" s="168" t="s">
        <v>620</v>
      </c>
      <c r="E13" s="168" t="s">
        <v>187</v>
      </c>
      <c r="F13" s="168">
        <v>24</v>
      </c>
      <c r="G13" s="168">
        <v>24</v>
      </c>
      <c r="H13" s="168">
        <v>24</v>
      </c>
      <c r="I13" s="168" t="s">
        <v>621</v>
      </c>
    </row>
    <row r="14" spans="1:9" ht="25">
      <c r="A14" s="168" t="s">
        <v>188</v>
      </c>
      <c r="B14" s="168" t="s">
        <v>139</v>
      </c>
      <c r="C14" s="210" t="s">
        <v>634</v>
      </c>
      <c r="D14" s="168" t="s">
        <v>620</v>
      </c>
      <c r="E14" s="168" t="s">
        <v>189</v>
      </c>
      <c r="F14" s="168">
        <v>40</v>
      </c>
      <c r="G14" s="168">
        <v>40</v>
      </c>
      <c r="H14" s="168">
        <v>40</v>
      </c>
      <c r="I14" s="168" t="s">
        <v>621</v>
      </c>
    </row>
    <row r="15" spans="1:9" ht="25">
      <c r="A15" s="168" t="s">
        <v>190</v>
      </c>
      <c r="B15" s="168" t="s">
        <v>549</v>
      </c>
      <c r="C15" s="210" t="s">
        <v>635</v>
      </c>
      <c r="D15" s="168" t="s">
        <v>620</v>
      </c>
      <c r="E15" s="168" t="s">
        <v>187</v>
      </c>
      <c r="F15" s="168">
        <v>28</v>
      </c>
      <c r="G15" s="168">
        <v>40</v>
      </c>
      <c r="H15" s="168">
        <v>40</v>
      </c>
      <c r="I15" s="168" t="s">
        <v>621</v>
      </c>
    </row>
    <row r="16" spans="1:9" ht="25">
      <c r="A16" s="168" t="s">
        <v>191</v>
      </c>
      <c r="B16" s="168" t="s">
        <v>139</v>
      </c>
      <c r="C16" s="210" t="s">
        <v>636</v>
      </c>
      <c r="D16" s="168" t="s">
        <v>620</v>
      </c>
      <c r="E16" s="168" t="s">
        <v>189</v>
      </c>
      <c r="F16" s="168">
        <v>45</v>
      </c>
      <c r="G16" s="168">
        <v>50</v>
      </c>
      <c r="H16" s="168">
        <v>50</v>
      </c>
      <c r="I16" s="168" t="s">
        <v>621</v>
      </c>
    </row>
    <row r="17" spans="1:9">
      <c r="A17" s="168" t="s">
        <v>192</v>
      </c>
      <c r="B17" s="168" t="s">
        <v>549</v>
      </c>
      <c r="C17" s="210" t="s">
        <v>637</v>
      </c>
      <c r="D17" s="168" t="s">
        <v>620</v>
      </c>
      <c r="E17" s="168" t="s">
        <v>193</v>
      </c>
      <c r="F17" s="168">
        <v>55</v>
      </c>
      <c r="G17" s="168">
        <v>60</v>
      </c>
      <c r="H17" s="168">
        <v>60</v>
      </c>
      <c r="I17" s="168" t="s">
        <v>621</v>
      </c>
    </row>
    <row r="18" spans="1:9" ht="25">
      <c r="A18" s="168" t="s">
        <v>194</v>
      </c>
      <c r="B18" s="168" t="s">
        <v>94</v>
      </c>
      <c r="C18" s="210" t="s">
        <v>638</v>
      </c>
      <c r="D18" s="168" t="s">
        <v>620</v>
      </c>
      <c r="E18" s="168" t="s">
        <v>195</v>
      </c>
      <c r="F18" s="168">
        <v>36</v>
      </c>
      <c r="G18" s="168">
        <v>36</v>
      </c>
      <c r="H18" s="168">
        <v>24</v>
      </c>
      <c r="I18" s="168" t="s">
        <v>621</v>
      </c>
    </row>
    <row r="19" spans="1:9" ht="25">
      <c r="A19" s="168" t="s">
        <v>196</v>
      </c>
      <c r="B19" s="168" t="s">
        <v>94</v>
      </c>
      <c r="C19" s="210" t="s">
        <v>639</v>
      </c>
      <c r="D19" s="168" t="s">
        <v>620</v>
      </c>
      <c r="E19" s="168" t="s">
        <v>180</v>
      </c>
      <c r="F19" s="168">
        <v>24</v>
      </c>
      <c r="G19" s="168">
        <v>24</v>
      </c>
      <c r="H19" s="168">
        <v>24</v>
      </c>
      <c r="I19" s="168" t="s">
        <v>621</v>
      </c>
    </row>
    <row r="20" spans="1:9" ht="100">
      <c r="A20" s="168" t="s">
        <v>197</v>
      </c>
      <c r="B20" s="168" t="s">
        <v>94</v>
      </c>
      <c r="C20" s="210" t="s">
        <v>1342</v>
      </c>
      <c r="D20" s="168" t="s">
        <v>620</v>
      </c>
      <c r="E20" s="168" t="s">
        <v>198</v>
      </c>
      <c r="F20" s="168">
        <v>56</v>
      </c>
      <c r="G20" s="168">
        <v>56</v>
      </c>
      <c r="H20" s="168">
        <v>56</v>
      </c>
      <c r="I20" s="168" t="s">
        <v>621</v>
      </c>
    </row>
    <row r="21" spans="1:9" ht="100">
      <c r="A21" s="168" t="s">
        <v>199</v>
      </c>
      <c r="B21" s="168" t="s">
        <v>94</v>
      </c>
      <c r="C21" s="210" t="s">
        <v>1343</v>
      </c>
      <c r="D21" s="168" t="s">
        <v>620</v>
      </c>
      <c r="E21" s="168" t="s">
        <v>198</v>
      </c>
      <c r="F21" s="168">
        <v>88</v>
      </c>
      <c r="G21" s="168">
        <v>88</v>
      </c>
      <c r="H21" s="168">
        <v>88</v>
      </c>
      <c r="I21" s="168" t="s">
        <v>621</v>
      </c>
    </row>
    <row r="22" spans="1:9" ht="100">
      <c r="A22" s="168" t="s">
        <v>200</v>
      </c>
      <c r="B22" s="168" t="s">
        <v>94</v>
      </c>
      <c r="C22" s="210" t="s">
        <v>640</v>
      </c>
      <c r="D22" s="168" t="s">
        <v>620</v>
      </c>
      <c r="E22" s="168" t="s">
        <v>198</v>
      </c>
      <c r="F22" s="168">
        <v>60</v>
      </c>
      <c r="G22" s="168">
        <v>72</v>
      </c>
      <c r="H22" s="168">
        <v>80</v>
      </c>
      <c r="I22" s="168" t="s">
        <v>621</v>
      </c>
    </row>
    <row r="23" spans="1:9" ht="100">
      <c r="A23" s="168" t="s">
        <v>201</v>
      </c>
      <c r="B23" s="168" t="s">
        <v>94</v>
      </c>
      <c r="C23" s="210" t="s">
        <v>641</v>
      </c>
      <c r="D23" s="168" t="s">
        <v>620</v>
      </c>
      <c r="E23" s="168" t="s">
        <v>198</v>
      </c>
      <c r="F23" s="168">
        <v>30</v>
      </c>
      <c r="G23" s="168">
        <v>30</v>
      </c>
      <c r="H23" s="168">
        <v>32</v>
      </c>
      <c r="I23" s="168" t="s">
        <v>621</v>
      </c>
    </row>
    <row r="24" spans="1:9" ht="100">
      <c r="A24" s="168" t="s">
        <v>202</v>
      </c>
      <c r="B24" s="168" t="s">
        <v>94</v>
      </c>
      <c r="C24" s="210" t="s">
        <v>642</v>
      </c>
      <c r="D24" s="168" t="s">
        <v>620</v>
      </c>
      <c r="E24" s="168" t="s">
        <v>198</v>
      </c>
      <c r="F24" s="168">
        <v>46</v>
      </c>
      <c r="G24" s="168">
        <v>46</v>
      </c>
      <c r="H24" s="168">
        <v>45</v>
      </c>
      <c r="I24" s="168" t="s">
        <v>621</v>
      </c>
    </row>
    <row r="25" spans="1:9" ht="100">
      <c r="A25" s="168" t="s">
        <v>203</v>
      </c>
      <c r="B25" s="168" t="s">
        <v>94</v>
      </c>
      <c r="C25" s="210" t="s">
        <v>643</v>
      </c>
      <c r="D25" s="168" t="s">
        <v>620</v>
      </c>
      <c r="E25" s="168" t="s">
        <v>198</v>
      </c>
      <c r="F25" s="168">
        <v>46</v>
      </c>
      <c r="G25" s="168">
        <v>46</v>
      </c>
      <c r="H25" s="168">
        <v>48</v>
      </c>
      <c r="I25" s="168" t="s">
        <v>621</v>
      </c>
    </row>
    <row r="26" spans="1:9">
      <c r="A26" s="168" t="s">
        <v>204</v>
      </c>
      <c r="B26" s="168" t="s">
        <v>94</v>
      </c>
      <c r="C26" s="210" t="s">
        <v>1344</v>
      </c>
      <c r="D26" s="168" t="s">
        <v>620</v>
      </c>
      <c r="E26" s="168" t="s">
        <v>205</v>
      </c>
      <c r="F26" s="168">
        <v>10</v>
      </c>
      <c r="G26" s="168">
        <v>24</v>
      </c>
      <c r="H26" s="168">
        <v>22</v>
      </c>
      <c r="I26" s="168" t="s">
        <v>621</v>
      </c>
    </row>
    <row r="27" spans="1:9" ht="37.5">
      <c r="A27" s="168" t="s">
        <v>206</v>
      </c>
      <c r="B27" s="168" t="s">
        <v>94</v>
      </c>
      <c r="C27" s="210" t="s">
        <v>644</v>
      </c>
      <c r="D27" s="168" t="s">
        <v>595</v>
      </c>
      <c r="E27" s="168" t="s">
        <v>207</v>
      </c>
      <c r="F27" s="168">
        <v>72</v>
      </c>
      <c r="G27" s="168" t="s">
        <v>621</v>
      </c>
      <c r="H27" s="168">
        <v>72</v>
      </c>
      <c r="I27" s="168" t="s">
        <v>621</v>
      </c>
    </row>
    <row r="28" spans="1:9" ht="37.5">
      <c r="A28" s="168" t="s">
        <v>208</v>
      </c>
      <c r="B28" s="168" t="s">
        <v>94</v>
      </c>
      <c r="C28" s="210" t="s">
        <v>645</v>
      </c>
      <c r="D28" s="168" t="s">
        <v>595</v>
      </c>
      <c r="E28" s="168" t="s">
        <v>207</v>
      </c>
      <c r="F28" s="168">
        <v>64</v>
      </c>
      <c r="G28" s="168" t="s">
        <v>621</v>
      </c>
      <c r="H28" s="168">
        <v>65</v>
      </c>
      <c r="I28" s="168" t="s">
        <v>621</v>
      </c>
    </row>
    <row r="29" spans="1:9" ht="75">
      <c r="A29" s="168" t="s">
        <v>209</v>
      </c>
      <c r="B29" s="168" t="s">
        <v>94</v>
      </c>
      <c r="C29" s="210" t="s">
        <v>646</v>
      </c>
      <c r="D29" s="168" t="s">
        <v>620</v>
      </c>
      <c r="E29" s="168" t="s">
        <v>210</v>
      </c>
      <c r="F29" s="168">
        <v>35</v>
      </c>
      <c r="G29" s="168">
        <v>40</v>
      </c>
      <c r="H29" s="168">
        <v>40</v>
      </c>
      <c r="I29" s="168" t="s">
        <v>621</v>
      </c>
    </row>
    <row r="30" spans="1:9" ht="75">
      <c r="A30" s="168" t="s">
        <v>211</v>
      </c>
      <c r="B30" s="168" t="s">
        <v>94</v>
      </c>
      <c r="C30" s="210" t="s">
        <v>647</v>
      </c>
      <c r="D30" s="168" t="s">
        <v>620</v>
      </c>
      <c r="E30" s="168" t="s">
        <v>210</v>
      </c>
      <c r="F30" s="168">
        <v>54</v>
      </c>
      <c r="G30" s="168">
        <v>54</v>
      </c>
      <c r="H30" s="168">
        <v>60</v>
      </c>
      <c r="I30" s="168" t="s">
        <v>621</v>
      </c>
    </row>
    <row r="31" spans="1:9">
      <c r="A31" s="168" t="s">
        <v>212</v>
      </c>
      <c r="B31" s="168" t="s">
        <v>94</v>
      </c>
      <c r="C31" s="210" t="s">
        <v>648</v>
      </c>
      <c r="D31" s="168" t="s">
        <v>620</v>
      </c>
      <c r="E31" s="168" t="s">
        <v>205</v>
      </c>
      <c r="F31" s="168">
        <v>8</v>
      </c>
      <c r="G31" s="168">
        <v>12</v>
      </c>
      <c r="H31" s="168">
        <v>17</v>
      </c>
      <c r="I31" s="168" t="s">
        <v>621</v>
      </c>
    </row>
    <row r="32" spans="1:9">
      <c r="A32" s="168" t="s">
        <v>213</v>
      </c>
      <c r="B32" s="168" t="s">
        <v>94</v>
      </c>
      <c r="C32" s="210" t="s">
        <v>649</v>
      </c>
      <c r="D32" s="168" t="s">
        <v>620</v>
      </c>
      <c r="E32" s="168" t="s">
        <v>214</v>
      </c>
      <c r="F32" s="168">
        <v>2</v>
      </c>
      <c r="G32" s="168">
        <v>3</v>
      </c>
      <c r="H32" s="168">
        <v>8</v>
      </c>
      <c r="I32" s="168" t="s">
        <v>621</v>
      </c>
    </row>
    <row r="33" spans="1:9">
      <c r="A33" s="168" t="s">
        <v>215</v>
      </c>
      <c r="B33" s="168" t="s">
        <v>94</v>
      </c>
      <c r="C33" s="210" t="s">
        <v>650</v>
      </c>
      <c r="D33" s="168" t="s">
        <v>530</v>
      </c>
      <c r="E33" s="168" t="s">
        <v>216</v>
      </c>
      <c r="F33" s="168">
        <v>3</v>
      </c>
      <c r="G33" s="168">
        <v>3</v>
      </c>
      <c r="H33" s="168">
        <v>8</v>
      </c>
      <c r="I33" s="168" t="s">
        <v>621</v>
      </c>
    </row>
    <row r="34" spans="1:9">
      <c r="A34" s="168" t="s">
        <v>217</v>
      </c>
      <c r="B34" s="168" t="s">
        <v>94</v>
      </c>
      <c r="C34" s="210" t="s">
        <v>651</v>
      </c>
      <c r="D34" s="168" t="s">
        <v>620</v>
      </c>
      <c r="E34" s="168" t="s">
        <v>218</v>
      </c>
      <c r="F34" s="168">
        <v>2</v>
      </c>
      <c r="G34" s="168">
        <v>4</v>
      </c>
      <c r="H34" s="168">
        <v>6</v>
      </c>
      <c r="I34" s="168" t="s">
        <v>621</v>
      </c>
    </row>
    <row r="35" spans="1:9">
      <c r="A35" s="168" t="s">
        <v>219</v>
      </c>
      <c r="B35" s="168" t="s">
        <v>94</v>
      </c>
      <c r="C35" s="210" t="s">
        <v>652</v>
      </c>
      <c r="D35" s="168" t="s">
        <v>620</v>
      </c>
      <c r="E35" s="168" t="s">
        <v>220</v>
      </c>
      <c r="F35" s="168">
        <v>8</v>
      </c>
      <c r="G35" s="168">
        <v>8</v>
      </c>
      <c r="H35" s="168">
        <v>16</v>
      </c>
      <c r="I35" s="168" t="s">
        <v>621</v>
      </c>
    </row>
    <row r="36" spans="1:9" ht="37.5">
      <c r="A36" s="168" t="s">
        <v>221</v>
      </c>
      <c r="B36" s="168" t="s">
        <v>94</v>
      </c>
      <c r="C36" s="210" t="s">
        <v>1345</v>
      </c>
      <c r="D36" s="168" t="s">
        <v>530</v>
      </c>
      <c r="E36" s="168" t="s">
        <v>216</v>
      </c>
      <c r="F36" s="168">
        <v>88</v>
      </c>
      <c r="G36" s="168">
        <v>88</v>
      </c>
      <c r="H36" s="168">
        <v>90</v>
      </c>
      <c r="I36" s="168" t="s">
        <v>621</v>
      </c>
    </row>
    <row r="37" spans="1:9">
      <c r="A37" s="168" t="s">
        <v>222</v>
      </c>
      <c r="B37" s="168" t="s">
        <v>94</v>
      </c>
      <c r="C37" s="210" t="s">
        <v>653</v>
      </c>
      <c r="D37" s="168" t="s">
        <v>530</v>
      </c>
      <c r="E37" s="168" t="s">
        <v>216</v>
      </c>
      <c r="F37" s="168">
        <v>23</v>
      </c>
      <c r="G37" s="168">
        <v>23</v>
      </c>
      <c r="H37" s="168">
        <v>24</v>
      </c>
      <c r="I37" s="168" t="s">
        <v>621</v>
      </c>
    </row>
    <row r="38" spans="1:9">
      <c r="A38" s="168" t="s">
        <v>223</v>
      </c>
      <c r="B38" s="168" t="s">
        <v>94</v>
      </c>
      <c r="C38" s="210" t="s">
        <v>654</v>
      </c>
      <c r="D38" s="168" t="s">
        <v>620</v>
      </c>
      <c r="E38" s="168" t="s">
        <v>224</v>
      </c>
      <c r="F38" s="168">
        <v>3</v>
      </c>
      <c r="G38" s="168">
        <v>3</v>
      </c>
      <c r="H38" s="168">
        <v>6</v>
      </c>
      <c r="I38" s="168" t="s">
        <v>621</v>
      </c>
    </row>
    <row r="39" spans="1:9">
      <c r="A39" s="168" t="s">
        <v>225</v>
      </c>
      <c r="B39" s="168" t="s">
        <v>94</v>
      </c>
      <c r="C39" s="210" t="s">
        <v>1346</v>
      </c>
      <c r="D39" s="168" t="s">
        <v>655</v>
      </c>
      <c r="E39" s="168" t="s">
        <v>226</v>
      </c>
      <c r="F39" s="168">
        <v>16</v>
      </c>
      <c r="G39" s="168">
        <v>16</v>
      </c>
      <c r="H39" s="168">
        <v>24</v>
      </c>
      <c r="I39" s="168" t="s">
        <v>621</v>
      </c>
    </row>
    <row r="40" spans="1:9" ht="125">
      <c r="A40" s="168" t="s">
        <v>227</v>
      </c>
      <c r="B40" s="168" t="s">
        <v>549</v>
      </c>
      <c r="C40" s="210" t="s">
        <v>1347</v>
      </c>
      <c r="D40" s="168" t="s">
        <v>620</v>
      </c>
      <c r="E40" s="168" t="s">
        <v>228</v>
      </c>
      <c r="F40" s="168">
        <v>160</v>
      </c>
      <c r="G40" s="168">
        <v>160</v>
      </c>
      <c r="H40" s="168">
        <v>147</v>
      </c>
      <c r="I40" s="168" t="s">
        <v>621</v>
      </c>
    </row>
    <row r="41" spans="1:9" ht="125">
      <c r="A41" s="168" t="s">
        <v>229</v>
      </c>
      <c r="B41" s="168" t="s">
        <v>549</v>
      </c>
      <c r="C41" s="210" t="s">
        <v>1348</v>
      </c>
      <c r="D41" s="168" t="s">
        <v>620</v>
      </c>
      <c r="E41" s="168" t="s">
        <v>228</v>
      </c>
      <c r="F41" s="168">
        <v>136</v>
      </c>
      <c r="G41" s="168">
        <v>136</v>
      </c>
      <c r="H41" s="168">
        <v>132</v>
      </c>
      <c r="I41" s="168" t="s">
        <v>621</v>
      </c>
    </row>
    <row r="42" spans="1:9" ht="37.5">
      <c r="A42" s="168" t="s">
        <v>230</v>
      </c>
      <c r="B42" s="168" t="s">
        <v>94</v>
      </c>
      <c r="C42" s="210" t="s">
        <v>656</v>
      </c>
      <c r="D42" s="168" t="s">
        <v>655</v>
      </c>
      <c r="E42" s="168" t="s">
        <v>226</v>
      </c>
      <c r="F42" s="168">
        <v>64</v>
      </c>
      <c r="G42" s="168" t="s">
        <v>621</v>
      </c>
      <c r="H42" s="211">
        <v>64</v>
      </c>
      <c r="I42" s="168" t="s">
        <v>621</v>
      </c>
    </row>
    <row r="43" spans="1:9" ht="112.5">
      <c r="A43" s="168" t="s">
        <v>231</v>
      </c>
      <c r="B43" s="168" t="s">
        <v>549</v>
      </c>
      <c r="C43" s="210" t="s">
        <v>1349</v>
      </c>
      <c r="D43" s="168" t="s">
        <v>620</v>
      </c>
      <c r="E43" s="168" t="s">
        <v>232</v>
      </c>
      <c r="F43" s="168">
        <v>28</v>
      </c>
      <c r="G43" s="168">
        <v>28</v>
      </c>
      <c r="H43" s="168">
        <v>28</v>
      </c>
      <c r="I43" s="168" t="s">
        <v>621</v>
      </c>
    </row>
    <row r="44" spans="1:9" ht="112.5">
      <c r="A44" s="168" t="s">
        <v>233</v>
      </c>
      <c r="B44" s="168" t="s">
        <v>549</v>
      </c>
      <c r="C44" s="210" t="s">
        <v>1350</v>
      </c>
      <c r="D44" s="168" t="s">
        <v>620</v>
      </c>
      <c r="E44" s="168" t="s">
        <v>232</v>
      </c>
      <c r="F44" s="168">
        <v>34</v>
      </c>
      <c r="G44" s="168">
        <v>34</v>
      </c>
      <c r="H44" s="168">
        <v>34</v>
      </c>
      <c r="I44" s="168" t="s">
        <v>621</v>
      </c>
    </row>
    <row r="45" spans="1:9">
      <c r="A45" s="168" t="s">
        <v>234</v>
      </c>
      <c r="B45" s="168" t="s">
        <v>549</v>
      </c>
      <c r="C45" s="210" t="s">
        <v>1351</v>
      </c>
      <c r="D45" s="168" t="s">
        <v>620</v>
      </c>
      <c r="E45" s="168" t="s">
        <v>235</v>
      </c>
      <c r="F45" s="168">
        <v>16</v>
      </c>
      <c r="G45" s="168">
        <v>16</v>
      </c>
      <c r="H45" s="168">
        <v>16</v>
      </c>
      <c r="I45" s="168" t="s">
        <v>621</v>
      </c>
    </row>
    <row r="46" spans="1:9">
      <c r="A46" s="168" t="s">
        <v>236</v>
      </c>
      <c r="B46" s="168" t="s">
        <v>549</v>
      </c>
      <c r="C46" s="210" t="s">
        <v>1352</v>
      </c>
      <c r="D46" s="168" t="s">
        <v>620</v>
      </c>
      <c r="E46" s="168" t="s">
        <v>237</v>
      </c>
      <c r="F46" s="168">
        <v>36</v>
      </c>
      <c r="G46" s="168">
        <v>36</v>
      </c>
      <c r="H46" s="168">
        <v>36</v>
      </c>
      <c r="I46" s="168" t="s">
        <v>621</v>
      </c>
    </row>
    <row r="47" spans="1:9">
      <c r="A47" s="168" t="s">
        <v>238</v>
      </c>
      <c r="B47" s="168" t="s">
        <v>549</v>
      </c>
      <c r="C47" s="210" t="s">
        <v>1353</v>
      </c>
      <c r="D47" s="168" t="s">
        <v>620</v>
      </c>
      <c r="E47" s="168" t="s">
        <v>239</v>
      </c>
      <c r="F47" s="168">
        <v>36</v>
      </c>
      <c r="G47" s="168">
        <v>36</v>
      </c>
      <c r="H47" s="168">
        <v>36</v>
      </c>
      <c r="I47" s="168" t="s">
        <v>621</v>
      </c>
    </row>
    <row r="48" spans="1:9">
      <c r="A48" s="168" t="s">
        <v>240</v>
      </c>
      <c r="B48" s="168" t="s">
        <v>549</v>
      </c>
      <c r="C48" s="210" t="s">
        <v>1354</v>
      </c>
      <c r="D48" s="168" t="s">
        <v>620</v>
      </c>
      <c r="E48" s="168" t="s">
        <v>241</v>
      </c>
      <c r="F48" s="168">
        <v>56</v>
      </c>
      <c r="G48" s="168">
        <v>56</v>
      </c>
      <c r="H48" s="168">
        <v>56</v>
      </c>
      <c r="I48" s="168" t="s">
        <v>621</v>
      </c>
    </row>
    <row r="49" spans="1:9">
      <c r="A49" s="168" t="s">
        <v>242</v>
      </c>
      <c r="B49" s="168" t="s">
        <v>94</v>
      </c>
      <c r="C49" s="210" t="s">
        <v>657</v>
      </c>
      <c r="D49" s="168" t="s">
        <v>620</v>
      </c>
      <c r="E49" s="168" t="s">
        <v>658</v>
      </c>
      <c r="F49" s="168">
        <v>208</v>
      </c>
      <c r="G49" s="168" t="s">
        <v>621</v>
      </c>
      <c r="H49" s="168" t="s">
        <v>621</v>
      </c>
      <c r="I49" s="168" t="s">
        <v>621</v>
      </c>
    </row>
    <row r="50" spans="1:9" ht="25">
      <c r="A50" s="168" t="s">
        <v>243</v>
      </c>
      <c r="B50" s="168" t="s">
        <v>94</v>
      </c>
      <c r="C50" s="210" t="s">
        <v>659</v>
      </c>
      <c r="D50" s="168" t="s">
        <v>620</v>
      </c>
      <c r="E50" s="168" t="s">
        <v>660</v>
      </c>
      <c r="F50" s="168">
        <v>12</v>
      </c>
      <c r="G50" s="168" t="s">
        <v>621</v>
      </c>
      <c r="H50" s="168" t="s">
        <v>621</v>
      </c>
      <c r="I50" s="168" t="s">
        <v>621</v>
      </c>
    </row>
    <row r="51" spans="1:9" ht="100">
      <c r="A51" s="168" t="s">
        <v>244</v>
      </c>
      <c r="B51" s="168" t="s">
        <v>94</v>
      </c>
      <c r="C51" s="210" t="s">
        <v>661</v>
      </c>
      <c r="D51" s="168" t="s">
        <v>620</v>
      </c>
      <c r="E51" s="168" t="s">
        <v>198</v>
      </c>
      <c r="F51" s="168">
        <v>60</v>
      </c>
      <c r="G51" s="168">
        <v>72</v>
      </c>
      <c r="H51" s="168">
        <v>80</v>
      </c>
      <c r="I51" s="168" t="s">
        <v>621</v>
      </c>
    </row>
    <row r="52" spans="1:9">
      <c r="A52" s="168" t="s">
        <v>1355</v>
      </c>
      <c r="B52" s="168" t="s">
        <v>94</v>
      </c>
      <c r="C52" s="210" t="s">
        <v>1356</v>
      </c>
      <c r="D52" s="168" t="s">
        <v>620</v>
      </c>
      <c r="E52" s="212"/>
      <c r="F52" s="168">
        <v>32</v>
      </c>
      <c r="G52" s="168">
        <v>32</v>
      </c>
      <c r="H52" s="168">
        <v>35</v>
      </c>
      <c r="I52" s="168" t="s">
        <v>621</v>
      </c>
    </row>
    <row r="53" spans="1:9">
      <c r="A53" s="168" t="s">
        <v>246</v>
      </c>
      <c r="B53" s="168" t="s">
        <v>94</v>
      </c>
      <c r="C53" s="210" t="s">
        <v>662</v>
      </c>
      <c r="D53" s="168" t="s">
        <v>620</v>
      </c>
      <c r="E53" s="212"/>
      <c r="F53" s="168">
        <v>40</v>
      </c>
      <c r="G53" s="168">
        <v>40</v>
      </c>
      <c r="H53" s="168">
        <v>55</v>
      </c>
      <c r="I53" s="168" t="s">
        <v>621</v>
      </c>
    </row>
    <row r="54" spans="1:9">
      <c r="A54" s="168" t="s">
        <v>247</v>
      </c>
      <c r="B54" s="168" t="s">
        <v>94</v>
      </c>
      <c r="C54" s="210" t="s">
        <v>663</v>
      </c>
      <c r="D54" s="168" t="s">
        <v>620</v>
      </c>
      <c r="E54" s="212"/>
      <c r="F54" s="168">
        <v>40</v>
      </c>
      <c r="G54" s="168">
        <v>40</v>
      </c>
      <c r="H54" s="168">
        <v>65</v>
      </c>
      <c r="I54" s="168" t="s">
        <v>621</v>
      </c>
    </row>
    <row r="55" spans="1:9">
      <c r="A55" s="168" t="s">
        <v>248</v>
      </c>
      <c r="B55" s="168" t="s">
        <v>94</v>
      </c>
      <c r="C55" s="210" t="s">
        <v>664</v>
      </c>
      <c r="D55" s="168" t="s">
        <v>620</v>
      </c>
      <c r="E55" s="212"/>
      <c r="F55" s="168">
        <v>40</v>
      </c>
      <c r="G55" s="168">
        <v>40</v>
      </c>
      <c r="H55" s="168">
        <v>65</v>
      </c>
      <c r="I55" s="168" t="s">
        <v>621</v>
      </c>
    </row>
    <row r="56" spans="1:9">
      <c r="A56" s="168" t="s">
        <v>249</v>
      </c>
      <c r="B56" s="168" t="s">
        <v>94</v>
      </c>
      <c r="C56" s="210" t="s">
        <v>665</v>
      </c>
      <c r="D56" s="168" t="s">
        <v>620</v>
      </c>
      <c r="E56" s="212"/>
      <c r="F56" s="168">
        <v>32</v>
      </c>
      <c r="G56" s="168">
        <v>32</v>
      </c>
      <c r="H56" s="168">
        <v>35</v>
      </c>
      <c r="I56" s="168" t="s">
        <v>621</v>
      </c>
    </row>
    <row r="57" spans="1:9">
      <c r="A57" s="168" t="s">
        <v>250</v>
      </c>
      <c r="B57" s="168" t="s">
        <v>94</v>
      </c>
      <c r="C57" s="210" t="s">
        <v>666</v>
      </c>
      <c r="D57" s="168" t="s">
        <v>620</v>
      </c>
      <c r="E57" s="212"/>
      <c r="F57" s="168">
        <v>40</v>
      </c>
      <c r="G57" s="168">
        <v>40</v>
      </c>
      <c r="H57" s="168">
        <v>55</v>
      </c>
      <c r="I57" s="168" t="s">
        <v>621</v>
      </c>
    </row>
    <row r="58" spans="1:9">
      <c r="A58" s="168" t="s">
        <v>251</v>
      </c>
      <c r="B58" s="168" t="s">
        <v>94</v>
      </c>
      <c r="C58" s="210" t="s">
        <v>667</v>
      </c>
      <c r="D58" s="168" t="s">
        <v>620</v>
      </c>
      <c r="E58" s="212"/>
      <c r="F58" s="168">
        <v>56</v>
      </c>
      <c r="G58" s="168">
        <v>56</v>
      </c>
      <c r="H58" s="168">
        <v>80</v>
      </c>
      <c r="I58" s="168" t="s">
        <v>621</v>
      </c>
    </row>
    <row r="59" spans="1:9">
      <c r="A59" s="168" t="s">
        <v>252</v>
      </c>
      <c r="B59" s="168" t="s">
        <v>94</v>
      </c>
      <c r="C59" s="210" t="s">
        <v>668</v>
      </c>
      <c r="D59" s="168" t="s">
        <v>620</v>
      </c>
      <c r="E59" s="212"/>
      <c r="F59" s="168">
        <v>48</v>
      </c>
      <c r="G59" s="168">
        <v>48</v>
      </c>
      <c r="H59" s="168">
        <v>80</v>
      </c>
      <c r="I59" s="168" t="s">
        <v>621</v>
      </c>
    </row>
    <row r="60" spans="1:9">
      <c r="A60" s="168" t="s">
        <v>253</v>
      </c>
      <c r="B60" s="168" t="s">
        <v>94</v>
      </c>
      <c r="C60" s="210" t="s">
        <v>669</v>
      </c>
      <c r="D60" s="168" t="s">
        <v>620</v>
      </c>
      <c r="E60" s="212"/>
      <c r="F60" s="168">
        <v>40</v>
      </c>
      <c r="G60" s="168">
        <v>40</v>
      </c>
      <c r="H60" s="168">
        <v>55</v>
      </c>
      <c r="I60" s="168" t="s">
        <v>621</v>
      </c>
    </row>
    <row r="61" spans="1:9">
      <c r="A61" s="168" t="s">
        <v>254</v>
      </c>
      <c r="B61" s="168" t="s">
        <v>94</v>
      </c>
      <c r="C61" s="210" t="s">
        <v>1357</v>
      </c>
      <c r="D61" s="168" t="s">
        <v>620</v>
      </c>
      <c r="E61" s="212"/>
      <c r="F61" s="168">
        <v>48</v>
      </c>
      <c r="G61" s="168">
        <v>48</v>
      </c>
      <c r="H61" s="168">
        <v>70</v>
      </c>
      <c r="I61" s="168" t="s">
        <v>621</v>
      </c>
    </row>
    <row r="62" spans="1:9">
      <c r="A62" s="168" t="s">
        <v>255</v>
      </c>
      <c r="B62" s="168" t="s">
        <v>94</v>
      </c>
      <c r="C62" s="210" t="s">
        <v>1358</v>
      </c>
      <c r="D62" s="168" t="s">
        <v>620</v>
      </c>
      <c r="E62" s="212"/>
      <c r="F62" s="168">
        <v>32</v>
      </c>
      <c r="G62" s="168">
        <v>32</v>
      </c>
      <c r="H62" s="168">
        <v>32</v>
      </c>
      <c r="I62" s="168" t="s">
        <v>621</v>
      </c>
    </row>
    <row r="63" spans="1:9">
      <c r="A63" s="168" t="s">
        <v>256</v>
      </c>
      <c r="B63" s="168" t="s">
        <v>94</v>
      </c>
      <c r="C63" s="210" t="s">
        <v>1359</v>
      </c>
      <c r="D63" s="168" t="s">
        <v>620</v>
      </c>
      <c r="E63" s="212"/>
      <c r="F63" s="168">
        <v>40</v>
      </c>
      <c r="G63" s="168">
        <v>40</v>
      </c>
      <c r="H63" s="168">
        <v>40</v>
      </c>
      <c r="I63" s="168" t="s">
        <v>621</v>
      </c>
    </row>
    <row r="64" spans="1:9">
      <c r="A64" s="168" t="s">
        <v>257</v>
      </c>
      <c r="B64" s="168" t="s">
        <v>94</v>
      </c>
      <c r="C64" s="210" t="s">
        <v>670</v>
      </c>
      <c r="D64" s="168" t="s">
        <v>620</v>
      </c>
      <c r="E64" s="212"/>
      <c r="F64" s="168">
        <v>40</v>
      </c>
      <c r="G64" s="168">
        <v>40</v>
      </c>
      <c r="H64" s="168">
        <v>40</v>
      </c>
      <c r="I64" s="168" t="s">
        <v>621</v>
      </c>
    </row>
    <row r="65" spans="1:10">
      <c r="A65" s="168" t="s">
        <v>258</v>
      </c>
      <c r="B65" s="168" t="s">
        <v>94</v>
      </c>
      <c r="C65" s="210" t="s">
        <v>671</v>
      </c>
      <c r="D65" s="168" t="s">
        <v>620</v>
      </c>
      <c r="E65" s="212"/>
      <c r="F65" s="168">
        <v>40</v>
      </c>
      <c r="G65" s="168">
        <v>40</v>
      </c>
      <c r="H65" s="168">
        <v>40</v>
      </c>
      <c r="I65" s="168" t="s">
        <v>621</v>
      </c>
    </row>
    <row r="66" spans="1:10">
      <c r="A66" s="168" t="s">
        <v>259</v>
      </c>
      <c r="B66" s="168" t="s">
        <v>94</v>
      </c>
      <c r="C66" s="210" t="s">
        <v>672</v>
      </c>
      <c r="D66" s="168" t="s">
        <v>620</v>
      </c>
      <c r="E66" s="212"/>
      <c r="F66" s="168">
        <v>32</v>
      </c>
      <c r="G66" s="168">
        <v>32</v>
      </c>
      <c r="H66" s="168">
        <v>32</v>
      </c>
      <c r="I66" s="168" t="s">
        <v>621</v>
      </c>
    </row>
    <row r="67" spans="1:10">
      <c r="A67" s="168" t="s">
        <v>260</v>
      </c>
      <c r="B67" s="168" t="s">
        <v>94</v>
      </c>
      <c r="C67" s="210" t="s">
        <v>673</v>
      </c>
      <c r="D67" s="168" t="s">
        <v>620</v>
      </c>
      <c r="E67" s="212"/>
      <c r="F67" s="168">
        <v>40</v>
      </c>
      <c r="G67" s="168">
        <v>40</v>
      </c>
      <c r="H67" s="168">
        <v>40</v>
      </c>
      <c r="I67" s="168" t="s">
        <v>621</v>
      </c>
    </row>
    <row r="68" spans="1:10">
      <c r="A68" s="168" t="s">
        <v>261</v>
      </c>
      <c r="B68" s="168" t="s">
        <v>94</v>
      </c>
      <c r="C68" s="210" t="s">
        <v>674</v>
      </c>
      <c r="D68" s="168" t="s">
        <v>620</v>
      </c>
      <c r="E68" s="212"/>
      <c r="F68" s="168">
        <v>56</v>
      </c>
      <c r="G68" s="168">
        <v>56</v>
      </c>
      <c r="H68" s="168">
        <v>56</v>
      </c>
      <c r="I68" s="168" t="s">
        <v>621</v>
      </c>
    </row>
    <row r="69" spans="1:10">
      <c r="A69" s="168" t="s">
        <v>262</v>
      </c>
      <c r="B69" s="168" t="s">
        <v>94</v>
      </c>
      <c r="C69" s="210" t="s">
        <v>675</v>
      </c>
      <c r="D69" s="168" t="s">
        <v>620</v>
      </c>
      <c r="E69" s="212"/>
      <c r="F69" s="168">
        <v>48</v>
      </c>
      <c r="G69" s="168">
        <v>48</v>
      </c>
      <c r="H69" s="168">
        <v>48</v>
      </c>
      <c r="I69" s="168" t="s">
        <v>621</v>
      </c>
    </row>
    <row r="70" spans="1:10">
      <c r="A70" s="168" t="s">
        <v>263</v>
      </c>
      <c r="B70" s="168" t="s">
        <v>94</v>
      </c>
      <c r="C70" s="210" t="s">
        <v>676</v>
      </c>
      <c r="D70" s="168" t="s">
        <v>620</v>
      </c>
      <c r="E70" s="212"/>
      <c r="F70" s="168">
        <v>40</v>
      </c>
      <c r="G70" s="168">
        <v>40</v>
      </c>
      <c r="H70" s="168">
        <v>40</v>
      </c>
      <c r="I70" s="168" t="s">
        <v>621</v>
      </c>
    </row>
    <row r="71" spans="1:10">
      <c r="A71" s="168" t="s">
        <v>264</v>
      </c>
      <c r="B71" s="168" t="s">
        <v>94</v>
      </c>
      <c r="C71" s="210" t="s">
        <v>677</v>
      </c>
      <c r="D71" s="168" t="s">
        <v>620</v>
      </c>
      <c r="E71" s="212"/>
      <c r="F71" s="168">
        <v>48</v>
      </c>
      <c r="G71" s="168">
        <v>48</v>
      </c>
      <c r="H71" s="168">
        <v>48</v>
      </c>
      <c r="I71" s="168" t="s">
        <v>621</v>
      </c>
    </row>
    <row r="72" spans="1:10">
      <c r="A72" s="168" t="s">
        <v>265</v>
      </c>
      <c r="B72" s="168" t="s">
        <v>549</v>
      </c>
      <c r="C72" s="210" t="s">
        <v>1360</v>
      </c>
      <c r="D72" s="168" t="s">
        <v>620</v>
      </c>
      <c r="E72" s="212"/>
      <c r="F72" s="168">
        <v>120</v>
      </c>
      <c r="G72" s="168">
        <v>200</v>
      </c>
      <c r="H72" s="168">
        <v>200</v>
      </c>
      <c r="I72" s="168" t="s">
        <v>621</v>
      </c>
    </row>
    <row r="73" spans="1:10">
      <c r="A73" s="168" t="s">
        <v>266</v>
      </c>
      <c r="B73" s="168" t="s">
        <v>549</v>
      </c>
      <c r="C73" s="210" t="s">
        <v>1361</v>
      </c>
      <c r="D73" s="168" t="s">
        <v>620</v>
      </c>
      <c r="E73" s="212"/>
      <c r="F73" s="168">
        <v>80</v>
      </c>
      <c r="G73" s="168">
        <v>130</v>
      </c>
      <c r="H73" s="168">
        <v>130</v>
      </c>
      <c r="I73" s="168" t="s">
        <v>621</v>
      </c>
      <c r="J73" s="1"/>
    </row>
    <row r="74" spans="1:10">
      <c r="A74" s="168" t="s">
        <v>267</v>
      </c>
      <c r="B74" s="168" t="s">
        <v>549</v>
      </c>
      <c r="C74" s="210" t="s">
        <v>1362</v>
      </c>
      <c r="D74" s="168" t="s">
        <v>620</v>
      </c>
      <c r="E74" s="212"/>
      <c r="F74" s="168">
        <v>120</v>
      </c>
      <c r="G74" s="168">
        <v>200</v>
      </c>
      <c r="H74" s="168">
        <v>200</v>
      </c>
      <c r="I74" s="168" t="s">
        <v>621</v>
      </c>
      <c r="J74" s="1"/>
    </row>
    <row r="75" spans="1:10">
      <c r="A75" s="168" t="s">
        <v>268</v>
      </c>
      <c r="B75" s="168" t="s">
        <v>549</v>
      </c>
      <c r="C75" s="210" t="s">
        <v>1363</v>
      </c>
      <c r="D75" s="168" t="s">
        <v>620</v>
      </c>
      <c r="E75" s="212"/>
      <c r="F75" s="168">
        <v>120</v>
      </c>
      <c r="G75" s="168">
        <v>200</v>
      </c>
      <c r="H75" s="168">
        <v>200</v>
      </c>
      <c r="I75" s="168" t="s">
        <v>621</v>
      </c>
      <c r="J75" s="1"/>
    </row>
    <row r="76" spans="1:10">
      <c r="A76" s="168" t="s">
        <v>269</v>
      </c>
      <c r="B76" s="168" t="s">
        <v>549</v>
      </c>
      <c r="C76" s="210" t="s">
        <v>678</v>
      </c>
      <c r="D76" s="168" t="s">
        <v>620</v>
      </c>
      <c r="E76" s="212"/>
      <c r="F76" s="168">
        <v>80</v>
      </c>
      <c r="G76" s="168">
        <v>80</v>
      </c>
      <c r="H76" s="168">
        <v>80</v>
      </c>
      <c r="I76" s="168" t="s">
        <v>621</v>
      </c>
      <c r="J76" s="1"/>
    </row>
    <row r="77" spans="1:10">
      <c r="A77" s="168" t="s">
        <v>270</v>
      </c>
      <c r="B77" s="168" t="s">
        <v>549</v>
      </c>
      <c r="C77" s="210" t="s">
        <v>679</v>
      </c>
      <c r="D77" s="168" t="s">
        <v>620</v>
      </c>
      <c r="E77" s="212"/>
      <c r="F77" s="168">
        <v>64</v>
      </c>
      <c r="G77" s="168">
        <v>64</v>
      </c>
      <c r="H77" s="168">
        <v>64</v>
      </c>
      <c r="I77" s="168" t="s">
        <v>621</v>
      </c>
      <c r="J77" s="1"/>
    </row>
    <row r="78" spans="1:10">
      <c r="A78" s="168" t="s">
        <v>271</v>
      </c>
      <c r="B78" s="168" t="s">
        <v>549</v>
      </c>
      <c r="C78" s="210" t="s">
        <v>680</v>
      </c>
      <c r="D78" s="168" t="s">
        <v>620</v>
      </c>
      <c r="E78" s="212"/>
      <c r="F78" s="168">
        <v>80</v>
      </c>
      <c r="G78" s="168">
        <v>80</v>
      </c>
      <c r="H78" s="168">
        <v>80</v>
      </c>
      <c r="I78" s="168" t="s">
        <v>621</v>
      </c>
      <c r="J78" s="1"/>
    </row>
    <row r="79" spans="1:10">
      <c r="A79" s="168" t="s">
        <v>272</v>
      </c>
      <c r="B79" s="168" t="s">
        <v>549</v>
      </c>
      <c r="C79" s="210" t="s">
        <v>681</v>
      </c>
      <c r="D79" s="168" t="s">
        <v>620</v>
      </c>
      <c r="E79" s="212"/>
      <c r="F79" s="168">
        <v>80</v>
      </c>
      <c r="G79" s="168">
        <v>80</v>
      </c>
      <c r="H79" s="168">
        <v>80</v>
      </c>
      <c r="I79" s="168" t="s">
        <v>621</v>
      </c>
      <c r="J79" s="1"/>
    </row>
    <row r="80" spans="1:10">
      <c r="A80" s="1"/>
      <c r="B80" s="163"/>
      <c r="C80" s="130"/>
      <c r="F80" s="1"/>
      <c r="G80" s="1"/>
      <c r="H80" s="1"/>
      <c r="I80" s="1"/>
      <c r="J80" s="1"/>
    </row>
    <row r="81" spans="3:10">
      <c r="C81" s="130"/>
      <c r="F81" s="1"/>
      <c r="G81" s="1"/>
      <c r="H81" s="1"/>
      <c r="I81" s="1"/>
      <c r="J81" s="1"/>
    </row>
    <row r="82" spans="3:10">
      <c r="C82" s="130"/>
    </row>
    <row r="83" spans="3:10">
      <c r="C83" s="130"/>
    </row>
    <row r="84" spans="3:10">
      <c r="C84" s="130"/>
    </row>
    <row r="85" spans="3:10">
      <c r="C85" s="130"/>
    </row>
    <row r="86" spans="3:10">
      <c r="C86" s="130"/>
    </row>
    <row r="87" spans="3:10">
      <c r="C87" s="130"/>
    </row>
    <row r="88" spans="3:10">
      <c r="C88" s="130"/>
    </row>
    <row r="89" spans="3:10">
      <c r="C89" s="130"/>
    </row>
    <row r="90" spans="3:10">
      <c r="C90" s="130"/>
    </row>
    <row r="91" spans="3:10">
      <c r="C91" s="130"/>
    </row>
    <row r="92" spans="3:10">
      <c r="C92" s="130"/>
    </row>
    <row r="93" spans="3:10">
      <c r="C93" s="130"/>
    </row>
    <row r="94" spans="3:10">
      <c r="C94" s="130"/>
    </row>
  </sheetData>
  <autoFilter ref="A1:J79" xr:uid="{00000000-0001-0000-0A00-000000000000}"/>
  <sortState xmlns:xlrd2="http://schemas.microsoft.com/office/spreadsheetml/2017/richdata2" ref="A2:I79">
    <sortCondition ref="A2:A79"/>
  </sortState>
  <phoneticPr fontId="22" type="noConversion"/>
  <conditionalFormatting sqref="A80">
    <cfRule type="duplicateValues" dxfId="0" priority="6"/>
  </conditionalFormatting>
  <pageMargins left="0.7" right="0.7" top="0.75" bottom="0.75" header="0.3" footer="0.3"/>
  <pageSetup paperSize="9" orientation="portrait" r:id="rId1"/>
  <headerFooter>
    <oddHeader>&amp;R&amp;"Calibri"&amp;8&amp;K808080 INTERNAL &amp; PARTNERS&amp;1#_x000D_</oddHeader>
    <oddFooter>&amp;R_x000D_&amp;1#&amp;"Calibri"&amp;2&amp;KFFFFFF 5acXjzUk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M35"/>
  <sheetViews>
    <sheetView workbookViewId="0">
      <selection activeCell="G23" sqref="G23"/>
    </sheetView>
  </sheetViews>
  <sheetFormatPr defaultColWidth="9.1796875" defaultRowHeight="14"/>
  <cols>
    <col min="1" max="1" width="15.81640625" style="131" bestFit="1" customWidth="1"/>
    <col min="2" max="2" width="10" style="131" bestFit="1" customWidth="1"/>
    <col min="3" max="3" width="61.81640625" style="131" customWidth="1"/>
    <col min="4" max="4" width="11.54296875" style="131" customWidth="1"/>
    <col min="5" max="5" width="24.453125" style="131" customWidth="1"/>
    <col min="6" max="9" width="12.54296875" style="131" customWidth="1"/>
    <col min="10" max="11" width="9.1796875" style="131"/>
    <col min="12" max="12" width="14.453125" style="131" customWidth="1"/>
    <col min="13" max="16384" width="9.1796875" style="131"/>
  </cols>
  <sheetData>
    <row r="1" spans="1:9">
      <c r="A1" s="129" t="s">
        <v>616</v>
      </c>
      <c r="B1" s="129" t="s">
        <v>88</v>
      </c>
      <c r="C1" s="129" t="s">
        <v>617</v>
      </c>
      <c r="D1" s="129" t="s">
        <v>618</v>
      </c>
      <c r="E1" s="129" t="s">
        <v>169</v>
      </c>
      <c r="F1" s="129" t="s">
        <v>460</v>
      </c>
      <c r="G1" s="129" t="s">
        <v>93</v>
      </c>
      <c r="H1" s="129" t="s">
        <v>483</v>
      </c>
      <c r="I1" s="129" t="s">
        <v>482</v>
      </c>
    </row>
    <row r="2" spans="1:9">
      <c r="A2" s="1" t="s">
        <v>278</v>
      </c>
      <c r="B2" s="1" t="s">
        <v>549</v>
      </c>
      <c r="C2" s="130" t="s">
        <v>682</v>
      </c>
      <c r="D2" s="1" t="s">
        <v>620</v>
      </c>
      <c r="E2" s="1"/>
      <c r="F2" s="137" t="s">
        <v>621</v>
      </c>
      <c r="G2" s="136" t="s">
        <v>621</v>
      </c>
      <c r="H2" s="136" t="s">
        <v>621</v>
      </c>
      <c r="I2" s="140" t="s">
        <v>621</v>
      </c>
    </row>
    <row r="3" spans="1:9">
      <c r="A3" s="1" t="s">
        <v>279</v>
      </c>
      <c r="B3" s="1" t="s">
        <v>549</v>
      </c>
      <c r="C3" s="130" t="s">
        <v>683</v>
      </c>
      <c r="D3" s="1" t="s">
        <v>620</v>
      </c>
      <c r="E3" s="1"/>
      <c r="F3" s="137" t="s">
        <v>621</v>
      </c>
      <c r="G3" s="136">
        <v>3000000</v>
      </c>
      <c r="H3" s="136" t="s">
        <v>621</v>
      </c>
      <c r="I3" s="140" t="s">
        <v>621</v>
      </c>
    </row>
    <row r="4" spans="1:9">
      <c r="A4" s="1" t="s">
        <v>280</v>
      </c>
      <c r="B4" s="1" t="s">
        <v>94</v>
      </c>
      <c r="C4" s="130" t="s">
        <v>684</v>
      </c>
      <c r="D4" s="1" t="s">
        <v>620</v>
      </c>
      <c r="E4" s="1"/>
      <c r="F4" s="137">
        <v>4955</v>
      </c>
      <c r="G4" s="136">
        <v>1101227</v>
      </c>
      <c r="H4" s="138">
        <v>75000</v>
      </c>
      <c r="I4" s="140" t="s">
        <v>621</v>
      </c>
    </row>
    <row r="5" spans="1:9">
      <c r="A5" s="1" t="s">
        <v>281</v>
      </c>
      <c r="B5" s="1" t="s">
        <v>94</v>
      </c>
      <c r="C5" s="130" t="s">
        <v>685</v>
      </c>
      <c r="D5" s="1" t="s">
        <v>620</v>
      </c>
      <c r="E5" s="1"/>
      <c r="F5" s="137">
        <v>5636</v>
      </c>
      <c r="G5" s="136">
        <v>1402915</v>
      </c>
      <c r="H5" s="138">
        <v>35000</v>
      </c>
      <c r="I5" s="140" t="s">
        <v>621</v>
      </c>
    </row>
    <row r="6" spans="1:9">
      <c r="A6" s="1" t="s">
        <v>282</v>
      </c>
      <c r="B6" s="1" t="s">
        <v>94</v>
      </c>
      <c r="C6" s="130" t="s">
        <v>686</v>
      </c>
      <c r="D6" s="1" t="s">
        <v>620</v>
      </c>
      <c r="E6" s="1"/>
      <c r="F6" s="137">
        <v>7485</v>
      </c>
      <c r="G6" s="136">
        <v>1660613</v>
      </c>
      <c r="H6" s="138">
        <v>45000</v>
      </c>
      <c r="I6" s="140" t="s">
        <v>621</v>
      </c>
    </row>
    <row r="7" spans="1:9">
      <c r="A7" s="1" t="s">
        <v>283</v>
      </c>
      <c r="B7" s="1" t="s">
        <v>94</v>
      </c>
      <c r="C7" s="130" t="s">
        <v>687</v>
      </c>
      <c r="D7" s="1" t="s">
        <v>620</v>
      </c>
      <c r="E7" s="1"/>
      <c r="F7" s="137">
        <v>4088</v>
      </c>
      <c r="G7" s="136">
        <v>942722</v>
      </c>
      <c r="H7" s="138">
        <v>65000</v>
      </c>
      <c r="I7" s="140" t="s">
        <v>621</v>
      </c>
    </row>
    <row r="8" spans="1:9">
      <c r="A8" s="1" t="s">
        <v>284</v>
      </c>
      <c r="B8" s="1" t="s">
        <v>94</v>
      </c>
      <c r="C8" s="130" t="s">
        <v>1364</v>
      </c>
      <c r="D8" s="1" t="s">
        <v>620</v>
      </c>
      <c r="E8" s="1"/>
      <c r="F8" s="137">
        <v>1986</v>
      </c>
      <c r="G8" s="136">
        <v>371547</v>
      </c>
      <c r="H8" s="138">
        <v>35000</v>
      </c>
      <c r="I8" s="140" t="s">
        <v>621</v>
      </c>
    </row>
    <row r="9" spans="1:9">
      <c r="A9" s="1" t="s">
        <v>285</v>
      </c>
      <c r="B9" s="1" t="s">
        <v>94</v>
      </c>
      <c r="C9" s="130" t="s">
        <v>688</v>
      </c>
      <c r="D9" s="1" t="s">
        <v>620</v>
      </c>
      <c r="E9" s="1"/>
      <c r="F9" s="137">
        <v>1986</v>
      </c>
      <c r="G9" s="136">
        <v>455972</v>
      </c>
      <c r="H9" s="138">
        <v>20000</v>
      </c>
      <c r="I9" s="140" t="s">
        <v>621</v>
      </c>
    </row>
    <row r="10" spans="1:9">
      <c r="A10" s="1" t="s">
        <v>286</v>
      </c>
      <c r="B10" s="1" t="s">
        <v>94</v>
      </c>
      <c r="C10" s="130" t="s">
        <v>689</v>
      </c>
      <c r="D10" s="1" t="s">
        <v>620</v>
      </c>
      <c r="E10" s="1"/>
      <c r="F10" s="137">
        <v>3501</v>
      </c>
      <c r="G10" s="136">
        <v>575396</v>
      </c>
      <c r="H10" s="138">
        <v>30000</v>
      </c>
      <c r="I10" s="140" t="s">
        <v>621</v>
      </c>
    </row>
    <row r="11" spans="1:9">
      <c r="A11" s="1" t="s">
        <v>287</v>
      </c>
      <c r="B11" s="1" t="s">
        <v>94</v>
      </c>
      <c r="C11" s="130" t="s">
        <v>690</v>
      </c>
      <c r="D11" s="1" t="s">
        <v>620</v>
      </c>
      <c r="E11" s="1"/>
      <c r="F11" s="137">
        <v>1220</v>
      </c>
      <c r="G11" s="136">
        <v>466424</v>
      </c>
      <c r="H11" s="138">
        <v>40000</v>
      </c>
      <c r="I11" s="140" t="s">
        <v>621</v>
      </c>
    </row>
    <row r="12" spans="1:9">
      <c r="A12" s="1" t="s">
        <v>288</v>
      </c>
      <c r="B12" s="1" t="s">
        <v>94</v>
      </c>
      <c r="C12" s="130" t="s">
        <v>691</v>
      </c>
      <c r="D12" s="1" t="s">
        <v>620</v>
      </c>
      <c r="E12" s="1"/>
      <c r="F12" s="137">
        <v>621</v>
      </c>
      <c r="G12" s="136">
        <v>287123</v>
      </c>
      <c r="H12" s="138">
        <v>5000</v>
      </c>
      <c r="I12" s="140" t="s">
        <v>621</v>
      </c>
    </row>
    <row r="13" spans="1:9">
      <c r="A13" s="1" t="s">
        <v>289</v>
      </c>
      <c r="B13" s="1" t="s">
        <v>94</v>
      </c>
      <c r="C13" s="130" t="s">
        <v>692</v>
      </c>
      <c r="D13" s="1" t="s">
        <v>620</v>
      </c>
      <c r="E13" s="1"/>
      <c r="F13" s="137">
        <v>483</v>
      </c>
      <c r="G13" s="136" t="s">
        <v>621</v>
      </c>
      <c r="H13" s="138">
        <v>35000</v>
      </c>
      <c r="I13" s="140" t="s">
        <v>621</v>
      </c>
    </row>
    <row r="14" spans="1:9">
      <c r="A14" s="1" t="s">
        <v>290</v>
      </c>
      <c r="B14" s="1" t="s">
        <v>139</v>
      </c>
      <c r="C14" s="130" t="s">
        <v>693</v>
      </c>
      <c r="D14" s="1" t="s">
        <v>620</v>
      </c>
      <c r="E14" s="1"/>
      <c r="F14" s="137" t="s">
        <v>621</v>
      </c>
      <c r="G14" s="136" t="s">
        <v>621</v>
      </c>
      <c r="H14" s="138">
        <v>45000</v>
      </c>
      <c r="I14" s="140" t="s">
        <v>621</v>
      </c>
    </row>
    <row r="15" spans="1:9">
      <c r="A15" s="1" t="s">
        <v>291</v>
      </c>
      <c r="B15" s="1" t="s">
        <v>139</v>
      </c>
      <c r="C15" s="130" t="s">
        <v>694</v>
      </c>
      <c r="D15" s="1" t="s">
        <v>620</v>
      </c>
      <c r="E15" s="1"/>
      <c r="F15" s="137" t="s">
        <v>621</v>
      </c>
      <c r="G15" s="136" t="s">
        <v>621</v>
      </c>
      <c r="H15" s="138">
        <v>1500000</v>
      </c>
      <c r="I15" s="140" t="s">
        <v>621</v>
      </c>
    </row>
    <row r="16" spans="1:9">
      <c r="A16" s="1" t="s">
        <v>292</v>
      </c>
      <c r="B16" s="1" t="s">
        <v>139</v>
      </c>
      <c r="C16" s="130" t="s">
        <v>695</v>
      </c>
      <c r="D16" s="1" t="s">
        <v>620</v>
      </c>
      <c r="E16" s="1"/>
      <c r="F16" s="137" t="s">
        <v>621</v>
      </c>
      <c r="G16" s="136" t="s">
        <v>621</v>
      </c>
      <c r="H16" s="138">
        <v>4000000</v>
      </c>
      <c r="I16" s="140" t="s">
        <v>621</v>
      </c>
    </row>
    <row r="17" spans="8:13">
      <c r="H17" s="139"/>
    </row>
    <row r="23" spans="8:13">
      <c r="H23"/>
      <c r="I23"/>
      <c r="J23"/>
      <c r="K23"/>
      <c r="L23"/>
      <c r="M23"/>
    </row>
    <row r="24" spans="8:13">
      <c r="H24"/>
      <c r="I24"/>
      <c r="J24"/>
      <c r="K24"/>
      <c r="L24"/>
      <c r="M24"/>
    </row>
    <row r="25" spans="8:13">
      <c r="H25"/>
      <c r="I25"/>
      <c r="J25"/>
      <c r="K25"/>
      <c r="L25"/>
      <c r="M25"/>
    </row>
    <row r="26" spans="8:13">
      <c r="H26"/>
      <c r="I26"/>
      <c r="J26"/>
      <c r="K26"/>
      <c r="L26"/>
      <c r="M26"/>
    </row>
    <row r="27" spans="8:13">
      <c r="H27"/>
      <c r="I27"/>
      <c r="J27"/>
      <c r="K27"/>
      <c r="L27"/>
      <c r="M27"/>
    </row>
    <row r="28" spans="8:13">
      <c r="H28"/>
      <c r="I28"/>
      <c r="J28"/>
      <c r="K28"/>
      <c r="L28"/>
      <c r="M28"/>
    </row>
    <row r="29" spans="8:13">
      <c r="H29"/>
      <c r="I29"/>
      <c r="J29"/>
      <c r="K29"/>
      <c r="L29"/>
      <c r="M29"/>
    </row>
    <row r="30" spans="8:13">
      <c r="H30"/>
      <c r="I30"/>
      <c r="J30"/>
      <c r="K30"/>
      <c r="L30"/>
      <c r="M30"/>
    </row>
    <row r="31" spans="8:13">
      <c r="H31"/>
      <c r="I31"/>
      <c r="J31"/>
      <c r="K31"/>
      <c r="L31"/>
      <c r="M31"/>
    </row>
    <row r="32" spans="8:13">
      <c r="H32"/>
      <c r="I32"/>
      <c r="J32"/>
      <c r="K32"/>
      <c r="L32"/>
      <c r="M32"/>
    </row>
    <row r="33" spans="8:13">
      <c r="H33"/>
      <c r="I33"/>
      <c r="J33"/>
      <c r="K33"/>
      <c r="L33"/>
      <c r="M33"/>
    </row>
    <row r="34" spans="8:13">
      <c r="H34"/>
      <c r="I34"/>
      <c r="J34"/>
      <c r="K34"/>
      <c r="L34"/>
      <c r="M34"/>
    </row>
    <row r="35" spans="8:13">
      <c r="H35"/>
      <c r="I35"/>
      <c r="J35"/>
      <c r="K35"/>
      <c r="L35"/>
      <c r="M35"/>
    </row>
  </sheetData>
  <phoneticPr fontId="22" type="noConversion"/>
  <pageMargins left="0.7" right="0.7" top="0.75" bottom="0.75" header="0.3" footer="0.3"/>
  <pageSetup paperSize="9" orientation="portrait" r:id="rId1"/>
  <headerFooter>
    <oddHeader>&amp;R&amp;"Calibri"&amp;8&amp;K808080 INTERNAL &amp; PARTNERS&amp;1#_x000D_</oddHeader>
    <oddFooter>&amp;R_x000D_&amp;1#&amp;"Calibri"&amp;2&amp;KFFFFFF 5acXjzUk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R270"/>
  <sheetViews>
    <sheetView zoomScaleNormal="100" workbookViewId="0">
      <pane xSplit="1" ySplit="1" topLeftCell="B227" activePane="bottomRight" state="frozen"/>
      <selection pane="topRight" activeCell="B6" sqref="B6"/>
      <selection pane="bottomLeft" activeCell="B6" sqref="B6"/>
      <selection pane="bottomRight" activeCell="B6" sqref="B6"/>
    </sheetView>
  </sheetViews>
  <sheetFormatPr defaultColWidth="9.1796875" defaultRowHeight="13.5"/>
  <cols>
    <col min="1" max="1" width="6" style="158" bestFit="1" customWidth="1"/>
    <col min="2" max="2" width="20.54296875" style="158" customWidth="1"/>
    <col min="3" max="3" width="10" style="158" bestFit="1" customWidth="1"/>
    <col min="4" max="4" width="36.7265625" style="159" customWidth="1"/>
    <col min="5" max="5" width="11.54296875" style="158" bestFit="1" customWidth="1"/>
    <col min="6" max="9" width="24.453125" style="158" customWidth="1"/>
    <col min="10" max="10" width="21" style="158" bestFit="1" customWidth="1"/>
    <col min="11" max="11" width="12.54296875" style="206" customWidth="1"/>
    <col min="12" max="13" width="15.54296875" style="158" customWidth="1"/>
    <col min="14" max="14" width="12.54296875" style="158" customWidth="1"/>
    <col min="15" max="16" width="9.1796875" style="158"/>
    <col min="17" max="17" width="15.81640625" style="158" customWidth="1"/>
    <col min="18" max="18" width="15.7265625" style="158" bestFit="1" customWidth="1"/>
    <col min="19" max="19" width="10.453125" style="158" bestFit="1" customWidth="1"/>
    <col min="20" max="16384" width="9.1796875" style="158"/>
  </cols>
  <sheetData>
    <row r="1" spans="1:18" ht="14">
      <c r="A1" s="129" t="s">
        <v>696</v>
      </c>
      <c r="B1" s="129" t="s">
        <v>697</v>
      </c>
      <c r="C1" s="129" t="s">
        <v>88</v>
      </c>
      <c r="D1" s="129" t="s">
        <v>617</v>
      </c>
      <c r="E1" s="129" t="s">
        <v>618</v>
      </c>
      <c r="F1" s="129" t="s">
        <v>460</v>
      </c>
      <c r="G1" s="129" t="s">
        <v>93</v>
      </c>
      <c r="H1" s="129" t="s">
        <v>483</v>
      </c>
      <c r="I1" s="129" t="s">
        <v>482</v>
      </c>
      <c r="J1" s="129" t="s">
        <v>698</v>
      </c>
      <c r="K1" s="205" t="s">
        <v>460</v>
      </c>
      <c r="L1" s="129" t="s">
        <v>93</v>
      </c>
      <c r="M1" s="129" t="s">
        <v>483</v>
      </c>
      <c r="N1" s="129" t="s">
        <v>482</v>
      </c>
      <c r="O1" s="129" t="s">
        <v>487</v>
      </c>
      <c r="Q1"/>
    </row>
    <row r="2" spans="1:18" ht="37.5">
      <c r="A2" s="1" t="s">
        <v>699</v>
      </c>
      <c r="B2" s="1" t="s">
        <v>700</v>
      </c>
      <c r="C2" s="1" t="s">
        <v>701</v>
      </c>
      <c r="D2" s="1" t="s">
        <v>702</v>
      </c>
      <c r="E2" s="1" t="s">
        <v>620</v>
      </c>
      <c r="F2" s="1" t="s">
        <v>296</v>
      </c>
      <c r="G2" s="1" t="s">
        <v>296</v>
      </c>
      <c r="H2" s="1" t="str">
        <f t="shared" ref="H2:H65" si="0">F2</f>
        <v>CHD-I-DSE-2012
CHD-I-DSE-2013
CHD-I-DSE-2017</v>
      </c>
      <c r="I2" s="1" t="str">
        <f t="shared" ref="I2:I65" si="1">F2</f>
        <v>CHD-I-DSE-2012
CHD-I-DSE-2013
CHD-I-DSE-2017</v>
      </c>
      <c r="J2" s="1">
        <v>1</v>
      </c>
      <c r="K2" s="207">
        <v>8885</v>
      </c>
      <c r="L2" s="136">
        <v>1915486</v>
      </c>
      <c r="M2" s="138" t="s">
        <v>621</v>
      </c>
      <c r="N2" s="140" t="s">
        <v>621</v>
      </c>
      <c r="O2" s="1" t="s">
        <v>703</v>
      </c>
      <c r="Q2"/>
      <c r="R2" s="136"/>
    </row>
    <row r="3" spans="1:18" ht="14">
      <c r="A3" s="1" t="s">
        <v>704</v>
      </c>
      <c r="B3" s="1" t="s">
        <v>700</v>
      </c>
      <c r="C3" s="1" t="s">
        <v>701</v>
      </c>
      <c r="D3" s="1" t="s">
        <v>705</v>
      </c>
      <c r="E3" s="1" t="s">
        <v>620</v>
      </c>
      <c r="F3" s="1" t="s">
        <v>297</v>
      </c>
      <c r="G3" s="1" t="s">
        <v>297</v>
      </c>
      <c r="H3" s="1" t="str">
        <f t="shared" si="0"/>
        <v>CHD-I-DSE-2012</v>
      </c>
      <c r="I3" s="1" t="str">
        <f t="shared" si="1"/>
        <v>CHD-I-DSE-2012</v>
      </c>
      <c r="J3" s="1">
        <v>1</v>
      </c>
      <c r="K3" s="207">
        <v>5375</v>
      </c>
      <c r="L3" s="136">
        <v>1107032</v>
      </c>
      <c r="M3" s="138" t="s">
        <v>621</v>
      </c>
      <c r="N3" s="140" t="s">
        <v>621</v>
      </c>
      <c r="O3" s="1" t="s">
        <v>703</v>
      </c>
      <c r="Q3"/>
      <c r="R3" s="136"/>
    </row>
    <row r="4" spans="1:18" ht="14">
      <c r="A4" s="1" t="s">
        <v>706</v>
      </c>
      <c r="B4" s="1" t="s">
        <v>700</v>
      </c>
      <c r="C4" s="1" t="s">
        <v>701</v>
      </c>
      <c r="D4" s="1" t="s">
        <v>707</v>
      </c>
      <c r="E4" s="1" t="s">
        <v>620</v>
      </c>
      <c r="F4" s="1" t="s">
        <v>298</v>
      </c>
      <c r="G4" s="1" t="s">
        <v>298</v>
      </c>
      <c r="H4" s="1" t="str">
        <f t="shared" si="0"/>
        <v>CHD-I-DSE-2013</v>
      </c>
      <c r="I4" s="1" t="str">
        <f t="shared" si="1"/>
        <v>CHD-I-DSE-2013</v>
      </c>
      <c r="J4" s="1">
        <v>1</v>
      </c>
      <c r="K4" s="207">
        <v>5375</v>
      </c>
      <c r="L4" s="136">
        <v>1107032</v>
      </c>
      <c r="M4" s="138" t="s">
        <v>621</v>
      </c>
      <c r="N4" s="140" t="s">
        <v>621</v>
      </c>
      <c r="O4" s="1" t="s">
        <v>703</v>
      </c>
      <c r="Q4"/>
      <c r="R4" s="136"/>
    </row>
    <row r="5" spans="1:18" ht="14">
      <c r="A5" s="1" t="s">
        <v>708</v>
      </c>
      <c r="B5" s="1" t="s">
        <v>700</v>
      </c>
      <c r="C5" s="1" t="s">
        <v>701</v>
      </c>
      <c r="D5" s="1" t="s">
        <v>709</v>
      </c>
      <c r="E5" s="1" t="s">
        <v>620</v>
      </c>
      <c r="F5" s="1" t="s">
        <v>299</v>
      </c>
      <c r="G5" s="1" t="s">
        <v>299</v>
      </c>
      <c r="H5" s="1" t="str">
        <f t="shared" si="0"/>
        <v>CHD-I-DSE-2018</v>
      </c>
      <c r="I5" s="1" t="str">
        <f t="shared" si="1"/>
        <v>CHD-I-DSE-2018</v>
      </c>
      <c r="J5" s="1">
        <v>1</v>
      </c>
      <c r="K5" s="207">
        <v>5375</v>
      </c>
      <c r="L5" s="136">
        <v>1107032</v>
      </c>
      <c r="M5" s="138" t="s">
        <v>621</v>
      </c>
      <c r="N5" s="140" t="s">
        <v>621</v>
      </c>
      <c r="O5" s="1" t="s">
        <v>703</v>
      </c>
      <c r="Q5"/>
      <c r="R5" s="136"/>
    </row>
    <row r="6" spans="1:18" ht="14">
      <c r="A6" s="1" t="s">
        <v>710</v>
      </c>
      <c r="B6" s="1" t="s">
        <v>700</v>
      </c>
      <c r="C6" s="1" t="s">
        <v>701</v>
      </c>
      <c r="D6" s="1" t="s">
        <v>711</v>
      </c>
      <c r="E6" s="1" t="s">
        <v>620</v>
      </c>
      <c r="F6" s="1" t="s">
        <v>300</v>
      </c>
      <c r="G6" s="1" t="s">
        <v>300</v>
      </c>
      <c r="H6" s="1" t="str">
        <f t="shared" si="0"/>
        <v>CHD-I-DSE-2016</v>
      </c>
      <c r="I6" s="1" t="str">
        <f t="shared" si="1"/>
        <v>CHD-I-DSE-2016</v>
      </c>
      <c r="J6" s="1">
        <v>1</v>
      </c>
      <c r="K6" s="207">
        <v>41530</v>
      </c>
      <c r="L6" s="136">
        <v>8764302</v>
      </c>
      <c r="M6" s="138" t="s">
        <v>621</v>
      </c>
      <c r="N6" s="140" t="s">
        <v>621</v>
      </c>
      <c r="O6" s="1" t="s">
        <v>703</v>
      </c>
      <c r="Q6"/>
      <c r="R6" s="136"/>
    </row>
    <row r="7" spans="1:18" ht="14">
      <c r="A7" s="1" t="s">
        <v>712</v>
      </c>
      <c r="B7" s="1" t="s">
        <v>700</v>
      </c>
      <c r="C7" s="1" t="s">
        <v>701</v>
      </c>
      <c r="D7" s="1" t="s">
        <v>713</v>
      </c>
      <c r="E7" s="1" t="s">
        <v>620</v>
      </c>
      <c r="F7" s="1" t="s">
        <v>301</v>
      </c>
      <c r="G7" s="1" t="s">
        <v>301</v>
      </c>
      <c r="H7" s="1" t="str">
        <f t="shared" si="0"/>
        <v>CHD-I-DSE-2017</v>
      </c>
      <c r="I7" s="1" t="str">
        <f t="shared" si="1"/>
        <v>CHD-I-DSE-2017</v>
      </c>
      <c r="J7" s="1">
        <v>1</v>
      </c>
      <c r="K7" s="207">
        <v>5375</v>
      </c>
      <c r="L7" s="136">
        <v>1107032</v>
      </c>
      <c r="M7" s="138" t="s">
        <v>621</v>
      </c>
      <c r="N7" s="140" t="s">
        <v>621</v>
      </c>
      <c r="O7" s="1" t="s">
        <v>703</v>
      </c>
      <c r="Q7"/>
      <c r="R7" s="136"/>
    </row>
    <row r="8" spans="1:18" ht="14">
      <c r="A8" s="1" t="s">
        <v>714</v>
      </c>
      <c r="B8" s="1" t="s">
        <v>700</v>
      </c>
      <c r="C8" s="1" t="s">
        <v>701</v>
      </c>
      <c r="D8" s="1" t="s">
        <v>715</v>
      </c>
      <c r="E8" s="1" t="s">
        <v>620</v>
      </c>
      <c r="F8" s="1" t="s">
        <v>302</v>
      </c>
      <c r="G8" s="1" t="s">
        <v>302</v>
      </c>
      <c r="H8" s="1" t="str">
        <f t="shared" si="0"/>
        <v>CHD-I-DSE-2014</v>
      </c>
      <c r="I8" s="1" t="str">
        <f t="shared" si="1"/>
        <v>CHD-I-DSE-2014</v>
      </c>
      <c r="J8" s="1">
        <v>1</v>
      </c>
      <c r="K8" s="207">
        <v>5375</v>
      </c>
      <c r="L8" s="136">
        <v>1107032</v>
      </c>
      <c r="M8" s="138" t="s">
        <v>621</v>
      </c>
      <c r="N8" s="140" t="s">
        <v>621</v>
      </c>
      <c r="O8" s="1" t="s">
        <v>703</v>
      </c>
      <c r="Q8"/>
      <c r="R8" s="136"/>
    </row>
    <row r="9" spans="1:18" ht="14">
      <c r="A9" s="1" t="s">
        <v>716</v>
      </c>
      <c r="B9" s="1" t="s">
        <v>700</v>
      </c>
      <c r="C9" s="1" t="s">
        <v>701</v>
      </c>
      <c r="D9" s="1" t="s">
        <v>717</v>
      </c>
      <c r="E9" s="1" t="s">
        <v>620</v>
      </c>
      <c r="F9" s="1" t="s">
        <v>303</v>
      </c>
      <c r="G9" s="1" t="s">
        <v>303</v>
      </c>
      <c r="H9" s="1" t="str">
        <f t="shared" si="0"/>
        <v>CHD-I-DSE-2015</v>
      </c>
      <c r="I9" s="1" t="str">
        <f t="shared" si="1"/>
        <v>CHD-I-DSE-2015</v>
      </c>
      <c r="J9" s="1">
        <v>1</v>
      </c>
      <c r="K9" s="207">
        <v>5375</v>
      </c>
      <c r="L9" s="136">
        <v>1107032</v>
      </c>
      <c r="M9" s="138" t="s">
        <v>621</v>
      </c>
      <c r="N9" s="140" t="s">
        <v>621</v>
      </c>
      <c r="O9" s="1" t="s">
        <v>703</v>
      </c>
      <c r="Q9"/>
      <c r="R9" s="136"/>
    </row>
    <row r="10" spans="1:18" ht="14">
      <c r="A10" s="1" t="s">
        <v>718</v>
      </c>
      <c r="B10" s="1" t="s">
        <v>700</v>
      </c>
      <c r="C10" s="1" t="s">
        <v>701</v>
      </c>
      <c r="D10" s="1" t="s">
        <v>719</v>
      </c>
      <c r="E10" s="1" t="s">
        <v>620</v>
      </c>
      <c r="F10" s="1" t="s">
        <v>304</v>
      </c>
      <c r="G10" s="1" t="s">
        <v>304</v>
      </c>
      <c r="H10" s="1" t="str">
        <f t="shared" si="0"/>
        <v>CHD-I-DSE-2033</v>
      </c>
      <c r="I10" s="1" t="str">
        <f t="shared" si="1"/>
        <v>CHD-I-DSE-2033</v>
      </c>
      <c r="J10" s="1">
        <v>1</v>
      </c>
      <c r="K10" s="207">
        <v>15391</v>
      </c>
      <c r="L10" s="136">
        <v>1529628</v>
      </c>
      <c r="M10" s="138" t="s">
        <v>621</v>
      </c>
      <c r="N10" s="140" t="s">
        <v>621</v>
      </c>
      <c r="O10" s="1" t="s">
        <v>703</v>
      </c>
      <c r="Q10"/>
      <c r="R10" s="136"/>
    </row>
    <row r="11" spans="1:18" ht="14">
      <c r="A11" s="1" t="s">
        <v>720</v>
      </c>
      <c r="B11" s="1" t="s">
        <v>700</v>
      </c>
      <c r="C11" s="1" t="s">
        <v>701</v>
      </c>
      <c r="D11" s="1" t="s">
        <v>721</v>
      </c>
      <c r="E11" s="1" t="s">
        <v>620</v>
      </c>
      <c r="F11" s="1" t="s">
        <v>305</v>
      </c>
      <c r="G11" s="1" t="s">
        <v>305</v>
      </c>
      <c r="H11" s="1" t="str">
        <f t="shared" si="0"/>
        <v>CHD-I-DSE-2035</v>
      </c>
      <c r="I11" s="1" t="str">
        <f t="shared" si="1"/>
        <v>CHD-I-DSE-2035</v>
      </c>
      <c r="J11" s="1">
        <v>1</v>
      </c>
      <c r="K11" s="207">
        <v>17881</v>
      </c>
      <c r="L11" s="136">
        <v>1768103.3641742109</v>
      </c>
      <c r="M11" s="138" t="s">
        <v>621</v>
      </c>
      <c r="N11" s="140" t="s">
        <v>621</v>
      </c>
      <c r="O11" s="1" t="s">
        <v>703</v>
      </c>
      <c r="Q11"/>
      <c r="R11" s="136"/>
    </row>
    <row r="12" spans="1:18" ht="25">
      <c r="A12" s="1" t="s">
        <v>722</v>
      </c>
      <c r="B12" s="1" t="s">
        <v>700</v>
      </c>
      <c r="C12" s="1" t="s">
        <v>701</v>
      </c>
      <c r="D12" s="1" t="s">
        <v>723</v>
      </c>
      <c r="E12" s="1" t="s">
        <v>620</v>
      </c>
      <c r="F12" s="1" t="s">
        <v>306</v>
      </c>
      <c r="G12" s="1" t="s">
        <v>306</v>
      </c>
      <c r="H12" s="1" t="str">
        <f t="shared" si="0"/>
        <v>CHD-I-DSE-2034</v>
      </c>
      <c r="I12" s="1" t="str">
        <f t="shared" si="1"/>
        <v>CHD-I-DSE-2034</v>
      </c>
      <c r="J12" s="1">
        <v>1</v>
      </c>
      <c r="K12" s="207">
        <v>17881</v>
      </c>
      <c r="L12" s="136">
        <v>1768103.3641742109</v>
      </c>
      <c r="M12" s="138" t="s">
        <v>621</v>
      </c>
      <c r="N12" s="140" t="s">
        <v>621</v>
      </c>
      <c r="O12" s="1" t="s">
        <v>703</v>
      </c>
      <c r="Q12"/>
      <c r="R12" s="136"/>
    </row>
    <row r="13" spans="1:18" ht="25">
      <c r="A13" s="1" t="s">
        <v>724</v>
      </c>
      <c r="B13" s="1" t="s">
        <v>700</v>
      </c>
      <c r="C13" s="1" t="s">
        <v>701</v>
      </c>
      <c r="D13" s="1" t="s">
        <v>725</v>
      </c>
      <c r="E13" s="1" t="s">
        <v>620</v>
      </c>
      <c r="F13" s="1" t="s">
        <v>307</v>
      </c>
      <c r="G13" s="1" t="s">
        <v>307</v>
      </c>
      <c r="H13" s="1" t="str">
        <f t="shared" si="0"/>
        <v>CHD-I-DSE-2036</v>
      </c>
      <c r="I13" s="1" t="str">
        <f t="shared" si="1"/>
        <v>CHD-I-DSE-2036</v>
      </c>
      <c r="J13" s="1">
        <v>1</v>
      </c>
      <c r="K13" s="207">
        <v>17881</v>
      </c>
      <c r="L13" s="136">
        <v>1768103.3641742109</v>
      </c>
      <c r="M13" s="138" t="s">
        <v>621</v>
      </c>
      <c r="N13" s="140" t="s">
        <v>621</v>
      </c>
      <c r="O13" s="1" t="s">
        <v>703</v>
      </c>
      <c r="Q13"/>
      <c r="R13" s="136"/>
    </row>
    <row r="14" spans="1:18" ht="14">
      <c r="A14" s="1" t="s">
        <v>726</v>
      </c>
      <c r="B14" s="1" t="s">
        <v>700</v>
      </c>
      <c r="C14" s="1" t="s">
        <v>701</v>
      </c>
      <c r="D14" s="1" t="s">
        <v>727</v>
      </c>
      <c r="E14" s="1" t="s">
        <v>620</v>
      </c>
      <c r="F14" s="1" t="s">
        <v>308</v>
      </c>
      <c r="G14" s="1" t="s">
        <v>308</v>
      </c>
      <c r="H14" s="1" t="str">
        <f t="shared" si="0"/>
        <v>CHD-I-DSE-2032</v>
      </c>
      <c r="I14" s="1" t="str">
        <f t="shared" si="1"/>
        <v>CHD-I-DSE-2032</v>
      </c>
      <c r="J14" s="1">
        <v>1</v>
      </c>
      <c r="K14" s="207">
        <v>17881</v>
      </c>
      <c r="L14" s="136">
        <v>1768103.3641742109</v>
      </c>
      <c r="M14" s="138" t="s">
        <v>621</v>
      </c>
      <c r="N14" s="140" t="s">
        <v>621</v>
      </c>
      <c r="O14" s="1" t="s">
        <v>703</v>
      </c>
      <c r="Q14"/>
      <c r="R14" s="136"/>
    </row>
    <row r="15" spans="1:18" ht="25">
      <c r="A15" s="1" t="s">
        <v>728</v>
      </c>
      <c r="B15" s="1" t="s">
        <v>700</v>
      </c>
      <c r="C15" s="1" t="s">
        <v>701</v>
      </c>
      <c r="D15" s="1" t="s">
        <v>729</v>
      </c>
      <c r="E15" s="1" t="s">
        <v>620</v>
      </c>
      <c r="F15" s="1" t="s">
        <v>309</v>
      </c>
      <c r="G15" s="1" t="s">
        <v>309</v>
      </c>
      <c r="H15" s="1" t="str">
        <f t="shared" si="0"/>
        <v>CHD-I-DSE-2032
CHD-I-DSE-2036</v>
      </c>
      <c r="I15" s="1" t="str">
        <f t="shared" si="1"/>
        <v>CHD-I-DSE-2032
CHD-I-DSE-2036</v>
      </c>
      <c r="J15" s="1">
        <v>1</v>
      </c>
      <c r="K15" s="207">
        <v>23878</v>
      </c>
      <c r="L15" s="136">
        <v>2532031.1522322809</v>
      </c>
      <c r="M15" s="138" t="s">
        <v>621</v>
      </c>
      <c r="N15" s="140" t="s">
        <v>621</v>
      </c>
      <c r="O15" s="1" t="s">
        <v>703</v>
      </c>
      <c r="Q15"/>
      <c r="R15" s="136"/>
    </row>
    <row r="16" spans="1:18" ht="14">
      <c r="A16" s="1" t="s">
        <v>730</v>
      </c>
      <c r="B16" s="1" t="s">
        <v>700</v>
      </c>
      <c r="C16" s="1" t="s">
        <v>139</v>
      </c>
      <c r="D16" s="1" t="s">
        <v>731</v>
      </c>
      <c r="E16" s="1" t="s">
        <v>620</v>
      </c>
      <c r="F16" s="1"/>
      <c r="G16" s="1"/>
      <c r="H16" s="1">
        <f t="shared" si="0"/>
        <v>0</v>
      </c>
      <c r="I16" s="1">
        <f t="shared" si="1"/>
        <v>0</v>
      </c>
      <c r="J16" s="1">
        <v>1</v>
      </c>
      <c r="K16" s="207">
        <v>24113</v>
      </c>
      <c r="L16" s="136">
        <v>2444751.1522322809</v>
      </c>
      <c r="M16" s="138" t="s">
        <v>621</v>
      </c>
      <c r="N16" s="140" t="s">
        <v>621</v>
      </c>
      <c r="O16" s="1" t="s">
        <v>703</v>
      </c>
      <c r="Q16"/>
      <c r="R16" s="136"/>
    </row>
    <row r="17" spans="1:18" ht="14">
      <c r="A17" s="1" t="s">
        <v>732</v>
      </c>
      <c r="B17" s="1" t="s">
        <v>700</v>
      </c>
      <c r="C17" s="1" t="s">
        <v>139</v>
      </c>
      <c r="D17" s="1" t="s">
        <v>733</v>
      </c>
      <c r="E17" s="1" t="s">
        <v>620</v>
      </c>
      <c r="F17" s="1"/>
      <c r="G17" s="1"/>
      <c r="H17" s="1">
        <f t="shared" si="0"/>
        <v>0</v>
      </c>
      <c r="I17" s="1">
        <f t="shared" si="1"/>
        <v>0</v>
      </c>
      <c r="J17" s="1">
        <v>1</v>
      </c>
      <c r="K17" s="207">
        <v>24113</v>
      </c>
      <c r="L17" s="136">
        <v>2444751.1522322809</v>
      </c>
      <c r="M17" s="138" t="s">
        <v>621</v>
      </c>
      <c r="N17" s="140" t="s">
        <v>621</v>
      </c>
      <c r="O17" s="1" t="s">
        <v>703</v>
      </c>
      <c r="Q17"/>
      <c r="R17" s="136"/>
    </row>
    <row r="18" spans="1:18" ht="14">
      <c r="A18" s="1" t="s">
        <v>734</v>
      </c>
      <c r="B18" s="1" t="s">
        <v>700</v>
      </c>
      <c r="C18" s="1" t="s">
        <v>701</v>
      </c>
      <c r="D18" s="1" t="s">
        <v>735</v>
      </c>
      <c r="E18" s="1" t="s">
        <v>530</v>
      </c>
      <c r="F18" s="1" t="s">
        <v>310</v>
      </c>
      <c r="G18" s="1" t="s">
        <v>310</v>
      </c>
      <c r="H18" s="1" t="str">
        <f t="shared" si="0"/>
        <v>GMW15880</v>
      </c>
      <c r="I18" s="1" t="str">
        <f t="shared" si="1"/>
        <v>GMW15880</v>
      </c>
      <c r="J18" s="1">
        <v>6</v>
      </c>
      <c r="K18" s="207">
        <v>38590</v>
      </c>
      <c r="L18" s="136">
        <v>8543874</v>
      </c>
      <c r="M18" s="138" t="s">
        <v>621</v>
      </c>
      <c r="N18" s="140" t="s">
        <v>621</v>
      </c>
      <c r="O18" s="1" t="s">
        <v>703</v>
      </c>
      <c r="Q18"/>
      <c r="R18" s="136"/>
    </row>
    <row r="19" spans="1:18" ht="14">
      <c r="A19" s="1" t="s">
        <v>736</v>
      </c>
      <c r="B19" s="1" t="s">
        <v>700</v>
      </c>
      <c r="C19" s="1" t="s">
        <v>701</v>
      </c>
      <c r="D19" s="1" t="s">
        <v>702</v>
      </c>
      <c r="E19" s="1" t="s">
        <v>595</v>
      </c>
      <c r="F19" s="1" t="s">
        <v>311</v>
      </c>
      <c r="G19" s="1" t="s">
        <v>311</v>
      </c>
      <c r="H19" s="1" t="str">
        <f t="shared" si="0"/>
        <v>CETP_09.01-L-900</v>
      </c>
      <c r="I19" s="1" t="str">
        <f t="shared" si="1"/>
        <v>CETP_09.01-L-900</v>
      </c>
      <c r="J19" s="1">
        <v>1</v>
      </c>
      <c r="K19" s="207">
        <v>8885</v>
      </c>
      <c r="L19" s="136">
        <v>1915486</v>
      </c>
      <c r="M19" s="138" t="s">
        <v>621</v>
      </c>
      <c r="N19" s="140" t="s">
        <v>621</v>
      </c>
      <c r="O19" s="1" t="s">
        <v>703</v>
      </c>
      <c r="Q19"/>
      <c r="R19" s="136"/>
    </row>
    <row r="20" spans="1:18" ht="14">
      <c r="A20" s="1" t="s">
        <v>737</v>
      </c>
      <c r="B20" s="1" t="s">
        <v>700</v>
      </c>
      <c r="C20" s="1" t="s">
        <v>701</v>
      </c>
      <c r="D20" s="1" t="s">
        <v>738</v>
      </c>
      <c r="E20" s="1" t="s">
        <v>595</v>
      </c>
      <c r="F20" s="1" t="s">
        <v>311</v>
      </c>
      <c r="G20" s="1" t="s">
        <v>311</v>
      </c>
      <c r="H20" s="1" t="str">
        <f t="shared" si="0"/>
        <v>CETP_09.01-L-900</v>
      </c>
      <c r="I20" s="1" t="str">
        <f t="shared" si="1"/>
        <v>CETP_09.01-L-900</v>
      </c>
      <c r="J20" s="1">
        <v>1</v>
      </c>
      <c r="K20" s="207">
        <v>5945</v>
      </c>
      <c r="L20" s="136">
        <v>1281592</v>
      </c>
      <c r="M20" s="138" t="s">
        <v>621</v>
      </c>
      <c r="N20" s="140" t="s">
        <v>621</v>
      </c>
      <c r="O20" s="1" t="s">
        <v>703</v>
      </c>
      <c r="Q20"/>
      <c r="R20" s="136"/>
    </row>
    <row r="21" spans="1:18" ht="14">
      <c r="A21" s="1" t="s">
        <v>739</v>
      </c>
      <c r="B21" s="1" t="s">
        <v>700</v>
      </c>
      <c r="C21" s="1" t="s">
        <v>701</v>
      </c>
      <c r="D21" s="1" t="s">
        <v>707</v>
      </c>
      <c r="E21" s="1" t="s">
        <v>740</v>
      </c>
      <c r="F21" s="1" t="s">
        <v>312</v>
      </c>
      <c r="G21" s="1" t="s">
        <v>312</v>
      </c>
      <c r="H21" s="1" t="str">
        <f t="shared" si="0"/>
        <v>ES28600-09 6.1</v>
      </c>
      <c r="I21" s="1" t="str">
        <f t="shared" si="1"/>
        <v>ES28600-09 6.1</v>
      </c>
      <c r="J21" s="1">
        <v>1</v>
      </c>
      <c r="K21" s="207">
        <v>12457.5</v>
      </c>
      <c r="L21" s="136">
        <v>3018350.7583852322</v>
      </c>
      <c r="M21" s="138" t="s">
        <v>621</v>
      </c>
      <c r="N21" s="140" t="s">
        <v>621</v>
      </c>
      <c r="O21" s="1" t="s">
        <v>703</v>
      </c>
      <c r="Q21"/>
      <c r="R21" s="136"/>
    </row>
    <row r="22" spans="1:18" ht="14">
      <c r="A22" s="1" t="s">
        <v>741</v>
      </c>
      <c r="B22" s="1" t="s">
        <v>700</v>
      </c>
      <c r="C22" s="1" t="s">
        <v>701</v>
      </c>
      <c r="D22" s="1" t="s">
        <v>742</v>
      </c>
      <c r="E22" s="1" t="s">
        <v>740</v>
      </c>
      <c r="F22" s="1" t="s">
        <v>313</v>
      </c>
      <c r="G22" s="1" t="s">
        <v>313</v>
      </c>
      <c r="H22" s="1" t="str">
        <f t="shared" si="0"/>
        <v>ES28600-09 6.2</v>
      </c>
      <c r="I22" s="1" t="str">
        <f t="shared" si="1"/>
        <v>ES28600-09 6.2</v>
      </c>
      <c r="J22" s="1">
        <v>1</v>
      </c>
      <c r="K22" s="207">
        <v>10560</v>
      </c>
      <c r="L22" s="136">
        <v>2454028.733371078</v>
      </c>
      <c r="M22" s="138" t="s">
        <v>621</v>
      </c>
      <c r="N22" s="140" t="s">
        <v>621</v>
      </c>
      <c r="O22" s="1" t="s">
        <v>703</v>
      </c>
      <c r="Q22"/>
      <c r="R22" s="136"/>
    </row>
    <row r="23" spans="1:18" ht="25">
      <c r="A23" s="1" t="s">
        <v>743</v>
      </c>
      <c r="B23" s="1" t="s">
        <v>700</v>
      </c>
      <c r="C23" s="1" t="s">
        <v>701</v>
      </c>
      <c r="D23" s="1" t="s">
        <v>744</v>
      </c>
      <c r="E23" s="1" t="s">
        <v>740</v>
      </c>
      <c r="F23" s="1" t="s">
        <v>314</v>
      </c>
      <c r="G23" s="1"/>
      <c r="H23" s="1" t="str">
        <f t="shared" si="0"/>
        <v>ES28600-09 6.3</v>
      </c>
      <c r="I23" s="1" t="str">
        <f t="shared" si="1"/>
        <v>ES28600-09 6.3</v>
      </c>
      <c r="J23" s="1">
        <v>3</v>
      </c>
      <c r="K23" s="207">
        <v>19130</v>
      </c>
      <c r="L23" s="136" t="s">
        <v>621</v>
      </c>
      <c r="M23" s="138" t="s">
        <v>621</v>
      </c>
      <c r="N23" s="140" t="s">
        <v>621</v>
      </c>
      <c r="O23" s="1" t="s">
        <v>460</v>
      </c>
      <c r="Q23"/>
      <c r="R23" s="136"/>
    </row>
    <row r="24" spans="1:18" ht="14">
      <c r="A24" s="1" t="s">
        <v>745</v>
      </c>
      <c r="B24" s="1" t="s">
        <v>700</v>
      </c>
      <c r="C24" s="1" t="s">
        <v>701</v>
      </c>
      <c r="D24" s="1" t="s">
        <v>746</v>
      </c>
      <c r="E24" s="1" t="s">
        <v>740</v>
      </c>
      <c r="F24" s="1" t="s">
        <v>315</v>
      </c>
      <c r="G24" s="1" t="s">
        <v>315</v>
      </c>
      <c r="H24" s="1" t="str">
        <f t="shared" si="0"/>
        <v>ES28600-09 6.4</v>
      </c>
      <c r="I24" s="1" t="str">
        <f t="shared" si="1"/>
        <v>ES28600-09 6.4</v>
      </c>
      <c r="J24" s="1">
        <v>1</v>
      </c>
      <c r="K24" s="207">
        <v>9865</v>
      </c>
      <c r="L24" s="136">
        <v>2450575.4167138468</v>
      </c>
      <c r="M24" s="138" t="s">
        <v>621</v>
      </c>
      <c r="N24" s="140" t="s">
        <v>621</v>
      </c>
      <c r="O24" s="1" t="s">
        <v>703</v>
      </c>
      <c r="Q24"/>
      <c r="R24" s="136"/>
    </row>
    <row r="25" spans="1:18" ht="25">
      <c r="A25" s="1" t="s">
        <v>747</v>
      </c>
      <c r="B25" s="1" t="s">
        <v>700</v>
      </c>
      <c r="C25" s="1" t="s">
        <v>701</v>
      </c>
      <c r="D25" s="1" t="s">
        <v>748</v>
      </c>
      <c r="E25" s="1" t="s">
        <v>530</v>
      </c>
      <c r="F25" s="1" t="s">
        <v>316</v>
      </c>
      <c r="G25" s="1" t="s">
        <v>316</v>
      </c>
      <c r="H25" s="1" t="str">
        <f t="shared" si="0"/>
        <v>GMW14161</v>
      </c>
      <c r="I25" s="1" t="str">
        <f t="shared" si="1"/>
        <v>GMW14161</v>
      </c>
      <c r="J25" s="1">
        <v>1</v>
      </c>
      <c r="K25" s="207">
        <v>18451</v>
      </c>
      <c r="L25" s="136">
        <v>1704188</v>
      </c>
      <c r="M25" s="138" t="s">
        <v>621</v>
      </c>
      <c r="N25" s="140" t="s">
        <v>621</v>
      </c>
      <c r="O25" s="1" t="s">
        <v>703</v>
      </c>
      <c r="Q25"/>
      <c r="R25" s="136"/>
    </row>
    <row r="26" spans="1:18" ht="25">
      <c r="A26" s="1" t="s">
        <v>749</v>
      </c>
      <c r="B26" s="1" t="s">
        <v>700</v>
      </c>
      <c r="C26" s="1" t="s">
        <v>701</v>
      </c>
      <c r="D26" s="1" t="s">
        <v>750</v>
      </c>
      <c r="E26" s="1" t="s">
        <v>530</v>
      </c>
      <c r="F26" s="1" t="s">
        <v>317</v>
      </c>
      <c r="G26" s="1" t="s">
        <v>317</v>
      </c>
      <c r="H26" s="1" t="str">
        <f t="shared" si="0"/>
        <v>GMW14218</v>
      </c>
      <c r="I26" s="1" t="str">
        <f t="shared" si="1"/>
        <v>GMW14218</v>
      </c>
      <c r="J26" s="1">
        <v>1</v>
      </c>
      <c r="K26" s="207">
        <v>18451</v>
      </c>
      <c r="L26" s="136">
        <v>1704188</v>
      </c>
      <c r="M26" s="138" t="s">
        <v>621</v>
      </c>
      <c r="N26" s="140" t="s">
        <v>621</v>
      </c>
      <c r="O26" s="1" t="s">
        <v>703</v>
      </c>
      <c r="Q26"/>
      <c r="R26" s="136"/>
    </row>
    <row r="27" spans="1:18" ht="37.5">
      <c r="A27" s="1" t="s">
        <v>751</v>
      </c>
      <c r="B27" s="1" t="s">
        <v>700</v>
      </c>
      <c r="C27" s="1" t="s">
        <v>701</v>
      </c>
      <c r="D27" s="1" t="s">
        <v>752</v>
      </c>
      <c r="E27" s="1" t="s">
        <v>740</v>
      </c>
      <c r="F27" s="1" t="s">
        <v>318</v>
      </c>
      <c r="G27" s="1" t="s">
        <v>318</v>
      </c>
      <c r="H27" s="1" t="str">
        <f t="shared" si="0"/>
        <v>ES28530-01 5.1
ES28530-02 6.1
ES28990-01 6.1</v>
      </c>
      <c r="I27" s="1" t="str">
        <f t="shared" si="1"/>
        <v>ES28530-01 5.1
ES28530-02 6.1
ES28990-01 6.1</v>
      </c>
      <c r="J27" s="1">
        <v>1</v>
      </c>
      <c r="K27" s="207">
        <v>11365</v>
      </c>
      <c r="L27" s="136">
        <v>2640409.4167138468</v>
      </c>
      <c r="M27" s="138" t="s">
        <v>621</v>
      </c>
      <c r="N27" s="140" t="s">
        <v>621</v>
      </c>
      <c r="O27" s="1" t="s">
        <v>703</v>
      </c>
      <c r="Q27"/>
      <c r="R27" s="136"/>
    </row>
    <row r="28" spans="1:18" ht="25">
      <c r="A28" s="1" t="s">
        <v>753</v>
      </c>
      <c r="B28" s="1" t="s">
        <v>700</v>
      </c>
      <c r="C28" s="1" t="s">
        <v>701</v>
      </c>
      <c r="D28" s="1" t="s">
        <v>754</v>
      </c>
      <c r="E28" s="1" t="s">
        <v>530</v>
      </c>
      <c r="F28" s="1" t="s">
        <v>319</v>
      </c>
      <c r="G28" s="1"/>
      <c r="H28" s="1" t="str">
        <f t="shared" si="0"/>
        <v>GMW14379-2012</v>
      </c>
      <c r="I28" s="1" t="str">
        <f t="shared" si="1"/>
        <v>GMW14379-2012</v>
      </c>
      <c r="J28" s="1">
        <v>1</v>
      </c>
      <c r="K28" s="207">
        <v>42846</v>
      </c>
      <c r="L28" s="136" t="s">
        <v>621</v>
      </c>
      <c r="M28" s="138" t="s">
        <v>621</v>
      </c>
      <c r="N28" s="140" t="s">
        <v>621</v>
      </c>
      <c r="O28" s="1" t="s">
        <v>460</v>
      </c>
      <c r="Q28"/>
      <c r="R28" s="136"/>
    </row>
    <row r="29" spans="1:18" ht="14">
      <c r="A29" s="1" t="s">
        <v>755</v>
      </c>
      <c r="B29" s="1" t="s">
        <v>700</v>
      </c>
      <c r="C29" s="1" t="s">
        <v>701</v>
      </c>
      <c r="D29" s="1" t="s">
        <v>756</v>
      </c>
      <c r="E29" s="1" t="s">
        <v>580</v>
      </c>
      <c r="F29" s="1" t="s">
        <v>320</v>
      </c>
      <c r="G29" s="1"/>
      <c r="H29" s="1" t="str">
        <f t="shared" si="0"/>
        <v>PF.90160 9.3.5</v>
      </c>
      <c r="I29" s="1" t="str">
        <f t="shared" si="1"/>
        <v>PF.90160 9.3.5</v>
      </c>
      <c r="J29" s="1">
        <v>1</v>
      </c>
      <c r="K29" s="207">
        <v>382068</v>
      </c>
      <c r="L29" s="136" t="s">
        <v>621</v>
      </c>
      <c r="M29" s="138" t="s">
        <v>621</v>
      </c>
      <c r="N29" s="140" t="s">
        <v>621</v>
      </c>
      <c r="O29" s="1" t="s">
        <v>460</v>
      </c>
      <c r="Q29"/>
      <c r="R29" s="136"/>
    </row>
    <row r="30" spans="1:18" ht="37.5">
      <c r="A30" s="1" t="s">
        <v>757</v>
      </c>
      <c r="B30" s="1" t="s">
        <v>700</v>
      </c>
      <c r="C30" s="1" t="s">
        <v>701</v>
      </c>
      <c r="D30" s="1" t="s">
        <v>758</v>
      </c>
      <c r="E30" s="1" t="s">
        <v>620</v>
      </c>
      <c r="F30" s="1" t="s">
        <v>296</v>
      </c>
      <c r="G30" s="1" t="s">
        <v>296</v>
      </c>
      <c r="H30" s="1" t="str">
        <f t="shared" si="0"/>
        <v>CHD-I-DSE-2012
CHD-I-DSE-2013
CHD-I-DSE-2017</v>
      </c>
      <c r="I30" s="1" t="str">
        <f t="shared" si="1"/>
        <v>CHD-I-DSE-2012
CHD-I-DSE-2013
CHD-I-DSE-2017</v>
      </c>
      <c r="J30" s="1">
        <v>3</v>
      </c>
      <c r="K30" s="207">
        <v>21390</v>
      </c>
      <c r="L30" s="136">
        <v>4533777</v>
      </c>
      <c r="M30" s="138" t="s">
        <v>621</v>
      </c>
      <c r="N30" s="140" t="s">
        <v>621</v>
      </c>
      <c r="O30" s="1" t="s">
        <v>703</v>
      </c>
      <c r="Q30"/>
      <c r="R30" s="136"/>
    </row>
    <row r="31" spans="1:18" ht="25">
      <c r="A31" s="1" t="s">
        <v>759</v>
      </c>
      <c r="B31" s="1" t="s">
        <v>700</v>
      </c>
      <c r="C31" s="1" t="s">
        <v>701</v>
      </c>
      <c r="D31" s="1" t="s">
        <v>760</v>
      </c>
      <c r="E31" s="1" t="s">
        <v>620</v>
      </c>
      <c r="F31" s="1" t="s">
        <v>309</v>
      </c>
      <c r="G31" s="1" t="s">
        <v>309</v>
      </c>
      <c r="H31" s="1" t="str">
        <f t="shared" si="0"/>
        <v>CHD-I-DSE-2032
CHD-I-DSE-2036</v>
      </c>
      <c r="I31" s="1" t="str">
        <f t="shared" si="1"/>
        <v>CHD-I-DSE-2032
CHD-I-DSE-2036</v>
      </c>
      <c r="J31" s="1">
        <v>3</v>
      </c>
      <c r="K31" s="207">
        <v>67294</v>
      </c>
      <c r="L31" s="136">
        <v>9282728</v>
      </c>
      <c r="M31" s="138" t="s">
        <v>621</v>
      </c>
      <c r="N31" s="140" t="s">
        <v>621</v>
      </c>
      <c r="O31" s="1" t="s">
        <v>703</v>
      </c>
      <c r="Q31"/>
      <c r="R31" s="136"/>
    </row>
    <row r="32" spans="1:18" ht="25">
      <c r="A32" s="1" t="s">
        <v>761</v>
      </c>
      <c r="B32" s="1" t="s">
        <v>700</v>
      </c>
      <c r="C32" s="1" t="s">
        <v>701</v>
      </c>
      <c r="D32" s="1" t="s">
        <v>758</v>
      </c>
      <c r="E32" s="1" t="s">
        <v>595</v>
      </c>
      <c r="F32" s="1" t="s">
        <v>311</v>
      </c>
      <c r="G32" s="1" t="s">
        <v>311</v>
      </c>
      <c r="H32" s="1" t="str">
        <f t="shared" si="0"/>
        <v>CETP_09.01-L-900</v>
      </c>
      <c r="I32" s="1" t="str">
        <f t="shared" si="1"/>
        <v>CETP_09.01-L-900</v>
      </c>
      <c r="J32" s="1">
        <v>3</v>
      </c>
      <c r="K32" s="207">
        <v>21390</v>
      </c>
      <c r="L32" s="136">
        <v>4533777</v>
      </c>
      <c r="M32" s="138" t="s">
        <v>621</v>
      </c>
      <c r="N32" s="140" t="s">
        <v>621</v>
      </c>
      <c r="O32" s="1" t="s">
        <v>703</v>
      </c>
      <c r="Q32"/>
      <c r="R32" s="136"/>
    </row>
    <row r="33" spans="1:18" ht="14">
      <c r="A33" s="1" t="s">
        <v>762</v>
      </c>
      <c r="B33" s="1" t="s">
        <v>700</v>
      </c>
      <c r="C33" s="1" t="s">
        <v>701</v>
      </c>
      <c r="D33" s="1" t="s">
        <v>763</v>
      </c>
      <c r="E33" s="1" t="s">
        <v>740</v>
      </c>
      <c r="F33" s="1"/>
      <c r="G33" s="1" t="s">
        <v>332</v>
      </c>
      <c r="H33" s="1">
        <f t="shared" si="0"/>
        <v>0</v>
      </c>
      <c r="I33" s="1">
        <f t="shared" si="1"/>
        <v>0</v>
      </c>
      <c r="J33" s="1">
        <v>1</v>
      </c>
      <c r="K33" s="207" t="s">
        <v>621</v>
      </c>
      <c r="L33" s="136">
        <v>890962.03807698213</v>
      </c>
      <c r="M33" s="138" t="s">
        <v>621</v>
      </c>
      <c r="N33" s="140" t="s">
        <v>621</v>
      </c>
      <c r="O33" s="1" t="s">
        <v>93</v>
      </c>
      <c r="Q33"/>
      <c r="R33" s="136"/>
    </row>
    <row r="34" spans="1:18" ht="14">
      <c r="A34" s="1" t="s">
        <v>764</v>
      </c>
      <c r="B34" s="1" t="s">
        <v>700</v>
      </c>
      <c r="C34" s="1" t="s">
        <v>701</v>
      </c>
      <c r="D34" s="1" t="s">
        <v>765</v>
      </c>
      <c r="E34" s="1" t="s">
        <v>655</v>
      </c>
      <c r="F34" s="1" t="s">
        <v>321</v>
      </c>
      <c r="G34" s="1" t="s">
        <v>321</v>
      </c>
      <c r="H34" s="1" t="str">
        <f t="shared" si="0"/>
        <v>E_20000NDS01_10 3.3.1</v>
      </c>
      <c r="I34" s="1" t="str">
        <f t="shared" si="1"/>
        <v>E_20000NDS01_10 3.3.1</v>
      </c>
      <c r="J34" s="1">
        <v>1</v>
      </c>
      <c r="K34" s="207">
        <v>9170</v>
      </c>
      <c r="L34" s="136">
        <v>2002766</v>
      </c>
      <c r="M34" s="138" t="s">
        <v>621</v>
      </c>
      <c r="N34" s="140" t="s">
        <v>621</v>
      </c>
      <c r="O34" s="1" t="s">
        <v>703</v>
      </c>
      <c r="Q34"/>
      <c r="R34" s="136"/>
    </row>
    <row r="35" spans="1:18" ht="14">
      <c r="A35" s="1" t="s">
        <v>766</v>
      </c>
      <c r="B35" s="1" t="s">
        <v>700</v>
      </c>
      <c r="C35" s="1" t="s">
        <v>701</v>
      </c>
      <c r="D35" s="1" t="s">
        <v>765</v>
      </c>
      <c r="E35" s="1" t="s">
        <v>655</v>
      </c>
      <c r="F35" s="1" t="s">
        <v>322</v>
      </c>
      <c r="G35" s="1" t="s">
        <v>322</v>
      </c>
      <c r="H35" s="1" t="str">
        <f t="shared" si="0"/>
        <v>E_20000NDS01_10 3.3.2</v>
      </c>
      <c r="I35" s="1" t="str">
        <f t="shared" si="1"/>
        <v>E_20000NDS01_10 3.3.2</v>
      </c>
      <c r="J35" s="1">
        <v>1</v>
      </c>
      <c r="K35" s="207">
        <v>25760</v>
      </c>
      <c r="L35" s="136">
        <v>5622440</v>
      </c>
      <c r="M35" s="138" t="s">
        <v>621</v>
      </c>
      <c r="N35" s="140" t="s">
        <v>621</v>
      </c>
      <c r="O35" s="1" t="s">
        <v>703</v>
      </c>
      <c r="Q35"/>
      <c r="R35" s="136"/>
    </row>
    <row r="36" spans="1:18" ht="14">
      <c r="A36" s="1" t="s">
        <v>1365</v>
      </c>
      <c r="B36" s="1" t="s">
        <v>700</v>
      </c>
      <c r="C36" s="1" t="s">
        <v>701</v>
      </c>
      <c r="D36" s="1" t="s">
        <v>767</v>
      </c>
      <c r="E36" s="1" t="s">
        <v>740</v>
      </c>
      <c r="F36" s="1"/>
      <c r="G36" s="1" t="s">
        <v>314</v>
      </c>
      <c r="H36" s="1">
        <f t="shared" si="0"/>
        <v>0</v>
      </c>
      <c r="I36" s="1">
        <f t="shared" si="1"/>
        <v>0</v>
      </c>
      <c r="J36" s="1">
        <v>1</v>
      </c>
      <c r="K36" s="207" t="s">
        <v>621</v>
      </c>
      <c r="L36" s="136">
        <v>2450575.4167138468</v>
      </c>
      <c r="M36" s="138" t="s">
        <v>621</v>
      </c>
      <c r="N36" s="140" t="s">
        <v>621</v>
      </c>
      <c r="O36" s="1" t="s">
        <v>93</v>
      </c>
      <c r="Q36"/>
      <c r="R36" s="136"/>
    </row>
    <row r="37" spans="1:18" ht="14">
      <c r="A37" s="1" t="s">
        <v>1366</v>
      </c>
      <c r="B37" s="1" t="s">
        <v>768</v>
      </c>
      <c r="C37" s="1" t="s">
        <v>701</v>
      </c>
      <c r="D37" s="1" t="s">
        <v>769</v>
      </c>
      <c r="E37" s="1" t="s">
        <v>620</v>
      </c>
      <c r="F37" s="1" t="s">
        <v>323</v>
      </c>
      <c r="G37" s="1"/>
      <c r="H37" s="1" t="str">
        <f t="shared" si="0"/>
        <v>CHD-I-DSE-2041</v>
      </c>
      <c r="I37" s="1" t="str">
        <f t="shared" si="1"/>
        <v>CHD-I-DSE-2041</v>
      </c>
      <c r="J37" s="1">
        <v>1</v>
      </c>
      <c r="K37" s="207">
        <v>2402.5</v>
      </c>
      <c r="L37" s="136" t="s">
        <v>621</v>
      </c>
      <c r="M37" s="138">
        <v>23300</v>
      </c>
      <c r="N37" s="140" t="s">
        <v>621</v>
      </c>
      <c r="O37" s="1" t="s">
        <v>703</v>
      </c>
      <c r="Q37"/>
      <c r="R37" s="136"/>
    </row>
    <row r="38" spans="1:18" ht="14">
      <c r="A38" s="1" t="s">
        <v>770</v>
      </c>
      <c r="B38" s="1" t="s">
        <v>768</v>
      </c>
      <c r="C38" s="1" t="s">
        <v>139</v>
      </c>
      <c r="D38" s="1" t="s">
        <v>771</v>
      </c>
      <c r="E38" s="1" t="s">
        <v>620</v>
      </c>
      <c r="F38" s="1" t="s">
        <v>324</v>
      </c>
      <c r="G38" s="1" t="s">
        <v>324</v>
      </c>
      <c r="H38" s="1" t="str">
        <f t="shared" si="0"/>
        <v>CHD-I-DSE-2010</v>
      </c>
      <c r="I38" s="1" t="str">
        <f t="shared" si="1"/>
        <v>CHD-I-DSE-2010</v>
      </c>
      <c r="J38" s="1">
        <v>1</v>
      </c>
      <c r="K38" s="207">
        <v>1137.5</v>
      </c>
      <c r="L38" s="136">
        <v>319374</v>
      </c>
      <c r="M38" s="138">
        <v>11300</v>
      </c>
      <c r="N38" s="140" t="s">
        <v>621</v>
      </c>
      <c r="O38" s="1" t="s">
        <v>703</v>
      </c>
      <c r="Q38"/>
      <c r="R38" s="136"/>
    </row>
    <row r="39" spans="1:18" ht="14">
      <c r="A39" s="1" t="s">
        <v>772</v>
      </c>
      <c r="B39" s="1" t="s">
        <v>768</v>
      </c>
      <c r="C39" s="1" t="s">
        <v>139</v>
      </c>
      <c r="D39" s="1" t="s">
        <v>773</v>
      </c>
      <c r="E39" s="1" t="s">
        <v>620</v>
      </c>
      <c r="F39" s="1" t="s">
        <v>325</v>
      </c>
      <c r="G39" s="1" t="s">
        <v>325</v>
      </c>
      <c r="H39" s="1" t="str">
        <f t="shared" si="0"/>
        <v>CHD-I-DSE-2011</v>
      </c>
      <c r="I39" s="1" t="str">
        <f t="shared" si="1"/>
        <v>CHD-I-DSE-2011</v>
      </c>
      <c r="J39" s="1">
        <v>1</v>
      </c>
      <c r="K39" s="207">
        <v>1672.5</v>
      </c>
      <c r="L39" s="136">
        <v>413601</v>
      </c>
      <c r="M39" s="138">
        <v>15300</v>
      </c>
      <c r="N39" s="140" t="s">
        <v>621</v>
      </c>
      <c r="O39" s="1" t="s">
        <v>703</v>
      </c>
      <c r="Q39"/>
      <c r="R39" s="136"/>
    </row>
    <row r="40" spans="1:18" ht="14">
      <c r="A40" s="1" t="s">
        <v>774</v>
      </c>
      <c r="B40" s="1" t="s">
        <v>768</v>
      </c>
      <c r="C40" s="1" t="s">
        <v>701</v>
      </c>
      <c r="D40" s="1" t="s">
        <v>775</v>
      </c>
      <c r="E40" s="1" t="s">
        <v>620</v>
      </c>
      <c r="F40" s="1" t="s">
        <v>326</v>
      </c>
      <c r="G40" s="1" t="s">
        <v>326</v>
      </c>
      <c r="H40" s="1" t="str">
        <f t="shared" si="0"/>
        <v>CHD-I-DSE-2008</v>
      </c>
      <c r="I40" s="1" t="str">
        <f t="shared" si="1"/>
        <v>CHD-I-DSE-2008</v>
      </c>
      <c r="J40" s="1">
        <v>1</v>
      </c>
      <c r="K40" s="207">
        <v>1892.5</v>
      </c>
      <c r="L40" s="136">
        <v>413601</v>
      </c>
      <c r="M40" s="138">
        <v>15300</v>
      </c>
      <c r="N40" s="140" t="s">
        <v>621</v>
      </c>
      <c r="O40" s="1" t="s">
        <v>703</v>
      </c>
      <c r="Q40"/>
      <c r="R40" s="136"/>
    </row>
    <row r="41" spans="1:18" ht="14">
      <c r="A41" s="1" t="s">
        <v>776</v>
      </c>
      <c r="B41" s="1" t="s">
        <v>768</v>
      </c>
      <c r="C41" s="1" t="s">
        <v>701</v>
      </c>
      <c r="D41" s="1" t="s">
        <v>773</v>
      </c>
      <c r="E41" s="1" t="s">
        <v>530</v>
      </c>
      <c r="F41" s="1" t="s">
        <v>327</v>
      </c>
      <c r="G41" s="1" t="s">
        <v>327</v>
      </c>
      <c r="H41" s="1" t="str">
        <f t="shared" si="0"/>
        <v>EDS-T-1480</v>
      </c>
      <c r="I41" s="1" t="str">
        <f t="shared" si="1"/>
        <v>EDS-T-1480</v>
      </c>
      <c r="J41" s="1">
        <v>1</v>
      </c>
      <c r="K41" s="207">
        <v>2612.5</v>
      </c>
      <c r="L41" s="136">
        <v>413601</v>
      </c>
      <c r="M41" s="138">
        <v>15300</v>
      </c>
      <c r="N41" s="140" t="s">
        <v>621</v>
      </c>
      <c r="O41" s="1" t="s">
        <v>703</v>
      </c>
      <c r="Q41"/>
      <c r="R41" s="136"/>
    </row>
    <row r="42" spans="1:18" ht="25">
      <c r="A42" s="1" t="s">
        <v>777</v>
      </c>
      <c r="B42" s="1" t="s">
        <v>768</v>
      </c>
      <c r="C42" s="1" t="s">
        <v>701</v>
      </c>
      <c r="D42" s="1" t="s">
        <v>778</v>
      </c>
      <c r="E42" s="1" t="s">
        <v>595</v>
      </c>
      <c r="F42" s="1" t="s">
        <v>328</v>
      </c>
      <c r="G42" s="1" t="s">
        <v>328</v>
      </c>
      <c r="H42" s="1" t="str">
        <f t="shared" si="0"/>
        <v>CETP_09.01-E-400 200201 5.3 step 3</v>
      </c>
      <c r="I42" s="1" t="str">
        <f t="shared" si="1"/>
        <v>CETP_09.01-E-400 200201 5.3 step 3</v>
      </c>
      <c r="J42" s="1">
        <v>1</v>
      </c>
      <c r="K42" s="207">
        <v>3357.5</v>
      </c>
      <c r="L42" s="136">
        <v>696282</v>
      </c>
      <c r="M42" s="138">
        <v>27300</v>
      </c>
      <c r="N42" s="140" t="s">
        <v>621</v>
      </c>
      <c r="O42" s="1" t="s">
        <v>703</v>
      </c>
      <c r="Q42"/>
      <c r="R42" s="136"/>
    </row>
    <row r="43" spans="1:18" ht="14">
      <c r="A43" s="1" t="s">
        <v>779</v>
      </c>
      <c r="B43" s="1" t="s">
        <v>768</v>
      </c>
      <c r="C43" s="1" t="s">
        <v>701</v>
      </c>
      <c r="D43" s="1" t="s">
        <v>780</v>
      </c>
      <c r="E43" s="1" t="s">
        <v>595</v>
      </c>
      <c r="F43" s="1" t="s">
        <v>329</v>
      </c>
      <c r="G43" s="1"/>
      <c r="H43" s="1" t="str">
        <f t="shared" si="0"/>
        <v>CETP_09.00-L-403</v>
      </c>
      <c r="I43" s="1" t="str">
        <f t="shared" si="1"/>
        <v>CETP_09.00-L-403</v>
      </c>
      <c r="J43" s="1">
        <v>1</v>
      </c>
      <c r="K43" s="207">
        <v>4027.5</v>
      </c>
      <c r="L43" s="136">
        <v>892988</v>
      </c>
      <c r="M43" s="138">
        <v>23450</v>
      </c>
      <c r="N43" s="140" t="s">
        <v>621</v>
      </c>
      <c r="O43" s="1" t="s">
        <v>703</v>
      </c>
      <c r="Q43"/>
      <c r="R43" s="136"/>
    </row>
    <row r="44" spans="1:18" ht="14">
      <c r="A44" s="1" t="s">
        <v>781</v>
      </c>
      <c r="B44" s="1" t="s">
        <v>768</v>
      </c>
      <c r="C44" s="1" t="s">
        <v>701</v>
      </c>
      <c r="D44" s="1" t="s">
        <v>782</v>
      </c>
      <c r="E44" s="1" t="s">
        <v>740</v>
      </c>
      <c r="F44" s="1" t="s">
        <v>330</v>
      </c>
      <c r="G44" s="1" t="s">
        <v>330</v>
      </c>
      <c r="H44" s="1" t="str">
        <f t="shared" si="0"/>
        <v>ES28600-09 6.10</v>
      </c>
      <c r="I44" s="1" t="str">
        <f t="shared" si="1"/>
        <v>ES28600-09 6.10</v>
      </c>
      <c r="J44" s="1">
        <v>1</v>
      </c>
      <c r="K44" s="207">
        <v>3715</v>
      </c>
      <c r="L44" s="136">
        <v>2030428.6924403389</v>
      </c>
      <c r="M44" s="138">
        <v>28800</v>
      </c>
      <c r="N44" s="140" t="s">
        <v>621</v>
      </c>
      <c r="O44" s="1" t="s">
        <v>703</v>
      </c>
      <c r="Q44"/>
      <c r="R44" s="136"/>
    </row>
    <row r="45" spans="1:18" ht="14">
      <c r="A45" s="1" t="s">
        <v>783</v>
      </c>
      <c r="B45" s="1" t="s">
        <v>768</v>
      </c>
      <c r="C45" s="1" t="s">
        <v>784</v>
      </c>
      <c r="D45" s="1" t="s">
        <v>785</v>
      </c>
      <c r="E45" s="1" t="s">
        <v>620</v>
      </c>
      <c r="F45" s="1" t="s">
        <v>331</v>
      </c>
      <c r="G45" s="1" t="s">
        <v>331</v>
      </c>
      <c r="H45" s="1" t="str">
        <f t="shared" si="0"/>
        <v>FSE-I-DSE-C002 S22</v>
      </c>
      <c r="I45" s="1" t="str">
        <f t="shared" si="1"/>
        <v>FSE-I-DSE-C002 S22</v>
      </c>
      <c r="J45" s="1">
        <v>1</v>
      </c>
      <c r="K45" s="207">
        <v>1315</v>
      </c>
      <c r="L45" s="136">
        <v>366487.5</v>
      </c>
      <c r="M45" s="138">
        <v>13300</v>
      </c>
      <c r="N45" s="140" t="s">
        <v>621</v>
      </c>
      <c r="O45" s="1" t="s">
        <v>703</v>
      </c>
      <c r="Q45"/>
      <c r="R45" s="136"/>
    </row>
    <row r="46" spans="1:18" ht="14">
      <c r="A46" s="1" t="s">
        <v>786</v>
      </c>
      <c r="B46" s="1" t="s">
        <v>768</v>
      </c>
      <c r="C46" s="1" t="s">
        <v>701</v>
      </c>
      <c r="D46" s="1" t="s">
        <v>763</v>
      </c>
      <c r="E46" s="1" t="s">
        <v>740</v>
      </c>
      <c r="F46" s="1" t="s">
        <v>332</v>
      </c>
      <c r="G46" s="1" t="s">
        <v>332</v>
      </c>
      <c r="H46" s="1" t="str">
        <f t="shared" si="0"/>
        <v>ES28600-23</v>
      </c>
      <c r="I46" s="1" t="str">
        <f t="shared" si="1"/>
        <v>ES28600-23</v>
      </c>
      <c r="J46" s="1">
        <v>1</v>
      </c>
      <c r="K46" s="207">
        <v>4070</v>
      </c>
      <c r="L46" s="136">
        <v>890962.03807698213</v>
      </c>
      <c r="M46" s="138">
        <v>32800</v>
      </c>
      <c r="N46" s="140" t="s">
        <v>621</v>
      </c>
      <c r="O46" s="1" t="s">
        <v>703</v>
      </c>
      <c r="Q46"/>
      <c r="R46" s="136"/>
    </row>
    <row r="47" spans="1:18" ht="14">
      <c r="A47" s="1" t="s">
        <v>787</v>
      </c>
      <c r="B47" s="1" t="s">
        <v>768</v>
      </c>
      <c r="C47" s="1" t="s">
        <v>701</v>
      </c>
      <c r="D47" s="1" t="s">
        <v>788</v>
      </c>
      <c r="E47" s="1" t="s">
        <v>620</v>
      </c>
      <c r="F47" s="1" t="s">
        <v>333</v>
      </c>
      <c r="G47" s="1" t="s">
        <v>333</v>
      </c>
      <c r="H47" s="1" t="str">
        <f t="shared" si="0"/>
        <v>CHD-I-DSE-2039</v>
      </c>
      <c r="I47" s="1" t="str">
        <f t="shared" si="1"/>
        <v>CHD-I-DSE-2039</v>
      </c>
      <c r="J47" s="1">
        <v>1</v>
      </c>
      <c r="K47" s="207">
        <v>2752.5</v>
      </c>
      <c r="L47" s="136">
        <v>607212.5</v>
      </c>
      <c r="M47" s="138">
        <v>17450</v>
      </c>
      <c r="N47" s="140" t="s">
        <v>621</v>
      </c>
      <c r="O47" s="1" t="s">
        <v>703</v>
      </c>
      <c r="Q47"/>
      <c r="R47" s="136"/>
    </row>
    <row r="48" spans="1:18" ht="25">
      <c r="A48" s="1" t="s">
        <v>789</v>
      </c>
      <c r="B48" s="1" t="s">
        <v>768</v>
      </c>
      <c r="C48" s="1" t="s">
        <v>139</v>
      </c>
      <c r="D48" s="1" t="s">
        <v>790</v>
      </c>
      <c r="E48" s="1" t="s">
        <v>620</v>
      </c>
      <c r="F48" s="1" t="s">
        <v>324</v>
      </c>
      <c r="G48" s="1" t="s">
        <v>324</v>
      </c>
      <c r="H48" s="1" t="str">
        <f t="shared" si="0"/>
        <v>CHD-I-DSE-2010</v>
      </c>
      <c r="I48" s="1" t="str">
        <f t="shared" si="1"/>
        <v>CHD-I-DSE-2010</v>
      </c>
      <c r="J48" s="1">
        <v>3</v>
      </c>
      <c r="K48" s="207">
        <v>2737.5</v>
      </c>
      <c r="L48" s="136">
        <v>773141.5</v>
      </c>
      <c r="M48" s="138">
        <v>26800</v>
      </c>
      <c r="N48" s="140" t="s">
        <v>621</v>
      </c>
      <c r="O48" s="1" t="s">
        <v>703</v>
      </c>
      <c r="Q48"/>
      <c r="R48" s="136"/>
    </row>
    <row r="49" spans="1:18" ht="25">
      <c r="A49" s="1" t="s">
        <v>1367</v>
      </c>
      <c r="B49" s="1" t="s">
        <v>791</v>
      </c>
      <c r="C49" s="1" t="s">
        <v>701</v>
      </c>
      <c r="D49" s="1" t="s">
        <v>792</v>
      </c>
      <c r="E49" s="1" t="s">
        <v>620</v>
      </c>
      <c r="F49" s="1" t="s">
        <v>334</v>
      </c>
      <c r="G49" s="1" t="s">
        <v>334</v>
      </c>
      <c r="H49" s="1" t="str">
        <f t="shared" si="0"/>
        <v>CHD-I-DSE-2006</v>
      </c>
      <c r="I49" s="1" t="str">
        <f t="shared" si="1"/>
        <v>CHD-I-DSE-2006</v>
      </c>
      <c r="J49" s="1">
        <v>1</v>
      </c>
      <c r="K49" s="207">
        <v>55989</v>
      </c>
      <c r="L49" s="136">
        <v>14682464.970013039</v>
      </c>
      <c r="M49" s="138" t="s">
        <v>621</v>
      </c>
      <c r="N49" s="140" t="s">
        <v>621</v>
      </c>
      <c r="O49" s="1" t="s">
        <v>703</v>
      </c>
      <c r="Q49"/>
      <c r="R49" s="136"/>
    </row>
    <row r="50" spans="1:18" ht="14">
      <c r="A50" s="1" t="s">
        <v>1368</v>
      </c>
      <c r="B50" s="1" t="s">
        <v>791</v>
      </c>
      <c r="C50" s="1" t="s">
        <v>701</v>
      </c>
      <c r="D50" s="1" t="s">
        <v>793</v>
      </c>
      <c r="E50" s="1" t="s">
        <v>620</v>
      </c>
      <c r="F50" s="1" t="s">
        <v>335</v>
      </c>
      <c r="G50" s="1" t="s">
        <v>335</v>
      </c>
      <c r="H50" s="1" t="str">
        <f t="shared" si="0"/>
        <v>CHD-I-DSE-2007</v>
      </c>
      <c r="I50" s="1" t="str">
        <f t="shared" si="1"/>
        <v>CHD-I-DSE-2007</v>
      </c>
      <c r="J50" s="1">
        <v>1</v>
      </c>
      <c r="K50" s="207">
        <v>177369</v>
      </c>
      <c r="L50" s="136">
        <v>47187810.451108217</v>
      </c>
      <c r="M50" s="138" t="s">
        <v>621</v>
      </c>
      <c r="N50" s="140" t="s">
        <v>621</v>
      </c>
      <c r="O50" s="1" t="s">
        <v>703</v>
      </c>
      <c r="Q50"/>
      <c r="R50" s="136"/>
    </row>
    <row r="51" spans="1:18" ht="14">
      <c r="A51" s="1" t="s">
        <v>794</v>
      </c>
      <c r="B51" s="1" t="s">
        <v>791</v>
      </c>
      <c r="C51" s="1" t="s">
        <v>701</v>
      </c>
      <c r="D51" s="1" t="s">
        <v>795</v>
      </c>
      <c r="E51" s="1" t="s">
        <v>620</v>
      </c>
      <c r="F51" s="1" t="s">
        <v>335</v>
      </c>
      <c r="G51" s="1" t="s">
        <v>335</v>
      </c>
      <c r="H51" s="1" t="str">
        <f t="shared" si="0"/>
        <v>CHD-I-DSE-2007</v>
      </c>
      <c r="I51" s="1" t="str">
        <f t="shared" si="1"/>
        <v>CHD-I-DSE-2007</v>
      </c>
      <c r="J51" s="1">
        <v>1</v>
      </c>
      <c r="K51" s="207">
        <v>258354</v>
      </c>
      <c r="L51" s="136">
        <v>68974253.451108217</v>
      </c>
      <c r="M51" s="138" t="s">
        <v>621</v>
      </c>
      <c r="N51" s="140" t="s">
        <v>621</v>
      </c>
      <c r="O51" s="1" t="s">
        <v>703</v>
      </c>
      <c r="Q51"/>
      <c r="R51" s="136"/>
    </row>
    <row r="52" spans="1:18" ht="14">
      <c r="A52" s="1" t="s">
        <v>796</v>
      </c>
      <c r="B52" s="1" t="s">
        <v>791</v>
      </c>
      <c r="C52" s="1" t="s">
        <v>701</v>
      </c>
      <c r="D52" s="1" t="s">
        <v>797</v>
      </c>
      <c r="E52" s="1" t="s">
        <v>798</v>
      </c>
      <c r="F52" s="1" t="s">
        <v>336</v>
      </c>
      <c r="G52" s="1" t="s">
        <v>336</v>
      </c>
      <c r="H52" s="1" t="str">
        <f t="shared" si="0"/>
        <v>01527_12_01339</v>
      </c>
      <c r="I52" s="1" t="str">
        <f t="shared" si="1"/>
        <v>01527_12_01339</v>
      </c>
      <c r="J52" s="1">
        <v>1</v>
      </c>
      <c r="K52" s="207">
        <v>204999</v>
      </c>
      <c r="L52" s="136">
        <v>54631113.451108217</v>
      </c>
      <c r="M52" s="138" t="s">
        <v>621</v>
      </c>
      <c r="N52" s="140" t="s">
        <v>621</v>
      </c>
      <c r="O52" s="1" t="s">
        <v>703</v>
      </c>
      <c r="Q52"/>
      <c r="R52" s="136"/>
    </row>
    <row r="53" spans="1:18" ht="14">
      <c r="A53" s="1" t="s">
        <v>799</v>
      </c>
      <c r="B53" s="1" t="s">
        <v>791</v>
      </c>
      <c r="C53" s="1" t="s">
        <v>701</v>
      </c>
      <c r="D53" s="1" t="s">
        <v>800</v>
      </c>
      <c r="E53" s="1" t="s">
        <v>620</v>
      </c>
      <c r="F53" s="1" t="s">
        <v>337</v>
      </c>
      <c r="G53" s="1" t="s">
        <v>337</v>
      </c>
      <c r="H53" s="1" t="str">
        <f t="shared" si="0"/>
        <v>CHD-I-DSE-2005</v>
      </c>
      <c r="I53" s="1" t="str">
        <f t="shared" si="1"/>
        <v>CHD-I-DSE-2005</v>
      </c>
      <c r="J53" s="1">
        <v>1</v>
      </c>
      <c r="K53" s="207">
        <v>22769</v>
      </c>
      <c r="L53" s="136">
        <v>6031761.3455019556</v>
      </c>
      <c r="M53" s="138" t="s">
        <v>621</v>
      </c>
      <c r="N53" s="140" t="s">
        <v>621</v>
      </c>
      <c r="O53" s="1" t="s">
        <v>703</v>
      </c>
      <c r="Q53"/>
      <c r="R53" s="136"/>
    </row>
    <row r="54" spans="1:18" ht="14">
      <c r="A54" s="1" t="s">
        <v>801</v>
      </c>
      <c r="B54" s="1" t="s">
        <v>791</v>
      </c>
      <c r="C54" s="1" t="s">
        <v>701</v>
      </c>
      <c r="D54" s="1" t="s">
        <v>802</v>
      </c>
      <c r="E54" s="1" t="s">
        <v>620</v>
      </c>
      <c r="F54" s="1" t="s">
        <v>338</v>
      </c>
      <c r="G54" s="1" t="s">
        <v>338</v>
      </c>
      <c r="H54" s="1" t="str">
        <f t="shared" si="0"/>
        <v>CHD-I-DSE-2019</v>
      </c>
      <c r="I54" s="1" t="str">
        <f t="shared" si="1"/>
        <v>CHD-I-DSE-2019</v>
      </c>
      <c r="J54" s="1">
        <v>1</v>
      </c>
      <c r="K54" s="207">
        <v>22769</v>
      </c>
      <c r="L54" s="136">
        <v>6031761.3455019556</v>
      </c>
      <c r="M54" s="138" t="s">
        <v>621</v>
      </c>
      <c r="N54" s="140" t="s">
        <v>621</v>
      </c>
      <c r="O54" s="1" t="s">
        <v>703</v>
      </c>
      <c r="Q54"/>
      <c r="R54" s="136"/>
    </row>
    <row r="55" spans="1:18" ht="25">
      <c r="A55" s="1" t="s">
        <v>803</v>
      </c>
      <c r="B55" s="1" t="s">
        <v>791</v>
      </c>
      <c r="C55" s="1" t="s">
        <v>701</v>
      </c>
      <c r="D55" s="1" t="s">
        <v>804</v>
      </c>
      <c r="E55" s="1" t="s">
        <v>595</v>
      </c>
      <c r="F55" s="1" t="s">
        <v>339</v>
      </c>
      <c r="G55" s="1" t="s">
        <v>339</v>
      </c>
      <c r="H55" s="1" t="str">
        <f t="shared" si="0"/>
        <v>CETP_09.00-L-300 (2001 ver. PL008)</v>
      </c>
      <c r="I55" s="1" t="str">
        <f t="shared" si="1"/>
        <v>CETP_09.00-L-300 (2001 ver. PL008)</v>
      </c>
      <c r="J55" s="1">
        <v>2</v>
      </c>
      <c r="K55" s="207">
        <v>237948</v>
      </c>
      <c r="L55" s="136">
        <v>63228612.547588013</v>
      </c>
      <c r="M55" s="138" t="s">
        <v>621</v>
      </c>
      <c r="N55" s="140" t="s">
        <v>621</v>
      </c>
      <c r="O55" s="1" t="s">
        <v>703</v>
      </c>
      <c r="Q55"/>
      <c r="R55" s="136"/>
    </row>
    <row r="56" spans="1:18" ht="14">
      <c r="A56" s="1" t="s">
        <v>805</v>
      </c>
      <c r="B56" s="1" t="s">
        <v>791</v>
      </c>
      <c r="C56" s="1" t="s">
        <v>701</v>
      </c>
      <c r="D56" s="1" t="s">
        <v>806</v>
      </c>
      <c r="E56" s="1" t="s">
        <v>807</v>
      </c>
      <c r="F56" s="1"/>
      <c r="G56" s="1"/>
      <c r="H56" s="1">
        <f t="shared" si="0"/>
        <v>0</v>
      </c>
      <c r="I56" s="1">
        <f t="shared" si="1"/>
        <v>0</v>
      </c>
      <c r="J56" s="1">
        <v>2</v>
      </c>
      <c r="K56" s="207">
        <v>78044</v>
      </c>
      <c r="L56" s="136">
        <v>20027769.121251632</v>
      </c>
      <c r="M56" s="138" t="s">
        <v>621</v>
      </c>
      <c r="N56" s="140" t="s">
        <v>621</v>
      </c>
      <c r="O56" s="1" t="s">
        <v>703</v>
      </c>
      <c r="Q56"/>
      <c r="R56" s="136"/>
    </row>
    <row r="57" spans="1:18" ht="14">
      <c r="A57" s="1" t="s">
        <v>808</v>
      </c>
      <c r="B57" s="1" t="s">
        <v>791</v>
      </c>
      <c r="C57" s="1" t="s">
        <v>701</v>
      </c>
      <c r="D57" s="1" t="s">
        <v>809</v>
      </c>
      <c r="E57" s="1" t="s">
        <v>740</v>
      </c>
      <c r="F57" s="1" t="s">
        <v>340</v>
      </c>
      <c r="G57" s="1" t="s">
        <v>340</v>
      </c>
      <c r="H57" s="1" t="str">
        <f t="shared" si="0"/>
        <v>ES28600-09  6.8</v>
      </c>
      <c r="I57" s="1" t="str">
        <f t="shared" si="1"/>
        <v>ES28600-09  6.8</v>
      </c>
      <c r="J57" s="1">
        <v>1</v>
      </c>
      <c r="K57" s="207">
        <v>17069</v>
      </c>
      <c r="L57" s="136">
        <v>4914964.1000566166</v>
      </c>
      <c r="M57" s="138" t="s">
        <v>621</v>
      </c>
      <c r="N57" s="140" t="s">
        <v>621</v>
      </c>
      <c r="O57" s="1" t="s">
        <v>703</v>
      </c>
      <c r="Q57"/>
      <c r="R57" s="136"/>
    </row>
    <row r="58" spans="1:18" ht="14">
      <c r="A58" s="1" t="s">
        <v>810</v>
      </c>
      <c r="B58" s="1" t="s">
        <v>791</v>
      </c>
      <c r="C58" s="1" t="s">
        <v>701</v>
      </c>
      <c r="D58" s="1" t="s">
        <v>811</v>
      </c>
      <c r="E58" s="1" t="s">
        <v>595</v>
      </c>
      <c r="F58" s="1" t="s">
        <v>341</v>
      </c>
      <c r="G58" s="1" t="s">
        <v>341</v>
      </c>
      <c r="H58" s="1" t="str">
        <f t="shared" si="0"/>
        <v>CETP_09.00-E-303</v>
      </c>
      <c r="I58" s="1" t="str">
        <f t="shared" si="1"/>
        <v>CETP_09.00-E-303</v>
      </c>
      <c r="J58" s="1">
        <v>2</v>
      </c>
      <c r="K58" s="207">
        <v>237218</v>
      </c>
      <c r="L58" s="136">
        <v>62981250.4041721</v>
      </c>
      <c r="M58" s="138" t="s">
        <v>621</v>
      </c>
      <c r="N58" s="140" t="s">
        <v>621</v>
      </c>
      <c r="O58" s="1" t="s">
        <v>703</v>
      </c>
      <c r="Q58"/>
      <c r="R58" s="136"/>
    </row>
    <row r="59" spans="1:18" ht="25">
      <c r="A59" s="1" t="s">
        <v>812</v>
      </c>
      <c r="B59" s="1" t="s">
        <v>791</v>
      </c>
      <c r="C59" s="1" t="s">
        <v>701</v>
      </c>
      <c r="D59" s="1" t="s">
        <v>813</v>
      </c>
      <c r="E59" s="1" t="s">
        <v>595</v>
      </c>
      <c r="F59" s="1" t="s">
        <v>342</v>
      </c>
      <c r="G59" s="1" t="s">
        <v>342</v>
      </c>
      <c r="H59" s="1" t="str">
        <f t="shared" si="0"/>
        <v>CETP: 09.04-R-400 (2001 PL005)</v>
      </c>
      <c r="I59" s="1" t="str">
        <f t="shared" si="1"/>
        <v>CETP: 09.04-R-400 (2001 PL005)</v>
      </c>
      <c r="J59" s="1">
        <v>1</v>
      </c>
      <c r="K59" s="207">
        <v>22769</v>
      </c>
      <c r="L59" s="136">
        <v>6031761.3455019556</v>
      </c>
      <c r="M59" s="138" t="s">
        <v>621</v>
      </c>
      <c r="N59" s="140" t="s">
        <v>621</v>
      </c>
      <c r="O59" s="1" t="s">
        <v>703</v>
      </c>
      <c r="Q59"/>
      <c r="R59" s="136"/>
    </row>
    <row r="60" spans="1:18" ht="14">
      <c r="A60" s="1" t="s">
        <v>814</v>
      </c>
      <c r="B60" s="1" t="s">
        <v>791</v>
      </c>
      <c r="C60" s="1" t="s">
        <v>701</v>
      </c>
      <c r="D60" s="1" t="s">
        <v>815</v>
      </c>
      <c r="E60" s="1" t="s">
        <v>740</v>
      </c>
      <c r="F60" s="1"/>
      <c r="G60" s="1"/>
      <c r="H60" s="1">
        <f t="shared" si="0"/>
        <v>0</v>
      </c>
      <c r="I60" s="1">
        <f t="shared" si="1"/>
        <v>0</v>
      </c>
      <c r="J60" s="1">
        <v>1</v>
      </c>
      <c r="K60" s="207">
        <v>159575</v>
      </c>
      <c r="L60" s="136">
        <v>42114611.63233377</v>
      </c>
      <c r="M60" s="138" t="s">
        <v>621</v>
      </c>
      <c r="N60" s="140" t="s">
        <v>621</v>
      </c>
      <c r="O60" s="1" t="s">
        <v>703</v>
      </c>
      <c r="Q60"/>
      <c r="R60" s="136"/>
    </row>
    <row r="61" spans="1:18" ht="14">
      <c r="A61" s="1" t="s">
        <v>816</v>
      </c>
      <c r="B61" s="1" t="s">
        <v>791</v>
      </c>
      <c r="C61" s="1" t="s">
        <v>701</v>
      </c>
      <c r="D61" s="1" t="s">
        <v>793</v>
      </c>
      <c r="E61" s="1" t="s">
        <v>580</v>
      </c>
      <c r="F61" s="1" t="s">
        <v>343</v>
      </c>
      <c r="G61" s="1" t="s">
        <v>343</v>
      </c>
      <c r="H61" s="1" t="str">
        <f t="shared" si="0"/>
        <v>PF.90160 9.5</v>
      </c>
      <c r="I61" s="1" t="str">
        <f t="shared" si="1"/>
        <v>PF.90160 9.5</v>
      </c>
      <c r="J61" s="1">
        <v>2</v>
      </c>
      <c r="K61" s="207">
        <v>492288</v>
      </c>
      <c r="L61" s="136">
        <v>131460888.0286832</v>
      </c>
      <c r="M61" s="138" t="s">
        <v>621</v>
      </c>
      <c r="N61" s="140" t="s">
        <v>621</v>
      </c>
      <c r="O61" s="1" t="s">
        <v>703</v>
      </c>
      <c r="Q61"/>
      <c r="R61" s="136"/>
    </row>
    <row r="62" spans="1:18" ht="14">
      <c r="A62" s="1" t="s">
        <v>817</v>
      </c>
      <c r="B62" s="1" t="s">
        <v>791</v>
      </c>
      <c r="C62" s="1" t="s">
        <v>701</v>
      </c>
      <c r="D62" s="1" t="s">
        <v>818</v>
      </c>
      <c r="E62" s="1" t="s">
        <v>740</v>
      </c>
      <c r="F62" s="1"/>
      <c r="G62" s="1"/>
      <c r="H62" s="1">
        <f t="shared" si="0"/>
        <v>0</v>
      </c>
      <c r="I62" s="1">
        <f t="shared" si="1"/>
        <v>0</v>
      </c>
      <c r="J62" s="1">
        <v>1</v>
      </c>
      <c r="K62" s="207">
        <v>241460</v>
      </c>
      <c r="L62" s="136">
        <v>64196641.63233377</v>
      </c>
      <c r="M62" s="138" t="s">
        <v>621</v>
      </c>
      <c r="N62" s="140" t="s">
        <v>621</v>
      </c>
      <c r="O62" s="1" t="s">
        <v>703</v>
      </c>
      <c r="Q62"/>
      <c r="R62" s="136"/>
    </row>
    <row r="63" spans="1:18" ht="14">
      <c r="A63" s="1" t="s">
        <v>819</v>
      </c>
      <c r="B63" s="1" t="s">
        <v>791</v>
      </c>
      <c r="C63" s="1" t="s">
        <v>701</v>
      </c>
      <c r="D63" s="1" t="s">
        <v>820</v>
      </c>
      <c r="E63" s="1" t="s">
        <v>580</v>
      </c>
      <c r="F63" s="1" t="s">
        <v>344</v>
      </c>
      <c r="G63" s="1" t="s">
        <v>344</v>
      </c>
      <c r="H63" s="1" t="str">
        <f t="shared" si="0"/>
        <v>PF.90160 9.6</v>
      </c>
      <c r="I63" s="1" t="str">
        <f t="shared" si="1"/>
        <v>PF.90160 9.6</v>
      </c>
      <c r="J63" s="1">
        <v>2</v>
      </c>
      <c r="K63" s="207">
        <v>341108</v>
      </c>
      <c r="L63" s="136">
        <v>90999349.619295955</v>
      </c>
      <c r="M63" s="138" t="s">
        <v>621</v>
      </c>
      <c r="N63" s="140" t="s">
        <v>621</v>
      </c>
      <c r="O63" s="1" t="s">
        <v>703</v>
      </c>
      <c r="Q63"/>
      <c r="R63" s="136"/>
    </row>
    <row r="64" spans="1:18" ht="14">
      <c r="A64" s="1" t="s">
        <v>821</v>
      </c>
      <c r="B64" s="1" t="s">
        <v>791</v>
      </c>
      <c r="C64" s="1" t="s">
        <v>701</v>
      </c>
      <c r="D64" s="1" t="s">
        <v>822</v>
      </c>
      <c r="E64" s="1" t="s">
        <v>740</v>
      </c>
      <c r="F64" s="1"/>
      <c r="G64" s="1"/>
      <c r="H64" s="1">
        <f t="shared" si="0"/>
        <v>0</v>
      </c>
      <c r="I64" s="1">
        <f t="shared" si="1"/>
        <v>0</v>
      </c>
      <c r="J64" s="1">
        <v>1</v>
      </c>
      <c r="K64" s="207">
        <v>407225</v>
      </c>
      <c r="L64" s="136">
        <v>108971661.6323338</v>
      </c>
      <c r="M64" s="138" t="s">
        <v>621</v>
      </c>
      <c r="N64" s="140" t="s">
        <v>621</v>
      </c>
      <c r="O64" s="1" t="s">
        <v>703</v>
      </c>
      <c r="Q64"/>
      <c r="R64" s="136"/>
    </row>
    <row r="65" spans="1:18" ht="14">
      <c r="A65" s="158" t="s">
        <v>1369</v>
      </c>
      <c r="B65" s="1" t="s">
        <v>823</v>
      </c>
      <c r="C65" s="1" t="s">
        <v>701</v>
      </c>
      <c r="D65" s="1" t="s">
        <v>824</v>
      </c>
      <c r="E65" s="1" t="s">
        <v>740</v>
      </c>
      <c r="F65" s="1" t="s">
        <v>345</v>
      </c>
      <c r="G65" s="1" t="s">
        <v>345</v>
      </c>
      <c r="H65" s="1" t="str">
        <f t="shared" si="0"/>
        <v>ES28600-24 6.1</v>
      </c>
      <c r="I65" s="1" t="str">
        <f t="shared" si="1"/>
        <v>ES28600-24 6.1</v>
      </c>
      <c r="J65" s="1">
        <v>2</v>
      </c>
      <c r="K65" s="207">
        <v>9140</v>
      </c>
      <c r="L65" s="136">
        <v>2550672.3916996932</v>
      </c>
      <c r="M65" s="138" t="s">
        <v>621</v>
      </c>
      <c r="N65" s="140" t="s">
        <v>621</v>
      </c>
      <c r="O65" s="1" t="s">
        <v>703</v>
      </c>
      <c r="Q65"/>
      <c r="R65" s="136"/>
    </row>
    <row r="66" spans="1:18" ht="14">
      <c r="A66" s="158" t="s">
        <v>825</v>
      </c>
      <c r="B66" s="1" t="s">
        <v>823</v>
      </c>
      <c r="C66" s="1" t="s">
        <v>701</v>
      </c>
      <c r="D66" s="1" t="s">
        <v>826</v>
      </c>
      <c r="E66" s="1" t="s">
        <v>740</v>
      </c>
      <c r="F66" s="1" t="s">
        <v>346</v>
      </c>
      <c r="G66" s="1" t="s">
        <v>346</v>
      </c>
      <c r="H66" s="1" t="str">
        <f t="shared" ref="H66:H129" si="2">F66</f>
        <v>ES28600-24 6.4</v>
      </c>
      <c r="I66" s="1" t="str">
        <f t="shared" ref="I66:I129" si="3">F66</f>
        <v>ES28600-24 6.4</v>
      </c>
      <c r="J66" s="1">
        <v>2</v>
      </c>
      <c r="K66" s="207">
        <v>4745</v>
      </c>
      <c r="L66" s="136">
        <v>2074894.520271525</v>
      </c>
      <c r="M66" s="138" t="s">
        <v>621</v>
      </c>
      <c r="N66" s="140" t="s">
        <v>621</v>
      </c>
      <c r="O66" s="1" t="s">
        <v>703</v>
      </c>
      <c r="Q66"/>
      <c r="R66" s="136"/>
    </row>
    <row r="67" spans="1:18" ht="25">
      <c r="A67" s="158" t="s">
        <v>827</v>
      </c>
      <c r="B67" s="1" t="s">
        <v>823</v>
      </c>
      <c r="C67" s="1" t="s">
        <v>701</v>
      </c>
      <c r="D67" s="1" t="s">
        <v>828</v>
      </c>
      <c r="E67" s="1" t="s">
        <v>740</v>
      </c>
      <c r="F67" s="1" t="s">
        <v>347</v>
      </c>
      <c r="G67" s="1" t="s">
        <v>347</v>
      </c>
      <c r="H67" s="1" t="str">
        <f t="shared" si="2"/>
        <v>ES28600-24 6.3</v>
      </c>
      <c r="I67" s="1" t="str">
        <f t="shared" si="3"/>
        <v>ES28600-24 6.3</v>
      </c>
      <c r="J67" s="1">
        <v>2</v>
      </c>
      <c r="K67" s="207">
        <v>4745</v>
      </c>
      <c r="L67" s="136">
        <v>902553.41464085109</v>
      </c>
      <c r="M67" s="138" t="s">
        <v>621</v>
      </c>
      <c r="N67" s="140" t="s">
        <v>621</v>
      </c>
      <c r="O67" s="1" t="s">
        <v>703</v>
      </c>
      <c r="Q67"/>
      <c r="R67" s="136"/>
    </row>
    <row r="68" spans="1:18" ht="37.5">
      <c r="A68" s="158" t="s">
        <v>829</v>
      </c>
      <c r="B68" s="1" t="s">
        <v>823</v>
      </c>
      <c r="C68" s="1" t="s">
        <v>701</v>
      </c>
      <c r="D68" s="1" t="s">
        <v>830</v>
      </c>
      <c r="E68" s="1" t="s">
        <v>740</v>
      </c>
      <c r="F68" s="1"/>
      <c r="G68" s="1" t="s">
        <v>831</v>
      </c>
      <c r="H68" s="1">
        <f t="shared" si="2"/>
        <v>0</v>
      </c>
      <c r="I68" s="1">
        <f t="shared" si="3"/>
        <v>0</v>
      </c>
      <c r="J68" s="1">
        <v>2</v>
      </c>
      <c r="K68" s="207" t="s">
        <v>621</v>
      </c>
      <c r="L68" s="136">
        <v>762541139.09517598</v>
      </c>
      <c r="M68" s="138" t="s">
        <v>621</v>
      </c>
      <c r="N68" s="140" t="s">
        <v>621</v>
      </c>
      <c r="O68" s="1" t="s">
        <v>93</v>
      </c>
      <c r="Q68"/>
      <c r="R68" s="136"/>
    </row>
    <row r="69" spans="1:18" ht="14">
      <c r="A69" s="158" t="s">
        <v>832</v>
      </c>
      <c r="B69" s="1" t="s">
        <v>823</v>
      </c>
      <c r="C69" s="1" t="s">
        <v>701</v>
      </c>
      <c r="D69" s="1" t="s">
        <v>833</v>
      </c>
      <c r="E69" s="1" t="s">
        <v>740</v>
      </c>
      <c r="F69" s="1"/>
      <c r="G69" s="1" t="s">
        <v>834</v>
      </c>
      <c r="H69" s="1">
        <f t="shared" si="2"/>
        <v>0</v>
      </c>
      <c r="I69" s="1">
        <f t="shared" si="3"/>
        <v>0</v>
      </c>
      <c r="J69" s="1">
        <v>2</v>
      </c>
      <c r="K69" s="207" t="s">
        <v>621</v>
      </c>
      <c r="L69" s="136">
        <v>555151875.58800519</v>
      </c>
      <c r="M69" s="138" t="s">
        <v>621</v>
      </c>
      <c r="N69" s="140" t="s">
        <v>621</v>
      </c>
      <c r="O69" s="1" t="s">
        <v>93</v>
      </c>
      <c r="Q69"/>
      <c r="R69" s="136"/>
    </row>
    <row r="70" spans="1:18" ht="25">
      <c r="A70" s="158" t="s">
        <v>835</v>
      </c>
      <c r="B70" s="1" t="s">
        <v>823</v>
      </c>
      <c r="C70" s="1" t="s">
        <v>701</v>
      </c>
      <c r="D70" s="1" t="s">
        <v>836</v>
      </c>
      <c r="E70" s="1" t="s">
        <v>740</v>
      </c>
      <c r="F70" s="1"/>
      <c r="G70" s="1" t="s">
        <v>837</v>
      </c>
      <c r="H70" s="1">
        <f t="shared" si="2"/>
        <v>0</v>
      </c>
      <c r="I70" s="1">
        <f t="shared" si="3"/>
        <v>0</v>
      </c>
      <c r="J70" s="1">
        <v>4</v>
      </c>
      <c r="K70" s="207" t="s">
        <v>621</v>
      </c>
      <c r="L70" s="136">
        <v>1656119136.558018</v>
      </c>
      <c r="M70" s="138" t="s">
        <v>621</v>
      </c>
      <c r="N70" s="140" t="s">
        <v>621</v>
      </c>
      <c r="O70" s="1" t="s">
        <v>93</v>
      </c>
      <c r="Q70"/>
      <c r="R70" s="136"/>
    </row>
    <row r="71" spans="1:18" ht="25">
      <c r="A71" s="158" t="s">
        <v>838</v>
      </c>
      <c r="B71" s="1" t="s">
        <v>823</v>
      </c>
      <c r="C71" s="1" t="s">
        <v>701</v>
      </c>
      <c r="D71" s="1" t="s">
        <v>839</v>
      </c>
      <c r="E71" s="1" t="s">
        <v>740</v>
      </c>
      <c r="F71" s="1"/>
      <c r="G71" s="1" t="s">
        <v>840</v>
      </c>
      <c r="H71" s="1">
        <f t="shared" si="2"/>
        <v>0</v>
      </c>
      <c r="I71" s="1">
        <f t="shared" si="3"/>
        <v>0</v>
      </c>
      <c r="J71" s="1">
        <v>1</v>
      </c>
      <c r="K71" s="207" t="s">
        <v>621</v>
      </c>
      <c r="L71" s="136">
        <v>556367266.81616688</v>
      </c>
      <c r="M71" s="138" t="s">
        <v>621</v>
      </c>
      <c r="N71" s="140" t="s">
        <v>621</v>
      </c>
      <c r="O71" s="1" t="s">
        <v>93</v>
      </c>
      <c r="Q71"/>
      <c r="R71" s="136"/>
    </row>
    <row r="72" spans="1:18" ht="25">
      <c r="A72" s="158" t="s">
        <v>841</v>
      </c>
      <c r="B72" s="1" t="s">
        <v>823</v>
      </c>
      <c r="C72" s="1" t="s">
        <v>701</v>
      </c>
      <c r="D72" s="1" t="s">
        <v>842</v>
      </c>
      <c r="E72" s="1" t="s">
        <v>740</v>
      </c>
      <c r="F72" s="1"/>
      <c r="G72" s="1" t="s">
        <v>843</v>
      </c>
      <c r="H72" s="1">
        <f t="shared" si="2"/>
        <v>0</v>
      </c>
      <c r="I72" s="1">
        <f t="shared" si="3"/>
        <v>0</v>
      </c>
      <c r="J72" s="1">
        <v>2</v>
      </c>
      <c r="K72" s="207" t="s">
        <v>621</v>
      </c>
      <c r="L72" s="136">
        <v>603197743.92438066</v>
      </c>
      <c r="M72" s="138" t="s">
        <v>621</v>
      </c>
      <c r="N72" s="140" t="s">
        <v>621</v>
      </c>
      <c r="O72" s="1" t="s">
        <v>93</v>
      </c>
      <c r="Q72"/>
      <c r="R72" s="136"/>
    </row>
    <row r="73" spans="1:18" ht="25">
      <c r="A73" s="158" t="s">
        <v>844</v>
      </c>
      <c r="B73" s="1" t="s">
        <v>823</v>
      </c>
      <c r="C73" s="1" t="s">
        <v>701</v>
      </c>
      <c r="D73" s="1" t="s">
        <v>845</v>
      </c>
      <c r="E73" s="1" t="s">
        <v>740</v>
      </c>
      <c r="F73" s="1" t="s">
        <v>348</v>
      </c>
      <c r="G73" s="1" t="s">
        <v>348</v>
      </c>
      <c r="H73" s="1" t="str">
        <f t="shared" si="2"/>
        <v>ES28600-24 6.14</v>
      </c>
      <c r="I73" s="1" t="str">
        <f t="shared" si="3"/>
        <v>ES28600-24 6.14</v>
      </c>
      <c r="J73" s="1">
        <v>4</v>
      </c>
      <c r="K73" s="207" t="s">
        <v>621</v>
      </c>
      <c r="L73" s="136">
        <v>24263840</v>
      </c>
      <c r="M73" s="138" t="s">
        <v>621</v>
      </c>
      <c r="N73" s="140" t="s">
        <v>621</v>
      </c>
      <c r="O73" s="1" t="s">
        <v>93</v>
      </c>
      <c r="Q73"/>
      <c r="R73" s="136"/>
    </row>
    <row r="74" spans="1:18" ht="14">
      <c r="A74" s="158" t="s">
        <v>846</v>
      </c>
      <c r="B74" s="1" t="s">
        <v>823</v>
      </c>
      <c r="C74" s="1" t="s">
        <v>701</v>
      </c>
      <c r="D74" s="1" t="s">
        <v>847</v>
      </c>
      <c r="E74" s="1" t="s">
        <v>740</v>
      </c>
      <c r="F74" s="1"/>
      <c r="G74" s="1" t="s">
        <v>848</v>
      </c>
      <c r="H74" s="1">
        <f t="shared" si="2"/>
        <v>0</v>
      </c>
      <c r="I74" s="1">
        <f t="shared" si="3"/>
        <v>0</v>
      </c>
      <c r="J74" s="1">
        <v>1</v>
      </c>
      <c r="K74" s="207" t="s">
        <v>621</v>
      </c>
      <c r="L74" s="136">
        <v>35944563</v>
      </c>
      <c r="M74" s="138" t="s">
        <v>621</v>
      </c>
      <c r="N74" s="140" t="s">
        <v>621</v>
      </c>
      <c r="O74" s="1" t="s">
        <v>93</v>
      </c>
      <c r="Q74"/>
      <c r="R74" s="136"/>
    </row>
    <row r="75" spans="1:18" ht="25">
      <c r="A75" s="158" t="s">
        <v>849</v>
      </c>
      <c r="B75" s="1" t="s">
        <v>823</v>
      </c>
      <c r="C75" s="1" t="s">
        <v>701</v>
      </c>
      <c r="D75" s="1" t="s">
        <v>850</v>
      </c>
      <c r="E75" s="1" t="s">
        <v>620</v>
      </c>
      <c r="F75" s="1"/>
      <c r="G75" s="1" t="s">
        <v>851</v>
      </c>
      <c r="H75" s="1">
        <f t="shared" si="2"/>
        <v>0</v>
      </c>
      <c r="I75" s="1">
        <f t="shared" si="3"/>
        <v>0</v>
      </c>
      <c r="J75" s="1">
        <v>2</v>
      </c>
      <c r="K75" s="207" t="s">
        <v>621</v>
      </c>
      <c r="L75" s="136">
        <v>1009816667.687093</v>
      </c>
      <c r="M75" s="138" t="s">
        <v>621</v>
      </c>
      <c r="N75" s="140" t="s">
        <v>621</v>
      </c>
      <c r="O75" s="1" t="s">
        <v>93</v>
      </c>
      <c r="Q75"/>
      <c r="R75" s="136"/>
    </row>
    <row r="76" spans="1:18" ht="37.5">
      <c r="A76" s="158" t="s">
        <v>852</v>
      </c>
      <c r="B76" s="1" t="s">
        <v>823</v>
      </c>
      <c r="C76" s="1" t="s">
        <v>701</v>
      </c>
      <c r="D76" s="1" t="s">
        <v>853</v>
      </c>
      <c r="E76" s="1" t="s">
        <v>620</v>
      </c>
      <c r="F76" s="1"/>
      <c r="G76" s="1" t="s">
        <v>851</v>
      </c>
      <c r="H76" s="1">
        <f t="shared" si="2"/>
        <v>0</v>
      </c>
      <c r="I76" s="1">
        <f t="shared" si="3"/>
        <v>0</v>
      </c>
      <c r="J76" s="1">
        <v>3</v>
      </c>
      <c r="K76" s="207" t="s">
        <v>621</v>
      </c>
      <c r="L76" s="136">
        <v>985531466.36766624</v>
      </c>
      <c r="M76" s="138" t="s">
        <v>621</v>
      </c>
      <c r="N76" s="140" t="s">
        <v>621</v>
      </c>
      <c r="O76" s="1" t="s">
        <v>93</v>
      </c>
      <c r="Q76"/>
      <c r="R76" s="136"/>
    </row>
    <row r="77" spans="1:18" ht="25">
      <c r="A77" s="158" t="s">
        <v>854</v>
      </c>
      <c r="B77" s="1" t="s">
        <v>823</v>
      </c>
      <c r="C77" s="1" t="s">
        <v>701</v>
      </c>
      <c r="D77" s="1" t="s">
        <v>855</v>
      </c>
      <c r="E77" s="1" t="s">
        <v>620</v>
      </c>
      <c r="F77" s="1"/>
      <c r="G77" s="1" t="s">
        <v>851</v>
      </c>
      <c r="H77" s="1">
        <f t="shared" si="2"/>
        <v>0</v>
      </c>
      <c r="I77" s="1">
        <f t="shared" si="3"/>
        <v>0</v>
      </c>
      <c r="J77" s="1">
        <v>1</v>
      </c>
      <c r="K77" s="207" t="s">
        <v>621</v>
      </c>
      <c r="L77" s="136">
        <v>500963030.66666669</v>
      </c>
      <c r="M77" s="138" t="s">
        <v>621</v>
      </c>
      <c r="N77" s="140" t="s">
        <v>621</v>
      </c>
      <c r="O77" s="1" t="s">
        <v>93</v>
      </c>
      <c r="Q77"/>
      <c r="R77" s="136"/>
    </row>
    <row r="78" spans="1:18" ht="25">
      <c r="A78" s="158" t="s">
        <v>856</v>
      </c>
      <c r="B78" s="1" t="s">
        <v>823</v>
      </c>
      <c r="C78" s="1" t="s">
        <v>701</v>
      </c>
      <c r="D78" s="1" t="s">
        <v>857</v>
      </c>
      <c r="E78" s="1" t="s">
        <v>740</v>
      </c>
      <c r="F78" s="1"/>
      <c r="G78" s="1" t="s">
        <v>858</v>
      </c>
      <c r="H78" s="1">
        <f t="shared" si="2"/>
        <v>0</v>
      </c>
      <c r="I78" s="1">
        <f t="shared" si="3"/>
        <v>0</v>
      </c>
      <c r="J78" s="1">
        <v>2</v>
      </c>
      <c r="K78" s="207" t="s">
        <v>621</v>
      </c>
      <c r="L78" s="136">
        <v>3575766.1500849249</v>
      </c>
      <c r="M78" s="138" t="s">
        <v>621</v>
      </c>
      <c r="N78" s="140" t="s">
        <v>621</v>
      </c>
      <c r="O78" s="1" t="s">
        <v>93</v>
      </c>
      <c r="Q78"/>
      <c r="R78" s="136"/>
    </row>
    <row r="79" spans="1:18" ht="25">
      <c r="A79" s="158" t="s">
        <v>859</v>
      </c>
      <c r="B79" s="1" t="s">
        <v>823</v>
      </c>
      <c r="C79" s="1" t="s">
        <v>701</v>
      </c>
      <c r="D79" s="1" t="s">
        <v>860</v>
      </c>
      <c r="E79" s="1" t="s">
        <v>740</v>
      </c>
      <c r="F79" s="1"/>
      <c r="G79" s="1" t="s">
        <v>861</v>
      </c>
      <c r="H79" s="1">
        <f t="shared" si="2"/>
        <v>0</v>
      </c>
      <c r="I79" s="1">
        <f t="shared" si="3"/>
        <v>0</v>
      </c>
      <c r="J79" s="1">
        <v>2</v>
      </c>
      <c r="K79" s="207" t="s">
        <v>621</v>
      </c>
      <c r="L79" s="136">
        <v>7151532.3001698498</v>
      </c>
      <c r="M79" s="138" t="s">
        <v>621</v>
      </c>
      <c r="N79" s="140" t="s">
        <v>621</v>
      </c>
      <c r="O79" s="1" t="s">
        <v>93</v>
      </c>
      <c r="Q79"/>
      <c r="R79" s="136"/>
    </row>
    <row r="80" spans="1:18" ht="25">
      <c r="A80" s="158" t="s">
        <v>862</v>
      </c>
      <c r="B80" s="1" t="s">
        <v>823</v>
      </c>
      <c r="C80" s="1" t="s">
        <v>701</v>
      </c>
      <c r="D80" s="1" t="s">
        <v>863</v>
      </c>
      <c r="E80" s="1" t="s">
        <v>740</v>
      </c>
      <c r="F80" s="1"/>
      <c r="G80" s="1" t="s">
        <v>864</v>
      </c>
      <c r="H80" s="1">
        <f t="shared" si="2"/>
        <v>0</v>
      </c>
      <c r="I80" s="1">
        <f t="shared" si="3"/>
        <v>0</v>
      </c>
      <c r="J80" s="1">
        <v>2</v>
      </c>
      <c r="K80" s="207" t="s">
        <v>621</v>
      </c>
      <c r="L80" s="136">
        <v>943480</v>
      </c>
      <c r="M80" s="138" t="s">
        <v>621</v>
      </c>
      <c r="N80" s="140" t="s">
        <v>621</v>
      </c>
      <c r="O80" s="1" t="s">
        <v>93</v>
      </c>
      <c r="Q80"/>
      <c r="R80" s="136"/>
    </row>
    <row r="81" spans="1:18" ht="25">
      <c r="A81" s="158" t="s">
        <v>865</v>
      </c>
      <c r="B81" s="1" t="s">
        <v>823</v>
      </c>
      <c r="C81" s="1" t="s">
        <v>701</v>
      </c>
      <c r="D81" s="1" t="s">
        <v>866</v>
      </c>
      <c r="E81" s="1" t="s">
        <v>740</v>
      </c>
      <c r="F81" s="1"/>
      <c r="G81" s="1" t="s">
        <v>867</v>
      </c>
      <c r="H81" s="1">
        <f t="shared" si="2"/>
        <v>0</v>
      </c>
      <c r="I81" s="1">
        <f t="shared" si="3"/>
        <v>0</v>
      </c>
      <c r="J81" s="1">
        <v>2</v>
      </c>
      <c r="K81" s="207" t="s">
        <v>621</v>
      </c>
      <c r="L81" s="136">
        <v>1102936</v>
      </c>
      <c r="M81" s="138" t="s">
        <v>621</v>
      </c>
      <c r="N81" s="140" t="s">
        <v>621</v>
      </c>
      <c r="O81" s="1" t="s">
        <v>93</v>
      </c>
      <c r="Q81"/>
      <c r="R81" s="136"/>
    </row>
    <row r="82" spans="1:18" ht="14">
      <c r="A82" s="158" t="s">
        <v>868</v>
      </c>
      <c r="B82" s="1" t="s">
        <v>823</v>
      </c>
      <c r="C82" s="1" t="s">
        <v>701</v>
      </c>
      <c r="D82" s="1" t="s">
        <v>869</v>
      </c>
      <c r="E82" s="1" t="s">
        <v>740</v>
      </c>
      <c r="F82" s="1"/>
      <c r="G82" s="1" t="s">
        <v>870</v>
      </c>
      <c r="H82" s="1">
        <f t="shared" si="2"/>
        <v>0</v>
      </c>
      <c r="I82" s="1">
        <f t="shared" si="3"/>
        <v>0</v>
      </c>
      <c r="J82" s="1">
        <v>2</v>
      </c>
      <c r="K82" s="207" t="s">
        <v>621</v>
      </c>
      <c r="L82" s="136">
        <v>1010102</v>
      </c>
      <c r="M82" s="138" t="s">
        <v>621</v>
      </c>
      <c r="N82" s="140" t="s">
        <v>621</v>
      </c>
      <c r="O82" s="1" t="s">
        <v>93</v>
      </c>
      <c r="Q82"/>
      <c r="R82" s="136"/>
    </row>
    <row r="83" spans="1:18" ht="14">
      <c r="A83" s="158" t="s">
        <v>871</v>
      </c>
      <c r="B83" s="1" t="s">
        <v>823</v>
      </c>
      <c r="C83" s="1" t="s">
        <v>701</v>
      </c>
      <c r="D83" s="1" t="s">
        <v>872</v>
      </c>
      <c r="E83" s="1" t="s">
        <v>740</v>
      </c>
      <c r="F83" s="1"/>
      <c r="G83" s="1" t="s">
        <v>873</v>
      </c>
      <c r="H83" s="1">
        <f t="shared" si="2"/>
        <v>0</v>
      </c>
      <c r="I83" s="1">
        <f t="shared" si="3"/>
        <v>0</v>
      </c>
      <c r="J83" s="1">
        <v>2</v>
      </c>
      <c r="K83" s="207" t="s">
        <v>621</v>
      </c>
      <c r="L83" s="136">
        <v>199780</v>
      </c>
      <c r="M83" s="138" t="s">
        <v>621</v>
      </c>
      <c r="N83" s="140" t="s">
        <v>621</v>
      </c>
      <c r="O83" s="1" t="s">
        <v>93</v>
      </c>
      <c r="Q83"/>
      <c r="R83" s="136"/>
    </row>
    <row r="84" spans="1:18" ht="14">
      <c r="A84" s="158" t="s">
        <v>874</v>
      </c>
      <c r="B84" s="1" t="s">
        <v>823</v>
      </c>
      <c r="C84" s="1" t="s">
        <v>701</v>
      </c>
      <c r="D84" s="1" t="s">
        <v>875</v>
      </c>
      <c r="E84" s="1" t="s">
        <v>740</v>
      </c>
      <c r="F84" s="1"/>
      <c r="G84" s="1" t="s">
        <v>843</v>
      </c>
      <c r="H84" s="1">
        <f t="shared" si="2"/>
        <v>0</v>
      </c>
      <c r="I84" s="1">
        <f t="shared" si="3"/>
        <v>0</v>
      </c>
      <c r="J84" s="1">
        <v>2</v>
      </c>
      <c r="K84" s="207" t="s">
        <v>621</v>
      </c>
      <c r="L84" s="136">
        <v>9417890</v>
      </c>
      <c r="M84" s="138" t="s">
        <v>621</v>
      </c>
      <c r="N84" s="140" t="s">
        <v>621</v>
      </c>
      <c r="O84" s="1" t="s">
        <v>93</v>
      </c>
      <c r="Q84"/>
      <c r="R84" s="136"/>
    </row>
    <row r="85" spans="1:18" ht="14">
      <c r="A85" s="158" t="s">
        <v>876</v>
      </c>
      <c r="B85" s="1" t="s">
        <v>823</v>
      </c>
      <c r="C85" s="1" t="s">
        <v>701</v>
      </c>
      <c r="D85" s="1" t="s">
        <v>877</v>
      </c>
      <c r="E85" s="1" t="s">
        <v>740</v>
      </c>
      <c r="F85" s="1"/>
      <c r="G85" s="1" t="s">
        <v>831</v>
      </c>
      <c r="H85" s="1">
        <f t="shared" si="2"/>
        <v>0</v>
      </c>
      <c r="I85" s="1">
        <f t="shared" si="3"/>
        <v>0</v>
      </c>
      <c r="J85" s="1">
        <v>2</v>
      </c>
      <c r="K85" s="207" t="s">
        <v>621</v>
      </c>
      <c r="L85" s="136">
        <v>9247350</v>
      </c>
      <c r="M85" s="138" t="s">
        <v>621</v>
      </c>
      <c r="N85" s="140" t="s">
        <v>621</v>
      </c>
      <c r="O85" s="1" t="s">
        <v>93</v>
      </c>
      <c r="Q85"/>
      <c r="R85" s="136"/>
    </row>
    <row r="86" spans="1:18" ht="14">
      <c r="A86" s="158" t="s">
        <v>878</v>
      </c>
      <c r="B86" s="1" t="s">
        <v>823</v>
      </c>
      <c r="C86" s="1" t="s">
        <v>701</v>
      </c>
      <c r="D86" s="1" t="s">
        <v>879</v>
      </c>
      <c r="E86" s="1" t="s">
        <v>740</v>
      </c>
      <c r="F86" s="1"/>
      <c r="G86" s="1" t="s">
        <v>880</v>
      </c>
      <c r="H86" s="1">
        <f t="shared" si="2"/>
        <v>0</v>
      </c>
      <c r="I86" s="1">
        <f t="shared" si="3"/>
        <v>0</v>
      </c>
      <c r="J86" s="1">
        <v>2</v>
      </c>
      <c r="K86" s="207">
        <v>71655</v>
      </c>
      <c r="L86" s="136">
        <v>9497860</v>
      </c>
      <c r="M86" s="138" t="s">
        <v>621</v>
      </c>
      <c r="N86" s="140" t="s">
        <v>621</v>
      </c>
      <c r="O86" s="1" t="s">
        <v>703</v>
      </c>
      <c r="Q86"/>
      <c r="R86" s="136"/>
    </row>
    <row r="87" spans="1:18" ht="25">
      <c r="A87" s="158" t="s">
        <v>881</v>
      </c>
      <c r="B87" s="1" t="s">
        <v>823</v>
      </c>
      <c r="C87" s="1" t="s">
        <v>701</v>
      </c>
      <c r="D87" s="1" t="s">
        <v>882</v>
      </c>
      <c r="E87" s="1" t="s">
        <v>740</v>
      </c>
      <c r="F87" s="1"/>
      <c r="G87" s="1" t="s">
        <v>883</v>
      </c>
      <c r="H87" s="1">
        <f t="shared" si="2"/>
        <v>0</v>
      </c>
      <c r="I87" s="1">
        <f t="shared" si="3"/>
        <v>0</v>
      </c>
      <c r="J87" s="1">
        <v>2</v>
      </c>
      <c r="K87" s="207">
        <v>71655</v>
      </c>
      <c r="L87" s="136">
        <v>9497860</v>
      </c>
      <c r="M87" s="138" t="s">
        <v>621</v>
      </c>
      <c r="N87" s="140" t="s">
        <v>621</v>
      </c>
      <c r="O87" s="1" t="s">
        <v>703</v>
      </c>
      <c r="Q87"/>
      <c r="R87" s="136"/>
    </row>
    <row r="88" spans="1:18" ht="25">
      <c r="A88" s="158" t="s">
        <v>884</v>
      </c>
      <c r="B88" s="1" t="s">
        <v>823</v>
      </c>
      <c r="C88" s="1" t="s">
        <v>701</v>
      </c>
      <c r="D88" s="1" t="s">
        <v>885</v>
      </c>
      <c r="E88" s="1" t="s">
        <v>740</v>
      </c>
      <c r="F88" s="1"/>
      <c r="G88" s="1" t="s">
        <v>886</v>
      </c>
      <c r="H88" s="1">
        <f t="shared" si="2"/>
        <v>0</v>
      </c>
      <c r="I88" s="1">
        <f t="shared" si="3"/>
        <v>0</v>
      </c>
      <c r="J88" s="1">
        <v>2</v>
      </c>
      <c r="K88" s="207">
        <v>149634</v>
      </c>
      <c r="L88" s="136">
        <v>19272928</v>
      </c>
      <c r="M88" s="138" t="s">
        <v>621</v>
      </c>
      <c r="N88" s="140" t="s">
        <v>621</v>
      </c>
      <c r="O88" s="1" t="s">
        <v>703</v>
      </c>
      <c r="Q88"/>
      <c r="R88" s="136"/>
    </row>
    <row r="89" spans="1:18" ht="25">
      <c r="A89" s="158" t="s">
        <v>887</v>
      </c>
      <c r="B89" s="1" t="s">
        <v>823</v>
      </c>
      <c r="C89" s="1" t="s">
        <v>701</v>
      </c>
      <c r="D89" s="1" t="s">
        <v>888</v>
      </c>
      <c r="E89" s="1" t="s">
        <v>740</v>
      </c>
      <c r="F89" s="1"/>
      <c r="G89" s="1" t="s">
        <v>889</v>
      </c>
      <c r="H89" s="1">
        <f t="shared" si="2"/>
        <v>0</v>
      </c>
      <c r="I89" s="1">
        <f t="shared" si="3"/>
        <v>0</v>
      </c>
      <c r="J89" s="1">
        <v>4</v>
      </c>
      <c r="K89" s="207" t="s">
        <v>621</v>
      </c>
      <c r="L89" s="136">
        <v>22111153</v>
      </c>
      <c r="M89" s="138" t="s">
        <v>621</v>
      </c>
      <c r="N89" s="140" t="s">
        <v>621</v>
      </c>
      <c r="O89" s="1" t="s">
        <v>93</v>
      </c>
      <c r="Q89"/>
      <c r="R89" s="136"/>
    </row>
    <row r="90" spans="1:18" ht="25">
      <c r="A90" s="158" t="s">
        <v>890</v>
      </c>
      <c r="B90" s="1" t="s">
        <v>823</v>
      </c>
      <c r="C90" s="1" t="s">
        <v>701</v>
      </c>
      <c r="D90" s="1" t="s">
        <v>891</v>
      </c>
      <c r="E90" s="1" t="s">
        <v>740</v>
      </c>
      <c r="F90" s="1"/>
      <c r="G90" s="1" t="s">
        <v>840</v>
      </c>
      <c r="H90" s="1">
        <f t="shared" si="2"/>
        <v>0</v>
      </c>
      <c r="I90" s="1">
        <f t="shared" si="3"/>
        <v>0</v>
      </c>
      <c r="J90" s="1">
        <v>1</v>
      </c>
      <c r="K90" s="207">
        <v>98731.5</v>
      </c>
      <c r="L90" s="136">
        <v>76991536</v>
      </c>
      <c r="M90" s="138" t="s">
        <v>621</v>
      </c>
      <c r="N90" s="140" t="s">
        <v>621</v>
      </c>
      <c r="O90" s="1" t="s">
        <v>703</v>
      </c>
      <c r="Q90"/>
      <c r="R90" s="136"/>
    </row>
    <row r="91" spans="1:18" ht="25">
      <c r="A91" s="158" t="s">
        <v>892</v>
      </c>
      <c r="B91" s="1" t="s">
        <v>823</v>
      </c>
      <c r="C91" s="1" t="s">
        <v>701</v>
      </c>
      <c r="D91" s="1" t="s">
        <v>893</v>
      </c>
      <c r="E91" s="1" t="s">
        <v>740</v>
      </c>
      <c r="F91" s="1"/>
      <c r="G91" s="1" t="s">
        <v>843</v>
      </c>
      <c r="H91" s="1">
        <f t="shared" si="2"/>
        <v>0</v>
      </c>
      <c r="I91" s="1">
        <f t="shared" si="3"/>
        <v>0</v>
      </c>
      <c r="J91" s="1">
        <v>2</v>
      </c>
      <c r="K91" s="207" t="s">
        <v>621</v>
      </c>
      <c r="L91" s="136">
        <v>18920416</v>
      </c>
      <c r="M91" s="138" t="s">
        <v>621</v>
      </c>
      <c r="N91" s="140" t="s">
        <v>621</v>
      </c>
      <c r="O91" s="1" t="s">
        <v>93</v>
      </c>
      <c r="Q91"/>
      <c r="R91" s="136"/>
    </row>
    <row r="92" spans="1:18" ht="25">
      <c r="A92" s="158" t="s">
        <v>894</v>
      </c>
      <c r="B92" s="1" t="s">
        <v>823</v>
      </c>
      <c r="C92" s="1" t="s">
        <v>701</v>
      </c>
      <c r="D92" s="1" t="s">
        <v>895</v>
      </c>
      <c r="E92" s="1" t="s">
        <v>740</v>
      </c>
      <c r="F92" s="1"/>
      <c r="G92" s="1" t="s">
        <v>348</v>
      </c>
      <c r="H92" s="1">
        <f t="shared" si="2"/>
        <v>0</v>
      </c>
      <c r="I92" s="1">
        <f t="shared" si="3"/>
        <v>0</v>
      </c>
      <c r="J92" s="1">
        <v>1</v>
      </c>
      <c r="K92" s="207" t="s">
        <v>621</v>
      </c>
      <c r="L92" s="136">
        <v>16170924</v>
      </c>
      <c r="M92" s="138" t="s">
        <v>621</v>
      </c>
      <c r="N92" s="140" t="s">
        <v>621</v>
      </c>
      <c r="O92" s="1" t="s">
        <v>93</v>
      </c>
      <c r="Q92"/>
      <c r="R92" s="136"/>
    </row>
    <row r="93" spans="1:18" ht="25">
      <c r="A93" s="158" t="s">
        <v>896</v>
      </c>
      <c r="B93" s="1" t="s">
        <v>823</v>
      </c>
      <c r="C93" s="1" t="s">
        <v>701</v>
      </c>
      <c r="D93" s="1" t="s">
        <v>897</v>
      </c>
      <c r="E93" s="1" t="s">
        <v>740</v>
      </c>
      <c r="F93" s="1"/>
      <c r="G93" s="1" t="s">
        <v>348</v>
      </c>
      <c r="H93" s="1">
        <f t="shared" si="2"/>
        <v>0</v>
      </c>
      <c r="I93" s="1">
        <f t="shared" si="3"/>
        <v>0</v>
      </c>
      <c r="J93" s="1">
        <v>1</v>
      </c>
      <c r="K93" s="207" t="s">
        <v>621</v>
      </c>
      <c r="L93" s="136">
        <v>8196370</v>
      </c>
      <c r="M93" s="138" t="s">
        <v>621</v>
      </c>
      <c r="N93" s="140" t="s">
        <v>621</v>
      </c>
      <c r="O93" s="1" t="s">
        <v>93</v>
      </c>
      <c r="Q93"/>
      <c r="R93" s="136"/>
    </row>
    <row r="94" spans="1:18" ht="25">
      <c r="A94" s="158" t="s">
        <v>898</v>
      </c>
      <c r="B94" s="1" t="s">
        <v>823</v>
      </c>
      <c r="C94" s="1" t="s">
        <v>701</v>
      </c>
      <c r="D94" s="1" t="s">
        <v>899</v>
      </c>
      <c r="E94" s="1" t="s">
        <v>740</v>
      </c>
      <c r="F94" s="1"/>
      <c r="G94" s="1" t="s">
        <v>900</v>
      </c>
      <c r="H94" s="1">
        <f t="shared" si="2"/>
        <v>0</v>
      </c>
      <c r="I94" s="1">
        <f t="shared" si="3"/>
        <v>0</v>
      </c>
      <c r="J94" s="1">
        <v>2</v>
      </c>
      <c r="K94" s="207" t="s">
        <v>621</v>
      </c>
      <c r="L94" s="136">
        <v>64895857</v>
      </c>
      <c r="M94" s="138" t="s">
        <v>621</v>
      </c>
      <c r="N94" s="140" t="s">
        <v>621</v>
      </c>
      <c r="O94" s="1" t="s">
        <v>93</v>
      </c>
      <c r="Q94"/>
      <c r="R94" s="136"/>
    </row>
    <row r="95" spans="1:18" ht="37.5">
      <c r="A95" s="158" t="s">
        <v>901</v>
      </c>
      <c r="B95" s="1" t="s">
        <v>823</v>
      </c>
      <c r="C95" s="1" t="s">
        <v>701</v>
      </c>
      <c r="D95" s="1" t="s">
        <v>902</v>
      </c>
      <c r="E95" s="1" t="s">
        <v>740</v>
      </c>
      <c r="F95" s="1"/>
      <c r="G95" s="1" t="s">
        <v>900</v>
      </c>
      <c r="H95" s="1">
        <f t="shared" si="2"/>
        <v>0</v>
      </c>
      <c r="I95" s="1">
        <f t="shared" si="3"/>
        <v>0</v>
      </c>
      <c r="J95" s="1">
        <v>3</v>
      </c>
      <c r="K95" s="207" t="s">
        <v>621</v>
      </c>
      <c r="L95" s="136">
        <v>47619794</v>
      </c>
      <c r="M95" s="138" t="s">
        <v>621</v>
      </c>
      <c r="N95" s="140" t="s">
        <v>621</v>
      </c>
      <c r="O95" s="1" t="s">
        <v>93</v>
      </c>
      <c r="Q95"/>
      <c r="R95" s="136"/>
    </row>
    <row r="96" spans="1:18" ht="14">
      <c r="A96" s="158" t="s">
        <v>1370</v>
      </c>
      <c r="B96" s="1" t="s">
        <v>903</v>
      </c>
      <c r="C96" s="1" t="s">
        <v>701</v>
      </c>
      <c r="D96" s="1" t="s">
        <v>904</v>
      </c>
      <c r="E96" s="1" t="s">
        <v>620</v>
      </c>
      <c r="F96" s="1" t="s">
        <v>349</v>
      </c>
      <c r="G96" s="1" t="s">
        <v>349</v>
      </c>
      <c r="H96" s="1" t="str">
        <f t="shared" si="2"/>
        <v>CHD-I-DSE-2001</v>
      </c>
      <c r="I96" s="1" t="str">
        <f t="shared" si="3"/>
        <v>CHD-I-DSE-2001</v>
      </c>
      <c r="J96" s="1">
        <v>4</v>
      </c>
      <c r="K96" s="207">
        <v>28645</v>
      </c>
      <c r="L96" s="136">
        <v>5904288</v>
      </c>
      <c r="M96" s="138">
        <v>188100</v>
      </c>
      <c r="N96" s="140" t="s">
        <v>621</v>
      </c>
      <c r="O96" s="1" t="s">
        <v>703</v>
      </c>
      <c r="Q96"/>
      <c r="R96" s="136"/>
    </row>
    <row r="97" spans="1:18" ht="14">
      <c r="A97" s="158" t="s">
        <v>905</v>
      </c>
      <c r="B97" s="1" t="s">
        <v>903</v>
      </c>
      <c r="C97" s="1" t="s">
        <v>701</v>
      </c>
      <c r="D97" s="1" t="s">
        <v>906</v>
      </c>
      <c r="E97" s="1" t="s">
        <v>620</v>
      </c>
      <c r="F97" s="1" t="s">
        <v>349</v>
      </c>
      <c r="G97" s="1" t="s">
        <v>349</v>
      </c>
      <c r="H97" s="1" t="str">
        <f t="shared" si="2"/>
        <v>CHD-I-DSE-2001</v>
      </c>
      <c r="I97" s="1" t="str">
        <f t="shared" si="3"/>
        <v>CHD-I-DSE-2001</v>
      </c>
      <c r="J97" s="1">
        <v>7</v>
      </c>
      <c r="K97" s="207">
        <v>46930</v>
      </c>
      <c r="L97" s="136">
        <v>9755368</v>
      </c>
      <c r="M97" s="138">
        <v>314050</v>
      </c>
      <c r="N97" s="140" t="s">
        <v>621</v>
      </c>
      <c r="O97" s="1" t="s">
        <v>703</v>
      </c>
      <c r="Q97"/>
      <c r="R97" s="136"/>
    </row>
    <row r="98" spans="1:18" ht="14">
      <c r="A98" s="158" t="s">
        <v>907</v>
      </c>
      <c r="B98" s="1" t="s">
        <v>903</v>
      </c>
      <c r="C98" s="1" t="s">
        <v>701</v>
      </c>
      <c r="D98" s="1" t="s">
        <v>904</v>
      </c>
      <c r="E98" s="1" t="s">
        <v>908</v>
      </c>
      <c r="F98" s="1" t="s">
        <v>350</v>
      </c>
      <c r="G98" s="1" t="s">
        <v>350</v>
      </c>
      <c r="H98" s="1" t="str">
        <f t="shared" si="2"/>
        <v>CHD-I-DSE-2002</v>
      </c>
      <c r="I98" s="1" t="str">
        <f t="shared" si="3"/>
        <v>CHD-I-DSE-2002</v>
      </c>
      <c r="J98" s="1">
        <v>6</v>
      </c>
      <c r="K98" s="207">
        <v>40645</v>
      </c>
      <c r="L98" s="136">
        <v>8413488</v>
      </c>
      <c r="M98" s="138">
        <v>270600</v>
      </c>
      <c r="N98" s="140" t="s">
        <v>621</v>
      </c>
      <c r="O98" s="1" t="s">
        <v>703</v>
      </c>
      <c r="Q98"/>
      <c r="R98" s="136"/>
    </row>
    <row r="99" spans="1:18" ht="14">
      <c r="A99" s="158" t="s">
        <v>909</v>
      </c>
      <c r="B99" s="1" t="s">
        <v>903</v>
      </c>
      <c r="C99" s="1" t="s">
        <v>701</v>
      </c>
      <c r="D99" s="1" t="s">
        <v>906</v>
      </c>
      <c r="E99" s="1" t="s">
        <v>908</v>
      </c>
      <c r="F99" s="1" t="s">
        <v>350</v>
      </c>
      <c r="G99" s="1" t="s">
        <v>350</v>
      </c>
      <c r="H99" s="1" t="str">
        <f t="shared" si="2"/>
        <v>CHD-I-DSE-2002</v>
      </c>
      <c r="I99" s="1" t="str">
        <f t="shared" si="3"/>
        <v>CHD-I-DSE-2002</v>
      </c>
      <c r="J99" s="1">
        <v>9</v>
      </c>
      <c r="K99" s="207">
        <v>58930</v>
      </c>
      <c r="L99" s="136">
        <v>12264568</v>
      </c>
      <c r="M99" s="138">
        <v>396550</v>
      </c>
      <c r="N99" s="140" t="s">
        <v>621</v>
      </c>
      <c r="O99" s="1" t="s">
        <v>703</v>
      </c>
      <c r="Q99"/>
      <c r="R99" s="136"/>
    </row>
    <row r="100" spans="1:18" ht="14">
      <c r="A100" s="158" t="s">
        <v>910</v>
      </c>
      <c r="B100" s="1" t="s">
        <v>903</v>
      </c>
      <c r="C100" s="1" t="s">
        <v>701</v>
      </c>
      <c r="D100" s="1" t="s">
        <v>904</v>
      </c>
      <c r="E100" s="1" t="s">
        <v>807</v>
      </c>
      <c r="F100" s="1" t="s">
        <v>351</v>
      </c>
      <c r="G100" s="1" t="s">
        <v>351</v>
      </c>
      <c r="H100" s="1" t="str">
        <f t="shared" si="2"/>
        <v>CHD-I-DSE-2003</v>
      </c>
      <c r="I100" s="1" t="str">
        <f t="shared" si="3"/>
        <v>CHD-I-DSE-2003</v>
      </c>
      <c r="J100" s="1">
        <v>7</v>
      </c>
      <c r="K100" s="207">
        <v>26485</v>
      </c>
      <c r="L100" s="136">
        <v>5452632</v>
      </c>
      <c r="M100" s="138">
        <v>173250</v>
      </c>
      <c r="N100" s="140" t="s">
        <v>621</v>
      </c>
      <c r="O100" s="1" t="s">
        <v>703</v>
      </c>
      <c r="Q100"/>
      <c r="R100" s="136"/>
    </row>
    <row r="101" spans="1:18" ht="14">
      <c r="A101" s="158" t="s">
        <v>911</v>
      </c>
      <c r="B101" s="1" t="s">
        <v>903</v>
      </c>
      <c r="C101" s="1" t="s">
        <v>701</v>
      </c>
      <c r="D101" s="1" t="s">
        <v>906</v>
      </c>
      <c r="E101" s="1" t="s">
        <v>807</v>
      </c>
      <c r="F101" s="1" t="s">
        <v>351</v>
      </c>
      <c r="G101" s="1" t="s">
        <v>351</v>
      </c>
      <c r="H101" s="1" t="str">
        <f t="shared" si="2"/>
        <v>CHD-I-DSE-2003</v>
      </c>
      <c r="I101" s="1" t="str">
        <f t="shared" si="3"/>
        <v>CHD-I-DSE-2003</v>
      </c>
      <c r="J101" s="1">
        <v>10</v>
      </c>
      <c r="K101" s="207">
        <v>55570</v>
      </c>
      <c r="L101" s="136">
        <v>11561992</v>
      </c>
      <c r="M101" s="138">
        <v>373450</v>
      </c>
      <c r="N101" s="140" t="s">
        <v>621</v>
      </c>
      <c r="O101" s="1" t="s">
        <v>703</v>
      </c>
      <c r="Q101"/>
      <c r="R101" s="136"/>
    </row>
    <row r="102" spans="1:18" ht="14">
      <c r="A102" s="158" t="s">
        <v>912</v>
      </c>
      <c r="B102" s="1" t="s">
        <v>903</v>
      </c>
      <c r="C102" s="1" t="s">
        <v>701</v>
      </c>
      <c r="D102" s="1" t="s">
        <v>913</v>
      </c>
      <c r="E102" s="1" t="s">
        <v>914</v>
      </c>
      <c r="F102" s="1" t="s">
        <v>352</v>
      </c>
      <c r="G102" s="1" t="s">
        <v>352</v>
      </c>
      <c r="H102" s="1" t="str">
        <f t="shared" si="2"/>
        <v>TL 82391 (simple version)</v>
      </c>
      <c r="I102" s="1" t="str">
        <f t="shared" si="3"/>
        <v>TL 82391 (simple version)</v>
      </c>
      <c r="J102" s="1">
        <v>4</v>
      </c>
      <c r="K102" s="207">
        <v>15685</v>
      </c>
      <c r="L102" s="136">
        <v>3194352</v>
      </c>
      <c r="M102" s="138">
        <v>99000</v>
      </c>
      <c r="N102" s="140" t="s">
        <v>621</v>
      </c>
      <c r="O102" s="1" t="s">
        <v>703</v>
      </c>
      <c r="Q102"/>
      <c r="R102" s="136"/>
    </row>
    <row r="103" spans="1:18" ht="14">
      <c r="A103" s="158" t="s">
        <v>915</v>
      </c>
      <c r="B103" s="1" t="s">
        <v>903</v>
      </c>
      <c r="C103" s="1" t="s">
        <v>701</v>
      </c>
      <c r="D103" s="1" t="s">
        <v>913</v>
      </c>
      <c r="E103" s="1" t="s">
        <v>587</v>
      </c>
      <c r="F103" s="1" t="s">
        <v>352</v>
      </c>
      <c r="G103" s="1" t="s">
        <v>352</v>
      </c>
      <c r="H103" s="1" t="str">
        <f t="shared" si="2"/>
        <v>TL 82391 (simple version)</v>
      </c>
      <c r="I103" s="1" t="str">
        <f t="shared" si="3"/>
        <v>TL 82391 (simple version)</v>
      </c>
      <c r="J103" s="1">
        <v>4</v>
      </c>
      <c r="K103" s="207">
        <v>15685</v>
      </c>
      <c r="L103" s="136">
        <v>3194352</v>
      </c>
      <c r="M103" s="138">
        <v>99000</v>
      </c>
      <c r="N103" s="140" t="s">
        <v>621</v>
      </c>
      <c r="O103" s="1" t="s">
        <v>703</v>
      </c>
      <c r="Q103"/>
      <c r="R103" s="136"/>
    </row>
    <row r="104" spans="1:18" ht="14">
      <c r="A104" s="158" t="s">
        <v>916</v>
      </c>
      <c r="B104" s="1" t="s">
        <v>903</v>
      </c>
      <c r="C104" s="1" t="s">
        <v>701</v>
      </c>
      <c r="D104" s="1" t="s">
        <v>917</v>
      </c>
      <c r="E104" s="1" t="s">
        <v>914</v>
      </c>
      <c r="F104" s="1" t="s">
        <v>353</v>
      </c>
      <c r="G104" s="1" t="s">
        <v>353</v>
      </c>
      <c r="H104" s="1" t="str">
        <f t="shared" si="2"/>
        <v>TL 82391 Forderung 3</v>
      </c>
      <c r="I104" s="1" t="str">
        <f t="shared" si="3"/>
        <v>TL 82391 Forderung 3</v>
      </c>
      <c r="J104" s="1">
        <v>9</v>
      </c>
      <c r="K104" s="207">
        <v>108460</v>
      </c>
      <c r="L104" s="136">
        <v>22676664</v>
      </c>
      <c r="M104" s="138">
        <v>737550</v>
      </c>
      <c r="N104" s="140" t="s">
        <v>621</v>
      </c>
      <c r="O104" s="1" t="s">
        <v>703</v>
      </c>
      <c r="Q104"/>
      <c r="R104" s="136"/>
    </row>
    <row r="105" spans="1:18" ht="14">
      <c r="A105" s="158" t="s">
        <v>918</v>
      </c>
      <c r="B105" s="1" t="s">
        <v>903</v>
      </c>
      <c r="C105" s="1" t="s">
        <v>701</v>
      </c>
      <c r="D105" s="1" t="s">
        <v>917</v>
      </c>
      <c r="E105" s="1" t="s">
        <v>587</v>
      </c>
      <c r="F105" s="1" t="s">
        <v>353</v>
      </c>
      <c r="G105" s="1" t="s">
        <v>353</v>
      </c>
      <c r="H105" s="1" t="str">
        <f t="shared" si="2"/>
        <v>TL 82391 Forderung 3</v>
      </c>
      <c r="I105" s="1" t="str">
        <f t="shared" si="3"/>
        <v>TL 82391 Forderung 3</v>
      </c>
      <c r="J105" s="1">
        <v>9</v>
      </c>
      <c r="K105" s="207">
        <v>108460</v>
      </c>
      <c r="L105" s="136">
        <v>22676664</v>
      </c>
      <c r="M105" s="138">
        <v>737550</v>
      </c>
      <c r="N105" s="140" t="s">
        <v>621</v>
      </c>
      <c r="O105" s="1" t="s">
        <v>703</v>
      </c>
      <c r="Q105"/>
      <c r="R105" s="136"/>
    </row>
    <row r="106" spans="1:18" ht="14">
      <c r="A106" s="158" t="s">
        <v>919</v>
      </c>
      <c r="B106" s="1" t="s">
        <v>903</v>
      </c>
      <c r="C106" s="1" t="s">
        <v>701</v>
      </c>
      <c r="D106" s="1" t="s">
        <v>913</v>
      </c>
      <c r="E106" s="1" t="s">
        <v>914</v>
      </c>
      <c r="F106" s="1" t="s">
        <v>353</v>
      </c>
      <c r="G106" s="1" t="s">
        <v>353</v>
      </c>
      <c r="H106" s="1" t="str">
        <f t="shared" si="2"/>
        <v>TL 82391 Forderung 3</v>
      </c>
      <c r="I106" s="1" t="str">
        <f t="shared" si="3"/>
        <v>TL 82391 Forderung 3</v>
      </c>
      <c r="J106" s="1">
        <v>12</v>
      </c>
      <c r="K106" s="207">
        <v>73660</v>
      </c>
      <c r="L106" s="136">
        <v>15399984</v>
      </c>
      <c r="M106" s="138">
        <v>498300</v>
      </c>
      <c r="N106" s="140" t="s">
        <v>621</v>
      </c>
      <c r="O106" s="1" t="s">
        <v>703</v>
      </c>
      <c r="Q106"/>
      <c r="R106" s="136"/>
    </row>
    <row r="107" spans="1:18" ht="14">
      <c r="A107" s="158" t="s">
        <v>920</v>
      </c>
      <c r="B107" s="1" t="s">
        <v>903</v>
      </c>
      <c r="C107" s="1" t="s">
        <v>701</v>
      </c>
      <c r="D107" s="1" t="s">
        <v>913</v>
      </c>
      <c r="E107" s="1" t="s">
        <v>587</v>
      </c>
      <c r="F107" s="1" t="s">
        <v>353</v>
      </c>
      <c r="G107" s="1" t="s">
        <v>353</v>
      </c>
      <c r="H107" s="1" t="str">
        <f t="shared" si="2"/>
        <v>TL 82391 Forderung 3</v>
      </c>
      <c r="I107" s="1" t="str">
        <f t="shared" si="3"/>
        <v>TL 82391 Forderung 3</v>
      </c>
      <c r="J107" s="1">
        <v>12</v>
      </c>
      <c r="K107" s="207">
        <v>73660</v>
      </c>
      <c r="L107" s="136">
        <v>15399984</v>
      </c>
      <c r="M107" s="138">
        <v>498300</v>
      </c>
      <c r="N107" s="140" t="s">
        <v>621</v>
      </c>
      <c r="O107" s="1" t="s">
        <v>703</v>
      </c>
      <c r="Q107"/>
      <c r="R107" s="136"/>
    </row>
    <row r="108" spans="1:18" ht="14">
      <c r="A108" s="158" t="s">
        <v>921</v>
      </c>
      <c r="B108" s="1" t="s">
        <v>903</v>
      </c>
      <c r="C108" s="1" t="s">
        <v>701</v>
      </c>
      <c r="D108" s="1" t="s">
        <v>922</v>
      </c>
      <c r="E108" s="1" t="s">
        <v>914</v>
      </c>
      <c r="F108" s="1" t="s">
        <v>353</v>
      </c>
      <c r="G108" s="1" t="s">
        <v>353</v>
      </c>
      <c r="H108" s="1" t="str">
        <f t="shared" si="2"/>
        <v>TL 82391 Forderung 3</v>
      </c>
      <c r="I108" s="1" t="str">
        <f t="shared" si="3"/>
        <v>TL 82391 Forderung 3</v>
      </c>
      <c r="J108" s="1">
        <v>12</v>
      </c>
      <c r="K108" s="207">
        <v>142300</v>
      </c>
      <c r="L108" s="136">
        <v>29752608</v>
      </c>
      <c r="M108" s="138">
        <v>970200</v>
      </c>
      <c r="N108" s="140" t="s">
        <v>621</v>
      </c>
      <c r="O108" s="1" t="s">
        <v>703</v>
      </c>
      <c r="Q108"/>
      <c r="R108" s="136"/>
    </row>
    <row r="109" spans="1:18" ht="14">
      <c r="A109" s="158" t="s">
        <v>923</v>
      </c>
      <c r="B109" s="1" t="s">
        <v>903</v>
      </c>
      <c r="C109" s="1" t="s">
        <v>701</v>
      </c>
      <c r="D109" s="1" t="s">
        <v>922</v>
      </c>
      <c r="E109" s="1" t="s">
        <v>587</v>
      </c>
      <c r="F109" s="1" t="s">
        <v>353</v>
      </c>
      <c r="G109" s="1" t="s">
        <v>353</v>
      </c>
      <c r="H109" s="1" t="str">
        <f t="shared" si="2"/>
        <v>TL 82391 Forderung 3</v>
      </c>
      <c r="I109" s="1" t="str">
        <f t="shared" si="3"/>
        <v>TL 82391 Forderung 3</v>
      </c>
      <c r="J109" s="1">
        <v>12</v>
      </c>
      <c r="K109" s="207">
        <v>142300</v>
      </c>
      <c r="L109" s="136">
        <v>29752608</v>
      </c>
      <c r="M109" s="138">
        <v>970200</v>
      </c>
      <c r="N109" s="140" t="s">
        <v>621</v>
      </c>
      <c r="O109" s="1" t="s">
        <v>703</v>
      </c>
      <c r="Q109"/>
      <c r="R109" s="136"/>
    </row>
    <row r="110" spans="1:18" ht="14">
      <c r="A110" s="158" t="s">
        <v>924</v>
      </c>
      <c r="B110" s="1" t="s">
        <v>903</v>
      </c>
      <c r="C110" s="1" t="s">
        <v>701</v>
      </c>
      <c r="D110" s="1" t="s">
        <v>913</v>
      </c>
      <c r="E110" s="1" t="s">
        <v>550</v>
      </c>
      <c r="F110" s="1" t="s">
        <v>354</v>
      </c>
      <c r="G110" s="1"/>
      <c r="H110" s="1" t="str">
        <f t="shared" si="2"/>
        <v>PA40100C</v>
      </c>
      <c r="I110" s="1" t="str">
        <f t="shared" si="3"/>
        <v>PA40100C</v>
      </c>
      <c r="J110" s="1">
        <v>3</v>
      </c>
      <c r="K110" s="207">
        <v>20165</v>
      </c>
      <c r="L110" s="136">
        <v>4047480</v>
      </c>
      <c r="M110" s="138">
        <v>127050</v>
      </c>
      <c r="N110" s="140" t="s">
        <v>621</v>
      </c>
      <c r="O110" s="1" t="s">
        <v>703</v>
      </c>
      <c r="Q110"/>
      <c r="R110" s="136"/>
    </row>
    <row r="111" spans="1:18" ht="14">
      <c r="A111" s="158" t="s">
        <v>925</v>
      </c>
      <c r="B111" s="1" t="s">
        <v>903</v>
      </c>
      <c r="C111" s="1" t="s">
        <v>701</v>
      </c>
      <c r="D111" s="1" t="s">
        <v>913</v>
      </c>
      <c r="E111" s="1" t="s">
        <v>914</v>
      </c>
      <c r="F111" s="1" t="s">
        <v>355</v>
      </c>
      <c r="G111" s="1"/>
      <c r="H111" s="1" t="str">
        <f t="shared" si="2"/>
        <v>CHD-I-DSE-2004</v>
      </c>
      <c r="I111" s="1" t="str">
        <f t="shared" si="3"/>
        <v>CHD-I-DSE-2004</v>
      </c>
      <c r="J111" s="1">
        <v>5</v>
      </c>
      <c r="K111" s="207">
        <v>20725</v>
      </c>
      <c r="L111" s="136">
        <v>4248216</v>
      </c>
      <c r="M111" s="138">
        <v>133650</v>
      </c>
      <c r="N111" s="140" t="s">
        <v>621</v>
      </c>
      <c r="O111" s="1" t="s">
        <v>703</v>
      </c>
      <c r="Q111"/>
      <c r="R111" s="136"/>
    </row>
    <row r="112" spans="1:18" ht="14">
      <c r="A112" s="158" t="s">
        <v>926</v>
      </c>
      <c r="B112" s="1" t="s">
        <v>903</v>
      </c>
      <c r="C112" s="1" t="s">
        <v>701</v>
      </c>
      <c r="D112" s="1" t="s">
        <v>913</v>
      </c>
      <c r="E112" s="1" t="s">
        <v>587</v>
      </c>
      <c r="F112" s="1" t="s">
        <v>355</v>
      </c>
      <c r="G112" s="1"/>
      <c r="H112" s="1" t="str">
        <f t="shared" si="2"/>
        <v>CHD-I-DSE-2004</v>
      </c>
      <c r="I112" s="1" t="str">
        <f t="shared" si="3"/>
        <v>CHD-I-DSE-2004</v>
      </c>
      <c r="J112" s="1">
        <v>5</v>
      </c>
      <c r="K112" s="207">
        <v>20485</v>
      </c>
      <c r="L112" s="136">
        <v>4198032</v>
      </c>
      <c r="M112" s="138">
        <v>132000</v>
      </c>
      <c r="N112" s="140" t="s">
        <v>621</v>
      </c>
      <c r="O112" s="1" t="s">
        <v>703</v>
      </c>
      <c r="Q112"/>
      <c r="R112" s="136"/>
    </row>
    <row r="113" spans="1:18" ht="14">
      <c r="A113" s="158" t="s">
        <v>927</v>
      </c>
      <c r="B113" s="1" t="s">
        <v>903</v>
      </c>
      <c r="C113" s="1" t="s">
        <v>701</v>
      </c>
      <c r="D113" s="1" t="s">
        <v>928</v>
      </c>
      <c r="E113" s="1" t="s">
        <v>530</v>
      </c>
      <c r="F113" s="1" t="s">
        <v>356</v>
      </c>
      <c r="G113" s="1"/>
      <c r="H113" s="1" t="str">
        <f t="shared" si="2"/>
        <v>GMW14390</v>
      </c>
      <c r="I113" s="1" t="str">
        <f t="shared" si="3"/>
        <v>GMW14390</v>
      </c>
      <c r="J113" s="1">
        <v>5</v>
      </c>
      <c r="K113" s="207">
        <v>26725</v>
      </c>
      <c r="L113" s="136">
        <v>5502816</v>
      </c>
      <c r="M113" s="138">
        <v>174900</v>
      </c>
      <c r="N113" s="140" t="s">
        <v>621</v>
      </c>
      <c r="O113" s="1" t="s">
        <v>703</v>
      </c>
      <c r="Q113"/>
      <c r="R113" s="136"/>
    </row>
    <row r="114" spans="1:18" ht="14">
      <c r="A114" s="158" t="s">
        <v>929</v>
      </c>
      <c r="B114" s="1" t="s">
        <v>903</v>
      </c>
      <c r="C114" s="1" t="s">
        <v>701</v>
      </c>
      <c r="D114" s="1" t="s">
        <v>930</v>
      </c>
      <c r="E114" s="1" t="s">
        <v>530</v>
      </c>
      <c r="F114" s="1" t="s">
        <v>357</v>
      </c>
      <c r="G114" s="1"/>
      <c r="H114" s="1" t="str">
        <f t="shared" si="2"/>
        <v>GMW14381</v>
      </c>
      <c r="I114" s="1" t="str">
        <f t="shared" si="3"/>
        <v>GMW14381</v>
      </c>
      <c r="J114" s="1">
        <v>5</v>
      </c>
      <c r="K114" s="207">
        <v>26725</v>
      </c>
      <c r="L114" s="136">
        <v>5502816</v>
      </c>
      <c r="M114" s="138">
        <v>174900</v>
      </c>
      <c r="N114" s="140" t="s">
        <v>621</v>
      </c>
      <c r="O114" s="1" t="s">
        <v>703</v>
      </c>
      <c r="Q114"/>
      <c r="R114" s="136"/>
    </row>
    <row r="115" spans="1:18" ht="14">
      <c r="A115" s="158" t="s">
        <v>931</v>
      </c>
      <c r="B115" s="1" t="s">
        <v>903</v>
      </c>
      <c r="C115" s="1" t="s">
        <v>701</v>
      </c>
      <c r="D115" s="1" t="s">
        <v>932</v>
      </c>
      <c r="E115" s="1" t="s">
        <v>595</v>
      </c>
      <c r="F115" s="1" t="s">
        <v>358</v>
      </c>
      <c r="G115" s="1"/>
      <c r="H115" s="1" t="str">
        <f t="shared" si="2"/>
        <v>CETP_09.03-E-300</v>
      </c>
      <c r="I115" s="1" t="str">
        <f t="shared" si="3"/>
        <v>CETP_09.03-E-300</v>
      </c>
      <c r="J115" s="1">
        <v>6</v>
      </c>
      <c r="K115" s="207">
        <v>100220</v>
      </c>
      <c r="L115" s="136">
        <v>21120960</v>
      </c>
      <c r="M115" s="138">
        <v>686400</v>
      </c>
      <c r="N115" s="140" t="s">
        <v>621</v>
      </c>
      <c r="O115" s="1" t="s">
        <v>703</v>
      </c>
      <c r="Q115"/>
      <c r="R115" s="136"/>
    </row>
    <row r="116" spans="1:18" ht="14">
      <c r="A116" s="158" t="s">
        <v>933</v>
      </c>
      <c r="B116" s="1" t="s">
        <v>903</v>
      </c>
      <c r="C116" s="1" t="s">
        <v>701</v>
      </c>
      <c r="D116" s="1" t="s">
        <v>934</v>
      </c>
      <c r="E116" s="1" t="s">
        <v>740</v>
      </c>
      <c r="F116" s="1" t="s">
        <v>359</v>
      </c>
      <c r="G116" s="1" t="s">
        <v>359</v>
      </c>
      <c r="H116" s="1" t="str">
        <f t="shared" si="2"/>
        <v>ES28600-22</v>
      </c>
      <c r="I116" s="1" t="str">
        <f t="shared" si="3"/>
        <v>ES28600-22</v>
      </c>
      <c r="J116" s="1">
        <v>1</v>
      </c>
      <c r="K116" s="207" t="s">
        <v>621</v>
      </c>
      <c r="L116" s="136">
        <v>2999323.4612934371</v>
      </c>
      <c r="M116" s="138">
        <v>81400</v>
      </c>
      <c r="N116" s="140" t="s">
        <v>621</v>
      </c>
      <c r="O116" s="1" t="s">
        <v>703</v>
      </c>
      <c r="Q116"/>
      <c r="R116" s="136"/>
    </row>
    <row r="117" spans="1:18" ht="14">
      <c r="A117" s="158" t="s">
        <v>935</v>
      </c>
      <c r="B117" s="1" t="s">
        <v>903</v>
      </c>
      <c r="C117" s="1" t="s">
        <v>701</v>
      </c>
      <c r="D117" s="1" t="s">
        <v>936</v>
      </c>
      <c r="E117" s="1" t="s">
        <v>740</v>
      </c>
      <c r="F117" s="1" t="s">
        <v>359</v>
      </c>
      <c r="G117" s="1" t="s">
        <v>359</v>
      </c>
      <c r="H117" s="1" t="str">
        <f t="shared" si="2"/>
        <v>ES28600-22</v>
      </c>
      <c r="I117" s="1" t="str">
        <f t="shared" si="3"/>
        <v>ES28600-22</v>
      </c>
      <c r="J117" s="1">
        <v>1</v>
      </c>
      <c r="K117" s="207" t="s">
        <v>621</v>
      </c>
      <c r="L117" s="136">
        <v>6012621.4288901715</v>
      </c>
      <c r="M117" s="138">
        <v>97900</v>
      </c>
      <c r="N117" s="140" t="s">
        <v>621</v>
      </c>
      <c r="O117" s="1" t="s">
        <v>703</v>
      </c>
      <c r="Q117"/>
      <c r="R117" s="136"/>
    </row>
    <row r="118" spans="1:18" ht="14">
      <c r="A118" s="158" t="s">
        <v>937</v>
      </c>
      <c r="B118" s="1" t="s">
        <v>903</v>
      </c>
      <c r="C118" s="1" t="s">
        <v>701</v>
      </c>
      <c r="D118" s="1" t="s">
        <v>938</v>
      </c>
      <c r="E118" s="1" t="s">
        <v>740</v>
      </c>
      <c r="F118" s="1" t="s">
        <v>359</v>
      </c>
      <c r="G118" s="1" t="s">
        <v>359</v>
      </c>
      <c r="H118" s="1" t="str">
        <f t="shared" si="2"/>
        <v>ES28600-22</v>
      </c>
      <c r="I118" s="1" t="str">
        <f t="shared" si="3"/>
        <v>ES28600-22</v>
      </c>
      <c r="J118" s="1">
        <v>9</v>
      </c>
      <c r="K118" s="207">
        <v>57783.5</v>
      </c>
      <c r="L118" s="136">
        <v>17113710.14922712</v>
      </c>
      <c r="M118" s="138">
        <v>386760</v>
      </c>
      <c r="N118" s="140" t="s">
        <v>621</v>
      </c>
      <c r="O118" s="1" t="s">
        <v>703</v>
      </c>
      <c r="Q118"/>
      <c r="R118" s="136"/>
    </row>
    <row r="119" spans="1:18" ht="14">
      <c r="A119" s="158" t="s">
        <v>939</v>
      </c>
      <c r="B119" s="1" t="s">
        <v>903</v>
      </c>
      <c r="C119" s="1" t="s">
        <v>701</v>
      </c>
      <c r="D119" s="1" t="s">
        <v>940</v>
      </c>
      <c r="E119" s="1" t="s">
        <v>740</v>
      </c>
      <c r="F119" s="1" t="s">
        <v>359</v>
      </c>
      <c r="G119" s="1" t="s">
        <v>359</v>
      </c>
      <c r="H119" s="1" t="str">
        <f t="shared" si="2"/>
        <v>ES28600-22</v>
      </c>
      <c r="I119" s="1" t="str">
        <f t="shared" si="3"/>
        <v>ES28600-22</v>
      </c>
      <c r="J119" s="1">
        <v>9</v>
      </c>
      <c r="K119" s="207">
        <v>109719.5</v>
      </c>
      <c r="L119" s="136">
        <v>28356428.773157012</v>
      </c>
      <c r="M119" s="138">
        <v>743820</v>
      </c>
      <c r="N119" s="140" t="s">
        <v>621</v>
      </c>
      <c r="O119" s="1" t="s">
        <v>703</v>
      </c>
      <c r="Q119"/>
      <c r="R119" s="136"/>
    </row>
    <row r="120" spans="1:18" ht="14">
      <c r="A120" s="158" t="s">
        <v>941</v>
      </c>
      <c r="B120" s="1" t="s">
        <v>903</v>
      </c>
      <c r="C120" s="1" t="s">
        <v>701</v>
      </c>
      <c r="D120" s="1" t="s">
        <v>942</v>
      </c>
      <c r="E120" s="1" t="s">
        <v>740</v>
      </c>
      <c r="F120" s="1" t="s">
        <v>360</v>
      </c>
      <c r="G120" s="1" t="s">
        <v>360</v>
      </c>
      <c r="H120" s="1" t="str">
        <f t="shared" si="2"/>
        <v>ES28600-25 6.2.1</v>
      </c>
      <c r="I120" s="1" t="str">
        <f t="shared" si="3"/>
        <v>ES28600-25 6.2.1</v>
      </c>
      <c r="J120" s="1">
        <v>5</v>
      </c>
      <c r="K120" s="207">
        <v>34940</v>
      </c>
      <c r="L120" s="136">
        <v>7470912</v>
      </c>
      <c r="M120" s="138">
        <v>237600</v>
      </c>
      <c r="N120" s="140" t="s">
        <v>621</v>
      </c>
      <c r="O120" s="1" t="s">
        <v>703</v>
      </c>
      <c r="Q120"/>
      <c r="R120" s="136"/>
    </row>
    <row r="121" spans="1:18" ht="25">
      <c r="A121" s="158" t="s">
        <v>943</v>
      </c>
      <c r="B121" s="1" t="s">
        <v>903</v>
      </c>
      <c r="C121" s="1" t="s">
        <v>701</v>
      </c>
      <c r="D121" s="1" t="s">
        <v>944</v>
      </c>
      <c r="E121" s="1" t="s">
        <v>595</v>
      </c>
      <c r="F121" s="1" t="s">
        <v>361</v>
      </c>
      <c r="G121" s="1"/>
      <c r="H121" s="1" t="str">
        <f t="shared" si="2"/>
        <v>CETP_09.00-E-309</v>
      </c>
      <c r="I121" s="1" t="str">
        <f t="shared" si="3"/>
        <v>CETP_09.00-E-309</v>
      </c>
      <c r="J121" s="1">
        <v>12</v>
      </c>
      <c r="K121" s="207">
        <v>54700</v>
      </c>
      <c r="L121" s="136">
        <v>11435448</v>
      </c>
      <c r="M121" s="138">
        <v>367950</v>
      </c>
      <c r="N121" s="140" t="s">
        <v>621</v>
      </c>
      <c r="O121" s="1" t="s">
        <v>703</v>
      </c>
      <c r="Q121"/>
      <c r="R121" s="136"/>
    </row>
    <row r="122" spans="1:18" ht="25">
      <c r="A122" s="158" t="s">
        <v>945</v>
      </c>
      <c r="B122" s="1" t="s">
        <v>903</v>
      </c>
      <c r="C122" s="1" t="s">
        <v>701</v>
      </c>
      <c r="D122" s="1" t="s">
        <v>946</v>
      </c>
      <c r="E122" s="1" t="s">
        <v>595</v>
      </c>
      <c r="F122" s="1" t="s">
        <v>361</v>
      </c>
      <c r="G122" s="1"/>
      <c r="H122" s="1" t="str">
        <f t="shared" si="2"/>
        <v>CETP_09.00-E-309</v>
      </c>
      <c r="I122" s="1" t="str">
        <f t="shared" si="3"/>
        <v>CETP_09.00-E-309</v>
      </c>
      <c r="J122" s="1">
        <v>12</v>
      </c>
      <c r="K122" s="207">
        <v>105340</v>
      </c>
      <c r="L122" s="136">
        <v>22024272</v>
      </c>
      <c r="M122" s="138">
        <v>716100</v>
      </c>
      <c r="N122" s="140" t="s">
        <v>621</v>
      </c>
      <c r="O122" s="1" t="s">
        <v>703</v>
      </c>
      <c r="Q122"/>
      <c r="R122" s="136"/>
    </row>
    <row r="123" spans="1:18" ht="25">
      <c r="A123" s="158" t="s">
        <v>947</v>
      </c>
      <c r="B123" s="1" t="s">
        <v>903</v>
      </c>
      <c r="C123" s="1" t="s">
        <v>701</v>
      </c>
      <c r="D123" s="1" t="s">
        <v>948</v>
      </c>
      <c r="E123" s="1" t="s">
        <v>595</v>
      </c>
      <c r="F123" s="1" t="s">
        <v>361</v>
      </c>
      <c r="G123" s="1"/>
      <c r="H123" s="1" t="str">
        <f t="shared" si="2"/>
        <v>CETP_09.00-E-309</v>
      </c>
      <c r="I123" s="1" t="str">
        <f t="shared" si="3"/>
        <v>CETP_09.00-E-309</v>
      </c>
      <c r="J123" s="1">
        <v>6</v>
      </c>
      <c r="K123" s="207">
        <v>23605</v>
      </c>
      <c r="L123" s="136">
        <v>4850424</v>
      </c>
      <c r="M123" s="138">
        <v>153450</v>
      </c>
      <c r="N123" s="140" t="s">
        <v>621</v>
      </c>
      <c r="O123" s="1" t="s">
        <v>703</v>
      </c>
      <c r="Q123"/>
      <c r="R123" s="136"/>
    </row>
    <row r="124" spans="1:18" ht="25">
      <c r="A124" s="158" t="s">
        <v>949</v>
      </c>
      <c r="B124" s="1" t="s">
        <v>903</v>
      </c>
      <c r="C124" s="1" t="s">
        <v>701</v>
      </c>
      <c r="D124" s="1" t="s">
        <v>950</v>
      </c>
      <c r="E124" s="1" t="s">
        <v>595</v>
      </c>
      <c r="F124" s="1" t="s">
        <v>361</v>
      </c>
      <c r="G124" s="1"/>
      <c r="H124" s="1" t="str">
        <f t="shared" si="2"/>
        <v>CETP_09.00-E-309</v>
      </c>
      <c r="I124" s="1" t="str">
        <f t="shared" si="3"/>
        <v>CETP_09.00-E-309</v>
      </c>
      <c r="J124" s="1">
        <v>6</v>
      </c>
      <c r="K124" s="207">
        <v>44005</v>
      </c>
      <c r="L124" s="136">
        <v>9116064</v>
      </c>
      <c r="M124" s="138">
        <v>293700</v>
      </c>
      <c r="N124" s="140" t="s">
        <v>621</v>
      </c>
      <c r="O124" s="1" t="s">
        <v>703</v>
      </c>
      <c r="Q124"/>
      <c r="R124" s="136"/>
    </row>
    <row r="125" spans="1:18" ht="14">
      <c r="A125" s="158" t="s">
        <v>951</v>
      </c>
      <c r="B125" s="1" t="s">
        <v>903</v>
      </c>
      <c r="C125" s="1" t="s">
        <v>701</v>
      </c>
      <c r="D125" s="1" t="s">
        <v>952</v>
      </c>
      <c r="E125" s="1" t="s">
        <v>580</v>
      </c>
      <c r="F125" s="1" t="s">
        <v>362</v>
      </c>
      <c r="G125" s="1"/>
      <c r="H125" s="1" t="str">
        <f t="shared" si="2"/>
        <v>PF.90160 9.10</v>
      </c>
      <c r="I125" s="1" t="str">
        <f t="shared" si="3"/>
        <v>PF.90160 9.10</v>
      </c>
      <c r="J125" s="1">
        <v>10</v>
      </c>
      <c r="K125" s="207">
        <v>56140</v>
      </c>
      <c r="L125" s="136">
        <v>11736552</v>
      </c>
      <c r="M125" s="138">
        <v>377850</v>
      </c>
      <c r="N125" s="140" t="s">
        <v>621</v>
      </c>
      <c r="O125" s="1" t="s">
        <v>703</v>
      </c>
      <c r="Q125"/>
      <c r="R125" s="136"/>
    </row>
    <row r="126" spans="1:18" ht="14">
      <c r="A126" s="158" t="s">
        <v>953</v>
      </c>
      <c r="B126" s="1" t="s">
        <v>903</v>
      </c>
      <c r="C126" s="1" t="s">
        <v>701</v>
      </c>
      <c r="D126" s="1" t="s">
        <v>954</v>
      </c>
      <c r="E126" s="1" t="s">
        <v>580</v>
      </c>
      <c r="F126" s="1" t="s">
        <v>363</v>
      </c>
      <c r="G126" s="1"/>
      <c r="H126" s="1" t="str">
        <f t="shared" si="2"/>
        <v>PF.90160 9.11</v>
      </c>
      <c r="I126" s="1" t="str">
        <f t="shared" si="3"/>
        <v>PF.90160 9.11</v>
      </c>
      <c r="J126" s="1">
        <v>10</v>
      </c>
      <c r="K126" s="207">
        <v>107260</v>
      </c>
      <c r="L126" s="136">
        <v>22425744</v>
      </c>
      <c r="M126" s="138">
        <v>729300</v>
      </c>
      <c r="N126" s="140" t="s">
        <v>621</v>
      </c>
      <c r="O126" s="1" t="s">
        <v>703</v>
      </c>
      <c r="Q126"/>
      <c r="R126" s="136"/>
    </row>
    <row r="127" spans="1:18" ht="14">
      <c r="A127" s="158" t="s">
        <v>955</v>
      </c>
      <c r="B127" s="1" t="s">
        <v>903</v>
      </c>
      <c r="C127" s="1" t="s">
        <v>701</v>
      </c>
      <c r="D127" s="1" t="s">
        <v>956</v>
      </c>
      <c r="E127" s="1" t="s">
        <v>580</v>
      </c>
      <c r="F127" s="1" t="s">
        <v>364</v>
      </c>
      <c r="G127" s="1"/>
      <c r="H127" s="1" t="str">
        <f t="shared" si="2"/>
        <v>PF.90160 9.12</v>
      </c>
      <c r="I127" s="1" t="str">
        <f t="shared" si="3"/>
        <v>PF.90160 9.12</v>
      </c>
      <c r="J127" s="1">
        <v>6</v>
      </c>
      <c r="K127" s="207">
        <v>59180</v>
      </c>
      <c r="L127" s="136">
        <v>12288576</v>
      </c>
      <c r="M127" s="138">
        <v>396000</v>
      </c>
      <c r="N127" s="140" t="s">
        <v>621</v>
      </c>
      <c r="O127" s="1" t="s">
        <v>703</v>
      </c>
      <c r="Q127"/>
      <c r="R127" s="136"/>
    </row>
    <row r="128" spans="1:18" ht="14">
      <c r="A128" s="158" t="s">
        <v>957</v>
      </c>
      <c r="B128" s="1" t="s">
        <v>903</v>
      </c>
      <c r="C128" s="1" t="s">
        <v>701</v>
      </c>
      <c r="D128" s="1" t="s">
        <v>958</v>
      </c>
      <c r="E128" s="1" t="s">
        <v>959</v>
      </c>
      <c r="F128" s="1"/>
      <c r="G128" s="1"/>
      <c r="H128" s="1">
        <f t="shared" si="2"/>
        <v>0</v>
      </c>
      <c r="I128" s="1">
        <f t="shared" si="3"/>
        <v>0</v>
      </c>
      <c r="J128" s="1">
        <v>3</v>
      </c>
      <c r="K128" s="207">
        <v>52145</v>
      </c>
      <c r="L128" s="136">
        <v>11221624</v>
      </c>
      <c r="M128" s="138">
        <v>360250</v>
      </c>
      <c r="N128" s="140" t="s">
        <v>621</v>
      </c>
      <c r="O128" s="1" t="s">
        <v>703</v>
      </c>
      <c r="Q128"/>
      <c r="R128" s="136"/>
    </row>
    <row r="129" spans="1:18" ht="14">
      <c r="A129" s="158" t="s">
        <v>960</v>
      </c>
      <c r="B129" s="1" t="s">
        <v>903</v>
      </c>
      <c r="C129" s="1" t="s">
        <v>701</v>
      </c>
      <c r="D129" s="1" t="s">
        <v>961</v>
      </c>
      <c r="E129" s="1" t="s">
        <v>959</v>
      </c>
      <c r="F129" s="1"/>
      <c r="G129" s="1"/>
      <c r="H129" s="1">
        <f t="shared" si="2"/>
        <v>0</v>
      </c>
      <c r="I129" s="1">
        <f t="shared" si="3"/>
        <v>0</v>
      </c>
      <c r="J129" s="1">
        <v>3</v>
      </c>
      <c r="K129" s="207">
        <v>106345</v>
      </c>
      <c r="L129" s="136">
        <v>10159088</v>
      </c>
      <c r="M129" s="138">
        <v>314600</v>
      </c>
      <c r="N129" s="140" t="s">
        <v>621</v>
      </c>
      <c r="O129" s="1" t="s">
        <v>703</v>
      </c>
      <c r="Q129"/>
      <c r="R129" s="136"/>
    </row>
    <row r="130" spans="1:18" ht="14">
      <c r="A130" s="158" t="s">
        <v>962</v>
      </c>
      <c r="B130" s="1" t="s">
        <v>903</v>
      </c>
      <c r="C130" s="1" t="s">
        <v>784</v>
      </c>
      <c r="D130" s="1" t="s">
        <v>963</v>
      </c>
      <c r="E130" s="1" t="s">
        <v>620</v>
      </c>
      <c r="F130" s="1" t="s">
        <v>365</v>
      </c>
      <c r="G130" s="1" t="s">
        <v>365</v>
      </c>
      <c r="H130" s="1" t="str">
        <f t="shared" ref="H130:H193" si="4">F130</f>
        <v>CHD-I-DSE-2072</v>
      </c>
      <c r="I130" s="1" t="str">
        <f t="shared" ref="I130:I193" si="5">F130</f>
        <v>CHD-I-DSE-2072</v>
      </c>
      <c r="J130" s="1">
        <v>4</v>
      </c>
      <c r="K130" s="207">
        <v>71510</v>
      </c>
      <c r="L130" s="136">
        <v>13667552</v>
      </c>
      <c r="M130" s="138">
        <v>440000</v>
      </c>
      <c r="N130" s="140" t="s">
        <v>621</v>
      </c>
      <c r="O130" s="1" t="s">
        <v>703</v>
      </c>
      <c r="Q130"/>
      <c r="R130" s="136"/>
    </row>
    <row r="131" spans="1:18" ht="14">
      <c r="A131" s="158" t="s">
        <v>964</v>
      </c>
      <c r="B131" s="1" t="s">
        <v>903</v>
      </c>
      <c r="C131" s="1" t="s">
        <v>784</v>
      </c>
      <c r="D131" s="1" t="s">
        <v>965</v>
      </c>
      <c r="E131" s="1" t="s">
        <v>620</v>
      </c>
      <c r="F131" s="1" t="s">
        <v>365</v>
      </c>
      <c r="G131" s="1" t="s">
        <v>365</v>
      </c>
      <c r="H131" s="1" t="str">
        <f t="shared" si="4"/>
        <v>CHD-I-DSE-2072</v>
      </c>
      <c r="I131" s="1" t="str">
        <f t="shared" si="5"/>
        <v>CHD-I-DSE-2072</v>
      </c>
      <c r="J131" s="1">
        <v>7</v>
      </c>
      <c r="K131" s="207">
        <v>115280</v>
      </c>
      <c r="L131" s="136">
        <v>22875232</v>
      </c>
      <c r="M131" s="138">
        <v>741400</v>
      </c>
      <c r="N131" s="140" t="s">
        <v>621</v>
      </c>
      <c r="O131" s="1" t="s">
        <v>703</v>
      </c>
      <c r="Q131"/>
      <c r="R131" s="136"/>
    </row>
    <row r="132" spans="1:18" ht="14">
      <c r="A132" s="158" t="s">
        <v>966</v>
      </c>
      <c r="B132" s="1" t="s">
        <v>903</v>
      </c>
      <c r="C132" s="1" t="s">
        <v>701</v>
      </c>
      <c r="D132" s="1" t="s">
        <v>967</v>
      </c>
      <c r="E132" s="1" t="s">
        <v>968</v>
      </c>
      <c r="F132" s="1" t="s">
        <v>353</v>
      </c>
      <c r="G132" s="1" t="s">
        <v>353</v>
      </c>
      <c r="H132" s="1" t="str">
        <f t="shared" si="4"/>
        <v>TL 82391 Forderung 3</v>
      </c>
      <c r="I132" s="1" t="str">
        <f t="shared" si="5"/>
        <v>TL 82391 Forderung 3</v>
      </c>
      <c r="J132" s="1">
        <v>18</v>
      </c>
      <c r="K132" s="207">
        <v>222855</v>
      </c>
      <c r="L132" s="136">
        <v>47398448</v>
      </c>
      <c r="M132" s="138">
        <v>1515800</v>
      </c>
      <c r="N132" s="140" t="s">
        <v>621</v>
      </c>
      <c r="O132" s="1" t="s">
        <v>703</v>
      </c>
      <c r="Q132"/>
      <c r="R132" s="136"/>
    </row>
    <row r="133" spans="1:18" ht="25">
      <c r="A133" s="158" t="s">
        <v>969</v>
      </c>
      <c r="B133" s="1" t="s">
        <v>903</v>
      </c>
      <c r="C133" s="1" t="s">
        <v>701</v>
      </c>
      <c r="D133" s="1" t="s">
        <v>970</v>
      </c>
      <c r="E133" s="1" t="s">
        <v>968</v>
      </c>
      <c r="F133" s="1" t="s">
        <v>353</v>
      </c>
      <c r="G133" s="1" t="s">
        <v>353</v>
      </c>
      <c r="H133" s="1" t="str">
        <f t="shared" si="4"/>
        <v>TL 82391 Forderung 3</v>
      </c>
      <c r="I133" s="1" t="str">
        <f t="shared" si="5"/>
        <v>TL 82391 Forderung 3</v>
      </c>
      <c r="J133" s="1">
        <v>18</v>
      </c>
      <c r="K133" s="207">
        <v>118215</v>
      </c>
      <c r="L133" s="136">
        <v>25518224</v>
      </c>
      <c r="M133" s="138">
        <v>796400</v>
      </c>
      <c r="N133" s="140" t="s">
        <v>621</v>
      </c>
      <c r="O133" s="1" t="s">
        <v>703</v>
      </c>
      <c r="Q133"/>
      <c r="R133" s="136"/>
    </row>
    <row r="134" spans="1:18" ht="25">
      <c r="A134" s="158" t="s">
        <v>1371</v>
      </c>
      <c r="B134" s="1" t="s">
        <v>971</v>
      </c>
      <c r="C134" s="1" t="s">
        <v>701</v>
      </c>
      <c r="D134" s="1" t="s">
        <v>972</v>
      </c>
      <c r="E134" s="1" t="s">
        <v>620</v>
      </c>
      <c r="F134" s="1" t="s">
        <v>366</v>
      </c>
      <c r="G134" s="1" t="s">
        <v>366</v>
      </c>
      <c r="H134" s="1" t="str">
        <f t="shared" si="4"/>
        <v>FSE-S-DSE-L020</v>
      </c>
      <c r="I134" s="1" t="str">
        <f t="shared" si="5"/>
        <v>FSE-S-DSE-L020</v>
      </c>
      <c r="J134" s="1">
        <v>3</v>
      </c>
      <c r="K134" s="207">
        <v>59112</v>
      </c>
      <c r="L134" s="136">
        <v>11134632</v>
      </c>
      <c r="M134" s="138">
        <v>585900</v>
      </c>
      <c r="N134" s="140" t="s">
        <v>621</v>
      </c>
      <c r="O134" s="1" t="s">
        <v>703</v>
      </c>
      <c r="Q134"/>
      <c r="R134" s="136"/>
    </row>
    <row r="135" spans="1:18" ht="14">
      <c r="A135" s="158" t="s">
        <v>973</v>
      </c>
      <c r="B135" s="1" t="s">
        <v>971</v>
      </c>
      <c r="C135" s="1" t="s">
        <v>701</v>
      </c>
      <c r="D135" s="1" t="s">
        <v>974</v>
      </c>
      <c r="E135" s="1" t="s">
        <v>620</v>
      </c>
      <c r="F135" s="1" t="s">
        <v>366</v>
      </c>
      <c r="G135" s="1" t="s">
        <v>366</v>
      </c>
      <c r="H135" s="1" t="str">
        <f t="shared" si="4"/>
        <v>FSE-S-DSE-L020</v>
      </c>
      <c r="I135" s="1" t="str">
        <f t="shared" si="5"/>
        <v>FSE-S-DSE-L020</v>
      </c>
      <c r="J135" s="1">
        <v>2</v>
      </c>
      <c r="K135" s="207">
        <v>39776</v>
      </c>
      <c r="L135" s="136">
        <v>7509276</v>
      </c>
      <c r="M135" s="138">
        <v>395450</v>
      </c>
      <c r="N135" s="140" t="s">
        <v>621</v>
      </c>
      <c r="O135" s="1" t="s">
        <v>703</v>
      </c>
      <c r="Q135"/>
      <c r="R135" s="136"/>
    </row>
    <row r="136" spans="1:18" ht="25">
      <c r="A136" s="158" t="s">
        <v>975</v>
      </c>
      <c r="B136" s="1" t="s">
        <v>971</v>
      </c>
      <c r="C136" s="1" t="s">
        <v>701</v>
      </c>
      <c r="D136" s="1" t="s">
        <v>976</v>
      </c>
      <c r="E136" s="1" t="s">
        <v>914</v>
      </c>
      <c r="F136" s="1" t="s">
        <v>367</v>
      </c>
      <c r="G136" s="1" t="s">
        <v>367</v>
      </c>
      <c r="H136" s="1" t="str">
        <f t="shared" si="4"/>
        <v>EP18310.55</v>
      </c>
      <c r="I136" s="1" t="str">
        <f t="shared" si="5"/>
        <v>EP18310.55</v>
      </c>
      <c r="J136" s="1">
        <v>6</v>
      </c>
      <c r="K136" s="207">
        <v>317250</v>
      </c>
      <c r="L136" s="136">
        <v>68830440</v>
      </c>
      <c r="M136" s="138">
        <v>3743100</v>
      </c>
      <c r="N136" s="140" t="s">
        <v>621</v>
      </c>
      <c r="O136" s="1" t="s">
        <v>703</v>
      </c>
      <c r="Q136"/>
      <c r="R136" s="136"/>
    </row>
    <row r="137" spans="1:18" ht="25">
      <c r="A137" s="158" t="s">
        <v>977</v>
      </c>
      <c r="B137" s="1" t="s">
        <v>971</v>
      </c>
      <c r="C137" s="1" t="s">
        <v>701</v>
      </c>
      <c r="D137" s="1" t="s">
        <v>978</v>
      </c>
      <c r="E137" s="1" t="s">
        <v>914</v>
      </c>
      <c r="F137" s="1" t="s">
        <v>368</v>
      </c>
      <c r="G137" s="1" t="s">
        <v>368</v>
      </c>
      <c r="H137" s="1" t="str">
        <f t="shared" si="4"/>
        <v>EP18310.55 4.3.3.4</v>
      </c>
      <c r="I137" s="1" t="str">
        <f t="shared" si="5"/>
        <v>EP18310.55 4.3.3.4</v>
      </c>
      <c r="J137" s="1">
        <v>6</v>
      </c>
      <c r="K137" s="207">
        <v>241536</v>
      </c>
      <c r="L137" s="136">
        <v>50892416</v>
      </c>
      <c r="M137" s="138">
        <v>2760800</v>
      </c>
      <c r="N137" s="140" t="s">
        <v>621</v>
      </c>
      <c r="O137" s="1" t="s">
        <v>703</v>
      </c>
      <c r="Q137"/>
      <c r="R137" s="136"/>
    </row>
    <row r="138" spans="1:18" ht="25">
      <c r="A138" s="158" t="s">
        <v>979</v>
      </c>
      <c r="B138" s="1" t="s">
        <v>971</v>
      </c>
      <c r="C138" s="1" t="s">
        <v>701</v>
      </c>
      <c r="D138" s="1" t="s">
        <v>980</v>
      </c>
      <c r="E138" s="1" t="s">
        <v>914</v>
      </c>
      <c r="F138" s="1" t="s">
        <v>369</v>
      </c>
      <c r="G138" s="1" t="s">
        <v>369</v>
      </c>
      <c r="H138" s="1" t="str">
        <f t="shared" si="4"/>
        <v>EP18310.55 4.3.3.2</v>
      </c>
      <c r="I138" s="1" t="str">
        <f t="shared" si="5"/>
        <v>EP18310.55 4.3.3.2</v>
      </c>
      <c r="J138" s="1">
        <v>6</v>
      </c>
      <c r="K138" s="207">
        <v>181848</v>
      </c>
      <c r="L138" s="136">
        <v>36748848</v>
      </c>
      <c r="M138" s="138">
        <v>1986600</v>
      </c>
      <c r="N138" s="140" t="s">
        <v>621</v>
      </c>
      <c r="O138" s="1" t="s">
        <v>703</v>
      </c>
      <c r="Q138"/>
      <c r="R138" s="136"/>
    </row>
    <row r="139" spans="1:18" ht="25">
      <c r="A139" s="158" t="s">
        <v>981</v>
      </c>
      <c r="B139" s="1" t="s">
        <v>971</v>
      </c>
      <c r="C139" s="1" t="s">
        <v>701</v>
      </c>
      <c r="D139" s="1" t="s">
        <v>976</v>
      </c>
      <c r="E139" s="1" t="s">
        <v>587</v>
      </c>
      <c r="F139" s="1" t="s">
        <v>367</v>
      </c>
      <c r="G139" s="1" t="s">
        <v>367</v>
      </c>
      <c r="H139" s="1" t="str">
        <f t="shared" si="4"/>
        <v>EP18310.55</v>
      </c>
      <c r="I139" s="1" t="str">
        <f t="shared" si="5"/>
        <v>EP18310.55</v>
      </c>
      <c r="J139" s="1">
        <v>6</v>
      </c>
      <c r="K139" s="207">
        <v>317250</v>
      </c>
      <c r="L139" s="136">
        <v>68830440</v>
      </c>
      <c r="M139" s="138">
        <v>3743100</v>
      </c>
      <c r="N139" s="140" t="s">
        <v>621</v>
      </c>
      <c r="O139" s="1" t="s">
        <v>703</v>
      </c>
      <c r="Q139"/>
      <c r="R139" s="136"/>
    </row>
    <row r="140" spans="1:18" ht="25">
      <c r="A140" s="158" t="s">
        <v>982</v>
      </c>
      <c r="B140" s="1" t="s">
        <v>971</v>
      </c>
      <c r="C140" s="1" t="s">
        <v>701</v>
      </c>
      <c r="D140" s="1" t="s">
        <v>978</v>
      </c>
      <c r="E140" s="1" t="s">
        <v>587</v>
      </c>
      <c r="F140" s="1" t="s">
        <v>368</v>
      </c>
      <c r="G140" s="1" t="s">
        <v>368</v>
      </c>
      <c r="H140" s="1" t="str">
        <f t="shared" si="4"/>
        <v>EP18310.55 4.3.3.4</v>
      </c>
      <c r="I140" s="1" t="str">
        <f t="shared" si="5"/>
        <v>EP18310.55 4.3.3.4</v>
      </c>
      <c r="J140" s="1">
        <v>6</v>
      </c>
      <c r="K140" s="207">
        <v>241536</v>
      </c>
      <c r="L140" s="136">
        <v>50892416</v>
      </c>
      <c r="M140" s="138">
        <v>2760800</v>
      </c>
      <c r="N140" s="140" t="s">
        <v>621</v>
      </c>
      <c r="O140" s="1" t="s">
        <v>703</v>
      </c>
      <c r="Q140"/>
      <c r="R140" s="136"/>
    </row>
    <row r="141" spans="1:18" ht="25">
      <c r="A141" s="158" t="s">
        <v>983</v>
      </c>
      <c r="B141" s="1" t="s">
        <v>971</v>
      </c>
      <c r="C141" s="1" t="s">
        <v>701</v>
      </c>
      <c r="D141" s="1" t="s">
        <v>980</v>
      </c>
      <c r="E141" s="1" t="s">
        <v>587</v>
      </c>
      <c r="F141" s="1" t="s">
        <v>369</v>
      </c>
      <c r="G141" s="1" t="s">
        <v>369</v>
      </c>
      <c r="H141" s="1" t="str">
        <f t="shared" si="4"/>
        <v>EP18310.55 4.3.3.2</v>
      </c>
      <c r="I141" s="1" t="str">
        <f t="shared" si="5"/>
        <v>EP18310.55 4.3.3.2</v>
      </c>
      <c r="J141" s="1">
        <v>6</v>
      </c>
      <c r="K141" s="207">
        <v>181848</v>
      </c>
      <c r="L141" s="136">
        <v>36748848</v>
      </c>
      <c r="M141" s="138">
        <v>1986600</v>
      </c>
      <c r="N141" s="140" t="s">
        <v>621</v>
      </c>
      <c r="O141" s="1" t="s">
        <v>703</v>
      </c>
      <c r="Q141"/>
      <c r="R141" s="136"/>
    </row>
    <row r="142" spans="1:18" ht="14">
      <c r="A142" s="158" t="s">
        <v>984</v>
      </c>
      <c r="B142" s="1" t="s">
        <v>971</v>
      </c>
      <c r="C142" s="1" t="s">
        <v>701</v>
      </c>
      <c r="D142" s="1" t="s">
        <v>985</v>
      </c>
      <c r="E142" s="1" t="s">
        <v>530</v>
      </c>
      <c r="F142" s="1" t="s">
        <v>370</v>
      </c>
      <c r="G142" s="1" t="s">
        <v>370</v>
      </c>
      <c r="H142" s="1" t="str">
        <f t="shared" si="4"/>
        <v>PCA CTS Rev 16 4.4.2.1.1</v>
      </c>
      <c r="I142" s="1" t="str">
        <f t="shared" si="5"/>
        <v>PCA CTS Rev 16 4.4.2.1.1</v>
      </c>
      <c r="J142" s="1">
        <v>2</v>
      </c>
      <c r="K142" s="207">
        <v>229620</v>
      </c>
      <c r="L142" s="136">
        <v>50720040</v>
      </c>
      <c r="M142" s="138">
        <v>2751100</v>
      </c>
      <c r="N142" s="140" t="s">
        <v>621</v>
      </c>
      <c r="O142" s="1" t="s">
        <v>703</v>
      </c>
      <c r="Q142"/>
      <c r="R142" s="136"/>
    </row>
    <row r="143" spans="1:18" ht="25">
      <c r="A143" s="158" t="s">
        <v>986</v>
      </c>
      <c r="B143" s="1" t="s">
        <v>971</v>
      </c>
      <c r="C143" s="1" t="s">
        <v>701</v>
      </c>
      <c r="D143" s="1" t="s">
        <v>987</v>
      </c>
      <c r="E143" s="1" t="s">
        <v>530</v>
      </c>
      <c r="F143" s="1" t="s">
        <v>371</v>
      </c>
      <c r="G143" s="1" t="s">
        <v>371</v>
      </c>
      <c r="H143" s="1" t="str">
        <f t="shared" si="4"/>
        <v>Converter Appendix C2 13Aug14 rev 1.0 3.2.2</v>
      </c>
      <c r="I143" s="1" t="str">
        <f t="shared" si="5"/>
        <v>Converter Appendix C2 13Aug14 rev 1.0 3.2.2</v>
      </c>
      <c r="J143" s="1">
        <v>4</v>
      </c>
      <c r="K143" s="207">
        <v>280277</v>
      </c>
      <c r="L143" s="136">
        <v>60294552</v>
      </c>
      <c r="M143" s="138">
        <v>3270900</v>
      </c>
      <c r="N143" s="140" t="s">
        <v>621</v>
      </c>
      <c r="O143" s="1" t="s">
        <v>703</v>
      </c>
      <c r="Q143"/>
      <c r="R143" s="136"/>
    </row>
    <row r="144" spans="1:18" ht="14">
      <c r="A144" s="158" t="s">
        <v>988</v>
      </c>
      <c r="B144" s="1" t="s">
        <v>971</v>
      </c>
      <c r="C144" s="1" t="s">
        <v>701</v>
      </c>
      <c r="D144" s="1" t="s">
        <v>989</v>
      </c>
      <c r="E144" s="1" t="s">
        <v>530</v>
      </c>
      <c r="F144" s="1" t="s">
        <v>372</v>
      </c>
      <c r="G144" s="1" t="s">
        <v>372</v>
      </c>
      <c r="H144" s="1" t="str">
        <f t="shared" si="4"/>
        <v>PCA CTS Rev 16 - 4.4.2.1.1</v>
      </c>
      <c r="I144" s="1" t="str">
        <f t="shared" si="5"/>
        <v>PCA CTS Rev 16 - 4.4.2.1.1</v>
      </c>
      <c r="J144" s="1">
        <v>2</v>
      </c>
      <c r="K144" s="207">
        <v>328720</v>
      </c>
      <c r="L144" s="136">
        <v>74176280</v>
      </c>
      <c r="M144" s="138">
        <v>4038500</v>
      </c>
      <c r="N144" s="140" t="s">
        <v>621</v>
      </c>
      <c r="O144" s="1" t="s">
        <v>703</v>
      </c>
      <c r="Q144"/>
      <c r="R144" s="136"/>
    </row>
    <row r="145" spans="1:18" ht="25">
      <c r="A145" s="158" t="s">
        <v>990</v>
      </c>
      <c r="B145" s="1" t="s">
        <v>971</v>
      </c>
      <c r="C145" s="1" t="s">
        <v>701</v>
      </c>
      <c r="D145" s="1" t="s">
        <v>991</v>
      </c>
      <c r="E145" s="1" t="s">
        <v>530</v>
      </c>
      <c r="F145" s="1" t="s">
        <v>373</v>
      </c>
      <c r="G145" s="1" t="s">
        <v>373</v>
      </c>
      <c r="H145" s="1" t="str">
        <f t="shared" si="4"/>
        <v>Converter Appendix C2 13Aug14 rev 1.0  3.2.2</v>
      </c>
      <c r="I145" s="1" t="str">
        <f t="shared" si="5"/>
        <v>Converter Appendix C2 13Aug14 rev 1.0  3.2.2</v>
      </c>
      <c r="J145" s="1">
        <v>2</v>
      </c>
      <c r="K145" s="207">
        <v>145525</v>
      </c>
      <c r="L145" s="136">
        <v>30798600</v>
      </c>
      <c r="M145" s="138">
        <v>1659900</v>
      </c>
      <c r="N145" s="140" t="s">
        <v>621</v>
      </c>
      <c r="O145" s="1" t="s">
        <v>703</v>
      </c>
      <c r="Q145"/>
      <c r="R145" s="136"/>
    </row>
    <row r="146" spans="1:18" ht="14">
      <c r="A146" s="158" t="s">
        <v>992</v>
      </c>
      <c r="B146" s="1" t="s">
        <v>971</v>
      </c>
      <c r="C146" s="1" t="s">
        <v>701</v>
      </c>
      <c r="D146" s="1" t="s">
        <v>993</v>
      </c>
      <c r="E146" s="1" t="s">
        <v>530</v>
      </c>
      <c r="F146" s="1" t="s">
        <v>374</v>
      </c>
      <c r="G146" s="1" t="s">
        <v>374</v>
      </c>
      <c r="H146" s="1" t="str">
        <f t="shared" si="4"/>
        <v>PCA CTS Rev 16 4.4.2.1.4</v>
      </c>
      <c r="I146" s="1" t="str">
        <f t="shared" si="5"/>
        <v>PCA CTS Rev 16 4.4.2.1.4</v>
      </c>
      <c r="J146" s="1">
        <v>2</v>
      </c>
      <c r="K146" s="207">
        <v>32376</v>
      </c>
      <c r="L146" s="136">
        <v>5354576</v>
      </c>
      <c r="M146" s="138">
        <v>274200</v>
      </c>
      <c r="N146" s="140" t="s">
        <v>621</v>
      </c>
      <c r="O146" s="1" t="s">
        <v>703</v>
      </c>
      <c r="Q146"/>
      <c r="R146" s="136"/>
    </row>
    <row r="147" spans="1:18" ht="25">
      <c r="A147" s="158" t="s">
        <v>994</v>
      </c>
      <c r="B147" s="1" t="s">
        <v>971</v>
      </c>
      <c r="C147" s="1" t="s">
        <v>701</v>
      </c>
      <c r="D147" s="1" t="s">
        <v>995</v>
      </c>
      <c r="E147" s="1" t="s">
        <v>530</v>
      </c>
      <c r="F147" s="1" t="s">
        <v>375</v>
      </c>
      <c r="G147" s="1" t="s">
        <v>375</v>
      </c>
      <c r="H147" s="1" t="str">
        <f t="shared" si="4"/>
        <v>Converter Appendix C2 13Aug14 rev 1.0 3.2.5</v>
      </c>
      <c r="I147" s="1" t="str">
        <f t="shared" si="5"/>
        <v>Converter Appendix C2 13Aug14 rev 1.0 3.2.5</v>
      </c>
      <c r="J147" s="1">
        <v>4</v>
      </c>
      <c r="K147" s="207">
        <v>151387</v>
      </c>
      <c r="L147" s="136">
        <v>31143352</v>
      </c>
      <c r="M147" s="138">
        <v>1679300</v>
      </c>
      <c r="N147" s="140" t="s">
        <v>621</v>
      </c>
      <c r="O147" s="1" t="s">
        <v>703</v>
      </c>
      <c r="Q147"/>
      <c r="R147" s="136"/>
    </row>
    <row r="148" spans="1:18" ht="25">
      <c r="A148" s="158" t="s">
        <v>996</v>
      </c>
      <c r="B148" s="1" t="s">
        <v>971</v>
      </c>
      <c r="C148" s="1" t="s">
        <v>701</v>
      </c>
      <c r="D148" s="1" t="s">
        <v>997</v>
      </c>
      <c r="E148" s="1" t="s">
        <v>530</v>
      </c>
      <c r="F148" s="1" t="s">
        <v>375</v>
      </c>
      <c r="G148" s="1" t="s">
        <v>375</v>
      </c>
      <c r="H148" s="1" t="str">
        <f t="shared" si="4"/>
        <v>Converter Appendix C2 13Aug14 rev 1.0 3.2.5</v>
      </c>
      <c r="I148" s="1" t="str">
        <f t="shared" si="5"/>
        <v>Converter Appendix C2 13Aug14 rev 1.0 3.2.5</v>
      </c>
      <c r="J148" s="1">
        <v>2</v>
      </c>
      <c r="K148" s="207">
        <v>78365</v>
      </c>
      <c r="L148" s="136">
        <v>16310280</v>
      </c>
      <c r="M148" s="138">
        <v>866300</v>
      </c>
      <c r="N148" s="140" t="s">
        <v>621</v>
      </c>
      <c r="O148" s="1" t="s">
        <v>703</v>
      </c>
      <c r="Q148"/>
      <c r="R148" s="136"/>
    </row>
    <row r="149" spans="1:18" ht="25">
      <c r="A149" s="158" t="s">
        <v>998</v>
      </c>
      <c r="B149" s="1" t="s">
        <v>971</v>
      </c>
      <c r="C149" s="1" t="s">
        <v>701</v>
      </c>
      <c r="D149" s="1" t="s">
        <v>999</v>
      </c>
      <c r="E149" s="1" t="s">
        <v>740</v>
      </c>
      <c r="F149" s="1" t="s">
        <v>376</v>
      </c>
      <c r="G149" s="1" t="s">
        <v>376</v>
      </c>
      <c r="H149" s="1" t="str">
        <f t="shared" si="4"/>
        <v>ES28530-01 4.3.1</v>
      </c>
      <c r="I149" s="1" t="str">
        <f t="shared" si="5"/>
        <v>ES28530-01 4.3.1</v>
      </c>
      <c r="J149" s="1">
        <v>2</v>
      </c>
      <c r="K149" s="207">
        <v>45390</v>
      </c>
      <c r="L149" s="136">
        <v>14655713.239775989</v>
      </c>
      <c r="M149" s="138">
        <v>423200</v>
      </c>
      <c r="N149" s="140" t="s">
        <v>621</v>
      </c>
      <c r="O149" s="1" t="s">
        <v>703</v>
      </c>
      <c r="Q149"/>
      <c r="R149" s="136"/>
    </row>
    <row r="150" spans="1:18" ht="25">
      <c r="A150" s="158" t="s">
        <v>1000</v>
      </c>
      <c r="B150" s="1" t="s">
        <v>971</v>
      </c>
      <c r="C150" s="1" t="s">
        <v>701</v>
      </c>
      <c r="D150" s="1" t="s">
        <v>1001</v>
      </c>
      <c r="E150" s="1" t="s">
        <v>740</v>
      </c>
      <c r="F150" s="1" t="s">
        <v>377</v>
      </c>
      <c r="G150" s="1" t="s">
        <v>377</v>
      </c>
      <c r="H150" s="1" t="str">
        <f t="shared" si="4"/>
        <v>ES28530-02 4.3.1
ES28990-01 4.3.1</v>
      </c>
      <c r="I150" s="1" t="str">
        <f t="shared" si="5"/>
        <v>ES28530-02 4.3.1
ES28990-01 4.3.1</v>
      </c>
      <c r="J150" s="1">
        <v>2</v>
      </c>
      <c r="K150" s="207">
        <v>44390</v>
      </c>
      <c r="L150" s="136">
        <v>14655713.239775989</v>
      </c>
      <c r="M150" s="138">
        <v>423200</v>
      </c>
      <c r="N150" s="140" t="s">
        <v>621</v>
      </c>
      <c r="O150" s="1" t="s">
        <v>703</v>
      </c>
      <c r="Q150"/>
      <c r="R150" s="136"/>
    </row>
    <row r="151" spans="1:18" ht="25">
      <c r="A151" s="158" t="s">
        <v>1002</v>
      </c>
      <c r="B151" s="1" t="s">
        <v>971</v>
      </c>
      <c r="C151" s="1" t="s">
        <v>701</v>
      </c>
      <c r="D151" s="1" t="s">
        <v>1003</v>
      </c>
      <c r="E151" s="1" t="s">
        <v>740</v>
      </c>
      <c r="F151" s="1" t="s">
        <v>377</v>
      </c>
      <c r="G151" s="1" t="s">
        <v>377</v>
      </c>
      <c r="H151" s="1" t="str">
        <f t="shared" si="4"/>
        <v>ES28530-02 4.3.1
ES28990-01 4.3.1</v>
      </c>
      <c r="I151" s="1" t="str">
        <f t="shared" si="5"/>
        <v>ES28530-02 4.3.1
ES28990-01 4.3.1</v>
      </c>
      <c r="J151" s="1">
        <v>2</v>
      </c>
      <c r="K151" s="207">
        <v>45390</v>
      </c>
      <c r="L151" s="136">
        <v>14655713.239775989</v>
      </c>
      <c r="M151" s="138">
        <v>423200</v>
      </c>
      <c r="N151" s="140" t="s">
        <v>621</v>
      </c>
      <c r="O151" s="1" t="s">
        <v>703</v>
      </c>
      <c r="Q151"/>
      <c r="R151" s="136"/>
    </row>
    <row r="152" spans="1:18" ht="14">
      <c r="A152" s="158" t="s">
        <v>1004</v>
      </c>
      <c r="B152" s="1" t="s">
        <v>971</v>
      </c>
      <c r="C152" s="1" t="s">
        <v>701</v>
      </c>
      <c r="D152" s="1" t="s">
        <v>1005</v>
      </c>
      <c r="E152" s="1" t="s">
        <v>807</v>
      </c>
      <c r="F152" s="1" t="s">
        <v>378</v>
      </c>
      <c r="G152" s="1" t="s">
        <v>378</v>
      </c>
      <c r="H152" s="1" t="str">
        <f t="shared" si="4"/>
        <v>34-05-803/H-3.5</v>
      </c>
      <c r="I152" s="1" t="str">
        <f t="shared" si="5"/>
        <v>34-05-803/H-3.5</v>
      </c>
      <c r="J152" s="1">
        <v>3</v>
      </c>
      <c r="K152" s="207">
        <v>213514</v>
      </c>
      <c r="L152" s="136">
        <v>47443804</v>
      </c>
      <c r="M152" s="138">
        <v>2569450</v>
      </c>
      <c r="N152" s="140" t="s">
        <v>621</v>
      </c>
      <c r="O152" s="1" t="s">
        <v>703</v>
      </c>
      <c r="Q152"/>
      <c r="R152" s="136"/>
    </row>
    <row r="153" spans="1:18" ht="14">
      <c r="A153" s="158" t="s">
        <v>1006</v>
      </c>
      <c r="B153" s="1" t="s">
        <v>971</v>
      </c>
      <c r="C153" s="1" t="s">
        <v>701</v>
      </c>
      <c r="D153" s="1" t="s">
        <v>1007</v>
      </c>
      <c r="E153" s="1" t="s">
        <v>807</v>
      </c>
      <c r="F153" s="1" t="s">
        <v>378</v>
      </c>
      <c r="G153" s="1" t="s">
        <v>378</v>
      </c>
      <c r="H153" s="1" t="str">
        <f t="shared" si="4"/>
        <v>34-05-803/H-3.5</v>
      </c>
      <c r="I153" s="1" t="str">
        <f t="shared" si="5"/>
        <v>34-05-803/H-3.5</v>
      </c>
      <c r="J153" s="1">
        <v>4</v>
      </c>
      <c r="K153" s="207">
        <v>275925</v>
      </c>
      <c r="L153" s="136">
        <v>61242620</v>
      </c>
      <c r="M153" s="138">
        <v>3324250</v>
      </c>
      <c r="N153" s="140" t="s">
        <v>621</v>
      </c>
      <c r="O153" s="1" t="s">
        <v>703</v>
      </c>
      <c r="Q153"/>
      <c r="R153" s="136"/>
    </row>
    <row r="154" spans="1:18" ht="14">
      <c r="A154" s="158" t="s">
        <v>1008</v>
      </c>
      <c r="B154" s="1" t="s">
        <v>971</v>
      </c>
      <c r="C154" s="1" t="s">
        <v>701</v>
      </c>
      <c r="D154" s="1" t="s">
        <v>1009</v>
      </c>
      <c r="E154" s="1" t="s">
        <v>595</v>
      </c>
      <c r="F154" s="1" t="s">
        <v>379</v>
      </c>
      <c r="G154" s="1"/>
      <c r="H154" s="1" t="str">
        <f t="shared" si="4"/>
        <v>CETP 09.00-E-304</v>
      </c>
      <c r="I154" s="1" t="str">
        <f t="shared" si="5"/>
        <v>CETP 09.00-E-304</v>
      </c>
      <c r="J154" s="1">
        <v>2</v>
      </c>
      <c r="K154" s="207">
        <v>164268</v>
      </c>
      <c r="L154" s="136">
        <v>36585208</v>
      </c>
      <c r="M154" s="138">
        <v>1955700</v>
      </c>
      <c r="N154" s="140" t="s">
        <v>621</v>
      </c>
      <c r="O154" s="1" t="s">
        <v>703</v>
      </c>
      <c r="Q154"/>
      <c r="R154" s="136"/>
    </row>
    <row r="155" spans="1:18" ht="25">
      <c r="A155" s="158" t="s">
        <v>1010</v>
      </c>
      <c r="B155" s="1" t="s">
        <v>971</v>
      </c>
      <c r="C155" s="1" t="s">
        <v>701</v>
      </c>
      <c r="D155" s="1" t="s">
        <v>1011</v>
      </c>
      <c r="E155" s="1" t="s">
        <v>595</v>
      </c>
      <c r="F155" s="1" t="s">
        <v>380</v>
      </c>
      <c r="G155" s="1"/>
      <c r="H155" s="1" t="str">
        <f t="shared" si="4"/>
        <v>CETP 09.00-E-305 5.1</v>
      </c>
      <c r="I155" s="1" t="str">
        <f t="shared" si="5"/>
        <v>CETP 09.00-E-305 5.1</v>
      </c>
      <c r="J155" s="1">
        <v>2</v>
      </c>
      <c r="K155" s="207">
        <v>62152</v>
      </c>
      <c r="L155" s="136">
        <v>12258352</v>
      </c>
      <c r="M155" s="138">
        <v>641000</v>
      </c>
      <c r="N155" s="140" t="s">
        <v>621</v>
      </c>
      <c r="O155" s="1" t="s">
        <v>703</v>
      </c>
      <c r="Q155"/>
      <c r="R155" s="136"/>
    </row>
    <row r="156" spans="1:18" ht="25">
      <c r="A156" s="158" t="s">
        <v>1012</v>
      </c>
      <c r="B156" s="1" t="s">
        <v>971</v>
      </c>
      <c r="C156" s="1" t="s">
        <v>701</v>
      </c>
      <c r="D156" s="1" t="s">
        <v>1013</v>
      </c>
      <c r="E156" s="1" t="s">
        <v>595</v>
      </c>
      <c r="F156" s="1" t="s">
        <v>381</v>
      </c>
      <c r="G156" s="1"/>
      <c r="H156" s="1" t="str">
        <f t="shared" si="4"/>
        <v>CETP 09.00-E-305 5.3</v>
      </c>
      <c r="I156" s="1" t="str">
        <f t="shared" si="5"/>
        <v>CETP 09.00-E-305 5.3</v>
      </c>
      <c r="J156" s="1">
        <v>2</v>
      </c>
      <c r="K156" s="207">
        <v>102870</v>
      </c>
      <c r="L156" s="136">
        <v>21917960</v>
      </c>
      <c r="M156" s="138">
        <v>1168300</v>
      </c>
      <c r="N156" s="140" t="s">
        <v>621</v>
      </c>
      <c r="O156" s="1" t="s">
        <v>703</v>
      </c>
      <c r="Q156"/>
      <c r="R156" s="136"/>
    </row>
    <row r="157" spans="1:18" ht="25">
      <c r="A157" s="158" t="s">
        <v>1014</v>
      </c>
      <c r="B157" s="1" t="s">
        <v>971</v>
      </c>
      <c r="C157" s="1" t="s">
        <v>701</v>
      </c>
      <c r="D157" s="1" t="s">
        <v>1015</v>
      </c>
      <c r="E157" s="1" t="s">
        <v>595</v>
      </c>
      <c r="F157" s="1" t="s">
        <v>382</v>
      </c>
      <c r="G157" s="1"/>
      <c r="H157" s="1" t="str">
        <f t="shared" si="4"/>
        <v>CETP 09.00-E-305 5.2</v>
      </c>
      <c r="I157" s="1" t="str">
        <f t="shared" si="5"/>
        <v>CETP 09.00-E-305 5.2</v>
      </c>
      <c r="J157" s="1">
        <v>2</v>
      </c>
      <c r="K157" s="207">
        <v>21166</v>
      </c>
      <c r="L157" s="136">
        <v>2594376</v>
      </c>
      <c r="M157" s="138">
        <v>124300</v>
      </c>
      <c r="N157" s="140" t="s">
        <v>621</v>
      </c>
      <c r="O157" s="1" t="s">
        <v>703</v>
      </c>
      <c r="Q157"/>
      <c r="R157" s="136"/>
    </row>
    <row r="158" spans="1:18" ht="25">
      <c r="A158" s="158" t="s">
        <v>1016</v>
      </c>
      <c r="B158" s="1" t="s">
        <v>971</v>
      </c>
      <c r="C158" s="1" t="s">
        <v>701</v>
      </c>
      <c r="D158" s="1" t="s">
        <v>1017</v>
      </c>
      <c r="E158" s="1" t="s">
        <v>908</v>
      </c>
      <c r="F158" s="1" t="s">
        <v>383</v>
      </c>
      <c r="G158" s="1"/>
      <c r="H158" s="1" t="str">
        <f t="shared" si="4"/>
        <v>B22 3210 - Simplified version</v>
      </c>
      <c r="I158" s="1" t="str">
        <f t="shared" si="5"/>
        <v>B22 3210 - Simplified version</v>
      </c>
      <c r="J158" s="1">
        <v>2</v>
      </c>
      <c r="K158" s="207">
        <v>71511</v>
      </c>
      <c r="L158" s="136">
        <v>15708056</v>
      </c>
      <c r="M158" s="138">
        <v>829700</v>
      </c>
      <c r="N158" s="140" t="s">
        <v>621</v>
      </c>
      <c r="O158" s="1" t="s">
        <v>703</v>
      </c>
      <c r="Q158"/>
      <c r="R158" s="136"/>
    </row>
    <row r="159" spans="1:18" ht="14">
      <c r="A159" s="158" t="s">
        <v>1018</v>
      </c>
      <c r="B159" s="1" t="s">
        <v>971</v>
      </c>
      <c r="C159" s="1" t="s">
        <v>701</v>
      </c>
      <c r="D159" s="1" t="s">
        <v>1019</v>
      </c>
      <c r="E159" s="1" t="s">
        <v>908</v>
      </c>
      <c r="F159" s="1" t="s">
        <v>384</v>
      </c>
      <c r="G159" s="1"/>
      <c r="H159" s="1" t="str">
        <f t="shared" si="4"/>
        <v>B22 3210</v>
      </c>
      <c r="I159" s="1" t="str">
        <f t="shared" si="5"/>
        <v>B22 3210</v>
      </c>
      <c r="J159" s="1">
        <v>2</v>
      </c>
      <c r="K159" s="207">
        <v>112174</v>
      </c>
      <c r="L159" s="136">
        <v>24331224</v>
      </c>
      <c r="M159" s="138">
        <v>1304100</v>
      </c>
      <c r="N159" s="140" t="s">
        <v>621</v>
      </c>
      <c r="O159" s="1" t="s">
        <v>703</v>
      </c>
      <c r="Q159"/>
      <c r="R159" s="136"/>
    </row>
    <row r="160" spans="1:18" ht="14">
      <c r="A160" s="158" t="s">
        <v>1020</v>
      </c>
      <c r="B160" s="1" t="s">
        <v>971</v>
      </c>
      <c r="C160" s="1" t="s">
        <v>701</v>
      </c>
      <c r="D160" s="1" t="s">
        <v>1021</v>
      </c>
      <c r="E160" s="1" t="s">
        <v>908</v>
      </c>
      <c r="F160" s="1" t="s">
        <v>384</v>
      </c>
      <c r="G160" s="1"/>
      <c r="H160" s="1" t="str">
        <f t="shared" si="4"/>
        <v>B22 3210</v>
      </c>
      <c r="I160" s="1" t="str">
        <f t="shared" si="5"/>
        <v>B22 3210</v>
      </c>
      <c r="J160" s="1">
        <v>5</v>
      </c>
      <c r="K160" s="207">
        <v>272563</v>
      </c>
      <c r="L160" s="136">
        <v>58655888</v>
      </c>
      <c r="M160" s="138">
        <v>3181400</v>
      </c>
      <c r="N160" s="140" t="s">
        <v>621</v>
      </c>
      <c r="O160" s="1" t="s">
        <v>703</v>
      </c>
      <c r="Q160"/>
      <c r="R160" s="136"/>
    </row>
    <row r="161" spans="1:18" ht="25">
      <c r="A161" s="158" t="s">
        <v>1022</v>
      </c>
      <c r="B161" s="1" t="s">
        <v>971</v>
      </c>
      <c r="C161" s="1" t="s">
        <v>701</v>
      </c>
      <c r="D161" s="1" t="s">
        <v>1023</v>
      </c>
      <c r="E161" s="1" t="s">
        <v>595</v>
      </c>
      <c r="F161" s="1" t="s">
        <v>385</v>
      </c>
      <c r="G161" s="1"/>
      <c r="H161" s="1" t="str">
        <f t="shared" si="4"/>
        <v>CETP 09.00-L-306</v>
      </c>
      <c r="I161" s="1" t="str">
        <f t="shared" si="5"/>
        <v>CETP 09.00-L-306</v>
      </c>
      <c r="J161" s="1">
        <v>1</v>
      </c>
      <c r="K161" s="207">
        <v>29812</v>
      </c>
      <c r="L161" s="136">
        <v>6056092</v>
      </c>
      <c r="M161" s="138">
        <v>283850</v>
      </c>
      <c r="N161" s="140" t="s">
        <v>621</v>
      </c>
      <c r="O161" s="1" t="s">
        <v>703</v>
      </c>
      <c r="Q161"/>
      <c r="R161" s="136"/>
    </row>
    <row r="162" spans="1:18" ht="25">
      <c r="A162" s="158" t="s">
        <v>1024</v>
      </c>
      <c r="B162" s="1" t="s">
        <v>971</v>
      </c>
      <c r="C162" s="1" t="s">
        <v>701</v>
      </c>
      <c r="D162" s="1" t="s">
        <v>1025</v>
      </c>
      <c r="E162" s="1" t="s">
        <v>595</v>
      </c>
      <c r="F162" s="1" t="s">
        <v>386</v>
      </c>
      <c r="G162" s="1"/>
      <c r="H162" s="1" t="str">
        <f t="shared" si="4"/>
        <v>CETP 09.02-E-303</v>
      </c>
      <c r="I162" s="1" t="str">
        <f t="shared" si="5"/>
        <v>CETP 09.02-E-303</v>
      </c>
      <c r="J162" s="1">
        <v>1</v>
      </c>
      <c r="K162" s="207">
        <v>15428.6</v>
      </c>
      <c r="L162" s="136">
        <v>2491067.6</v>
      </c>
      <c r="M162" s="138">
        <v>96795</v>
      </c>
      <c r="N162" s="140" t="s">
        <v>621</v>
      </c>
      <c r="O162" s="1" t="s">
        <v>703</v>
      </c>
      <c r="Q162"/>
      <c r="R162" s="136"/>
    </row>
    <row r="163" spans="1:18" ht="25">
      <c r="A163" s="158" t="s">
        <v>1026</v>
      </c>
      <c r="B163" s="1" t="s">
        <v>971</v>
      </c>
      <c r="C163" s="1" t="s">
        <v>701</v>
      </c>
      <c r="D163" s="1" t="s">
        <v>1027</v>
      </c>
      <c r="E163" s="1" t="s">
        <v>595</v>
      </c>
      <c r="F163" s="1" t="s">
        <v>387</v>
      </c>
      <c r="G163" s="1"/>
      <c r="H163" s="1" t="str">
        <f t="shared" si="4"/>
        <v>CETP 09.02-E-304</v>
      </c>
      <c r="I163" s="1" t="str">
        <f t="shared" si="5"/>
        <v>CETP 09.02-E-304</v>
      </c>
      <c r="J163" s="1">
        <v>1</v>
      </c>
      <c r="K163" s="207">
        <v>24003</v>
      </c>
      <c r="L163" s="136">
        <v>4499248</v>
      </c>
      <c r="M163" s="138">
        <v>209800</v>
      </c>
      <c r="N163" s="140" t="s">
        <v>621</v>
      </c>
      <c r="O163" s="1" t="s">
        <v>703</v>
      </c>
      <c r="Q163"/>
      <c r="R163" s="136"/>
    </row>
    <row r="164" spans="1:18" ht="14">
      <c r="A164" s="158" t="s">
        <v>1028</v>
      </c>
      <c r="B164" s="1" t="s">
        <v>971</v>
      </c>
      <c r="C164" s="1" t="s">
        <v>701</v>
      </c>
      <c r="D164" s="1" t="s">
        <v>1029</v>
      </c>
      <c r="E164" s="1" t="s">
        <v>497</v>
      </c>
      <c r="F164" s="1" t="s">
        <v>388</v>
      </c>
      <c r="G164" s="1"/>
      <c r="H164" s="1" t="str">
        <f t="shared" si="4"/>
        <v>10004387-000-03-3.4</v>
      </c>
      <c r="I164" s="1" t="str">
        <f t="shared" si="5"/>
        <v>10004387-000-03-3.4</v>
      </c>
      <c r="J164" s="1">
        <v>3</v>
      </c>
      <c r="K164" s="207">
        <v>141306</v>
      </c>
      <c r="L164" s="136">
        <v>30016356</v>
      </c>
      <c r="M164" s="138">
        <v>1632150</v>
      </c>
      <c r="N164" s="140" t="s">
        <v>621</v>
      </c>
      <c r="O164" s="1" t="s">
        <v>703</v>
      </c>
      <c r="Q164"/>
      <c r="R164" s="136"/>
    </row>
    <row r="165" spans="1:18" ht="25">
      <c r="A165" s="158" t="s">
        <v>1030</v>
      </c>
      <c r="B165" s="1" t="s">
        <v>971</v>
      </c>
      <c r="C165" s="1" t="s">
        <v>701</v>
      </c>
      <c r="D165" s="1" t="s">
        <v>1031</v>
      </c>
      <c r="E165" s="1" t="s">
        <v>595</v>
      </c>
      <c r="F165" s="1" t="s">
        <v>389</v>
      </c>
      <c r="G165" s="1"/>
      <c r="H165" s="1" t="str">
        <f t="shared" si="4"/>
        <v>CETP 09.02-E-308</v>
      </c>
      <c r="I165" s="1" t="str">
        <f t="shared" si="5"/>
        <v>CETP 09.02-E-308</v>
      </c>
      <c r="J165" s="1">
        <v>3</v>
      </c>
      <c r="K165" s="207">
        <v>68976</v>
      </c>
      <c r="L165" s="136">
        <v>13035136</v>
      </c>
      <c r="M165" s="138">
        <v>682000</v>
      </c>
      <c r="N165" s="140" t="s">
        <v>621</v>
      </c>
      <c r="O165" s="1" t="s">
        <v>703</v>
      </c>
      <c r="Q165"/>
      <c r="R165" s="136"/>
    </row>
    <row r="166" spans="1:18" ht="25">
      <c r="A166" s="158" t="s">
        <v>1032</v>
      </c>
      <c r="B166" s="1" t="s">
        <v>971</v>
      </c>
      <c r="C166" s="1" t="s">
        <v>701</v>
      </c>
      <c r="D166" s="1" t="s">
        <v>1033</v>
      </c>
      <c r="E166" s="1" t="s">
        <v>595</v>
      </c>
      <c r="F166" s="1" t="s">
        <v>389</v>
      </c>
      <c r="G166" s="1"/>
      <c r="H166" s="1" t="str">
        <f t="shared" si="4"/>
        <v>CETP 09.02-E-308</v>
      </c>
      <c r="I166" s="1" t="str">
        <f t="shared" si="5"/>
        <v>CETP 09.02-E-308</v>
      </c>
      <c r="J166" s="1">
        <v>6</v>
      </c>
      <c r="K166" s="207">
        <v>127929</v>
      </c>
      <c r="L166" s="136">
        <v>23894824</v>
      </c>
      <c r="M166" s="138">
        <v>1293100</v>
      </c>
      <c r="N166" s="140" t="s">
        <v>621</v>
      </c>
      <c r="O166" s="1" t="s">
        <v>703</v>
      </c>
      <c r="Q166"/>
      <c r="R166" s="136"/>
    </row>
    <row r="167" spans="1:18" ht="14">
      <c r="A167" s="158" t="s">
        <v>1034</v>
      </c>
      <c r="B167" s="1" t="s">
        <v>971</v>
      </c>
      <c r="C167" s="1" t="s">
        <v>701</v>
      </c>
      <c r="D167" s="1" t="s">
        <v>1035</v>
      </c>
      <c r="E167" s="1" t="s">
        <v>580</v>
      </c>
      <c r="F167" s="1" t="s">
        <v>391</v>
      </c>
      <c r="G167" s="1"/>
      <c r="H167" s="1" t="str">
        <f t="shared" si="4"/>
        <v>PF.90160 9.8</v>
      </c>
      <c r="I167" s="1" t="str">
        <f t="shared" si="5"/>
        <v>PF.90160 9.8</v>
      </c>
      <c r="J167" s="1">
        <v>3</v>
      </c>
      <c r="K167" s="207">
        <v>67819</v>
      </c>
      <c r="L167" s="136">
        <v>12603104</v>
      </c>
      <c r="M167" s="138">
        <v>660400</v>
      </c>
      <c r="N167" s="140" t="s">
        <v>621</v>
      </c>
      <c r="O167" s="1" t="s">
        <v>703</v>
      </c>
      <c r="Q167"/>
      <c r="R167" s="136"/>
    </row>
    <row r="168" spans="1:18" ht="14">
      <c r="A168" s="158" t="s">
        <v>1372</v>
      </c>
      <c r="B168" s="1" t="s">
        <v>971</v>
      </c>
      <c r="C168" s="1" t="s">
        <v>701</v>
      </c>
      <c r="D168" s="1" t="s">
        <v>1035</v>
      </c>
      <c r="E168" s="1" t="s">
        <v>580</v>
      </c>
      <c r="F168" s="1" t="s">
        <v>392</v>
      </c>
      <c r="G168" s="1"/>
      <c r="H168" s="1" t="str">
        <f t="shared" si="4"/>
        <v>PF.90160 9.9</v>
      </c>
      <c r="I168" s="1" t="str">
        <f t="shared" si="5"/>
        <v>PF.90160 9.9</v>
      </c>
      <c r="J168" s="1">
        <v>3</v>
      </c>
      <c r="K168" s="207">
        <v>67819</v>
      </c>
      <c r="L168" s="136">
        <v>12603104</v>
      </c>
      <c r="M168" s="138">
        <v>660400</v>
      </c>
      <c r="N168" s="140" t="s">
        <v>621</v>
      </c>
      <c r="O168" s="1" t="s">
        <v>703</v>
      </c>
      <c r="Q168"/>
      <c r="R168" s="136"/>
    </row>
    <row r="169" spans="1:18" ht="14">
      <c r="A169" s="158" t="s">
        <v>1373</v>
      </c>
      <c r="B169" s="1" t="s">
        <v>971</v>
      </c>
      <c r="C169" s="1" t="s">
        <v>701</v>
      </c>
      <c r="D169" s="1" t="s">
        <v>1036</v>
      </c>
      <c r="E169" s="1" t="s">
        <v>959</v>
      </c>
      <c r="F169" s="1"/>
      <c r="G169" s="1"/>
      <c r="H169" s="1">
        <f t="shared" si="4"/>
        <v>0</v>
      </c>
      <c r="I169" s="1">
        <f t="shared" si="5"/>
        <v>0</v>
      </c>
      <c r="J169" s="1">
        <v>1</v>
      </c>
      <c r="K169" s="207">
        <v>133548</v>
      </c>
      <c r="L169" s="136">
        <v>29766528</v>
      </c>
      <c r="M169" s="138">
        <v>1596400</v>
      </c>
      <c r="N169" s="140" t="s">
        <v>621</v>
      </c>
      <c r="O169" s="1" t="s">
        <v>703</v>
      </c>
      <c r="Q169"/>
      <c r="R169" s="136"/>
    </row>
    <row r="170" spans="1:18" ht="25">
      <c r="A170" s="158" t="s">
        <v>1374</v>
      </c>
      <c r="B170" s="1" t="s">
        <v>971</v>
      </c>
      <c r="C170" s="1" t="s">
        <v>701</v>
      </c>
      <c r="D170" s="1" t="s">
        <v>1037</v>
      </c>
      <c r="E170" s="1" t="s">
        <v>620</v>
      </c>
      <c r="F170" s="1" t="s">
        <v>393</v>
      </c>
      <c r="G170" s="1"/>
      <c r="H170" s="1" t="str">
        <f t="shared" si="4"/>
        <v>CHD-I-DSE-2064</v>
      </c>
      <c r="I170" s="1" t="str">
        <f t="shared" si="5"/>
        <v>CHD-I-DSE-2064</v>
      </c>
      <c r="J170" s="1">
        <v>1</v>
      </c>
      <c r="K170" s="207">
        <v>148249</v>
      </c>
      <c r="L170" s="136">
        <v>28733364</v>
      </c>
      <c r="M170" s="138">
        <v>1535550</v>
      </c>
      <c r="N170" s="140" t="s">
        <v>621</v>
      </c>
      <c r="O170" s="1" t="s">
        <v>703</v>
      </c>
      <c r="Q170"/>
      <c r="R170" s="136"/>
    </row>
    <row r="171" spans="1:18" ht="37.5">
      <c r="A171" s="158" t="s">
        <v>1375</v>
      </c>
      <c r="B171" s="1" t="s">
        <v>971</v>
      </c>
      <c r="C171" s="1" t="s">
        <v>701</v>
      </c>
      <c r="D171" s="1" t="s">
        <v>1038</v>
      </c>
      <c r="E171" s="1" t="s">
        <v>620</v>
      </c>
      <c r="F171" s="1" t="s">
        <v>393</v>
      </c>
      <c r="G171" s="1"/>
      <c r="H171" s="1" t="str">
        <f t="shared" si="4"/>
        <v>CHD-I-DSE-2064</v>
      </c>
      <c r="I171" s="1" t="str">
        <f t="shared" si="5"/>
        <v>CHD-I-DSE-2064</v>
      </c>
      <c r="J171" s="1">
        <v>1</v>
      </c>
      <c r="K171" s="207">
        <v>152444</v>
      </c>
      <c r="L171" s="136">
        <v>28733364</v>
      </c>
      <c r="M171" s="138">
        <v>1535550</v>
      </c>
      <c r="N171" s="140" t="s">
        <v>621</v>
      </c>
      <c r="O171" s="1" t="s">
        <v>703</v>
      </c>
      <c r="Q171"/>
      <c r="R171" s="136"/>
    </row>
    <row r="172" spans="1:18" ht="25">
      <c r="A172" s="158" t="s">
        <v>1376</v>
      </c>
      <c r="B172" s="1" t="s">
        <v>971</v>
      </c>
      <c r="C172" s="1" t="s">
        <v>784</v>
      </c>
      <c r="D172" s="1" t="s">
        <v>1039</v>
      </c>
      <c r="E172" s="1" t="s">
        <v>620</v>
      </c>
      <c r="F172" s="1" t="s">
        <v>394</v>
      </c>
      <c r="G172" s="1"/>
      <c r="H172" s="1" t="str">
        <f t="shared" si="4"/>
        <v>CHD-I-DSE-2060</v>
      </c>
      <c r="I172" s="1" t="str">
        <f t="shared" si="5"/>
        <v>CHD-I-DSE-2060</v>
      </c>
      <c r="J172" s="1">
        <v>2</v>
      </c>
      <c r="K172" s="207">
        <v>76124</v>
      </c>
      <c r="L172" s="136">
        <v>10530224</v>
      </c>
      <c r="M172" s="138">
        <v>554600</v>
      </c>
      <c r="N172" s="140" t="s">
        <v>621</v>
      </c>
      <c r="O172" s="1" t="s">
        <v>703</v>
      </c>
      <c r="Q172"/>
      <c r="R172" s="136"/>
    </row>
    <row r="173" spans="1:18" ht="14">
      <c r="A173" s="158" t="s">
        <v>1377</v>
      </c>
      <c r="B173" s="1" t="s">
        <v>971</v>
      </c>
      <c r="C173" s="1" t="s">
        <v>784</v>
      </c>
      <c r="D173" s="1" t="s">
        <v>1040</v>
      </c>
      <c r="E173" s="1" t="s">
        <v>1041</v>
      </c>
      <c r="F173" s="1"/>
      <c r="G173" s="1"/>
      <c r="H173" s="1">
        <f t="shared" si="4"/>
        <v>0</v>
      </c>
      <c r="I173" s="1">
        <f t="shared" si="5"/>
        <v>0</v>
      </c>
      <c r="J173" s="1">
        <v>2</v>
      </c>
      <c r="K173" s="207">
        <v>293632</v>
      </c>
      <c r="L173" s="136">
        <v>55466932</v>
      </c>
      <c r="M173" s="138">
        <v>3001950</v>
      </c>
      <c r="N173" s="140" t="s">
        <v>621</v>
      </c>
      <c r="O173" s="1" t="s">
        <v>703</v>
      </c>
      <c r="Q173"/>
      <c r="R173" s="136"/>
    </row>
    <row r="174" spans="1:18" ht="25">
      <c r="A174" s="158" t="s">
        <v>1378</v>
      </c>
      <c r="B174" s="1" t="s">
        <v>971</v>
      </c>
      <c r="C174" s="1" t="s">
        <v>784</v>
      </c>
      <c r="D174" s="1" t="s">
        <v>1042</v>
      </c>
      <c r="E174" s="1" t="s">
        <v>620</v>
      </c>
      <c r="F174" s="1" t="s">
        <v>395</v>
      </c>
      <c r="G174" s="1"/>
      <c r="H174" s="1" t="str">
        <f t="shared" si="4"/>
        <v>CHD-I-DSE-2058</v>
      </c>
      <c r="I174" s="1" t="str">
        <f t="shared" si="5"/>
        <v>CHD-I-DSE-2058</v>
      </c>
      <c r="J174" s="1">
        <v>3</v>
      </c>
      <c r="K174" s="207">
        <v>425246</v>
      </c>
      <c r="L174" s="136">
        <v>83112026</v>
      </c>
      <c r="M174" s="138">
        <v>4503375</v>
      </c>
      <c r="N174" s="140" t="s">
        <v>621</v>
      </c>
      <c r="O174" s="1" t="s">
        <v>703</v>
      </c>
      <c r="Q174"/>
      <c r="R174" s="136"/>
    </row>
    <row r="175" spans="1:18" ht="25">
      <c r="A175" s="158" t="s">
        <v>1379</v>
      </c>
      <c r="B175" s="1" t="s">
        <v>971</v>
      </c>
      <c r="C175" s="1" t="s">
        <v>784</v>
      </c>
      <c r="D175" s="1" t="s">
        <v>1043</v>
      </c>
      <c r="E175" s="1" t="s">
        <v>1041</v>
      </c>
      <c r="F175" s="1"/>
      <c r="G175" s="1"/>
      <c r="H175" s="1">
        <f t="shared" si="4"/>
        <v>0</v>
      </c>
      <c r="I175" s="1">
        <f t="shared" si="5"/>
        <v>0</v>
      </c>
      <c r="J175" s="1">
        <v>1</v>
      </c>
      <c r="K175" s="207">
        <v>51038</v>
      </c>
      <c r="L175" s="136" t="s">
        <v>621</v>
      </c>
      <c r="M175" s="138">
        <v>346500</v>
      </c>
      <c r="N175" s="140" t="s">
        <v>621</v>
      </c>
      <c r="O175" s="1" t="s">
        <v>703</v>
      </c>
      <c r="Q175"/>
      <c r="R175" s="136"/>
    </row>
    <row r="176" spans="1:18" ht="25">
      <c r="A176" s="158" t="s">
        <v>1380</v>
      </c>
      <c r="B176" s="1" t="s">
        <v>971</v>
      </c>
      <c r="C176" s="1" t="s">
        <v>784</v>
      </c>
      <c r="D176" s="1" t="s">
        <v>1044</v>
      </c>
      <c r="E176" s="1" t="s">
        <v>1041</v>
      </c>
      <c r="F176" s="1"/>
      <c r="G176" s="1"/>
      <c r="H176" s="1">
        <f t="shared" si="4"/>
        <v>0</v>
      </c>
      <c r="I176" s="1">
        <f t="shared" si="5"/>
        <v>0</v>
      </c>
      <c r="J176" s="1">
        <v>2</v>
      </c>
      <c r="K176" s="207">
        <v>147472</v>
      </c>
      <c r="L176" s="136" t="s">
        <v>621</v>
      </c>
      <c r="M176" s="138">
        <v>1390500</v>
      </c>
      <c r="N176" s="140" t="s">
        <v>621</v>
      </c>
      <c r="O176" s="1" t="s">
        <v>703</v>
      </c>
      <c r="Q176"/>
      <c r="R176" s="136"/>
    </row>
    <row r="177" spans="1:18" ht="14">
      <c r="A177" s="158" t="s">
        <v>1381</v>
      </c>
      <c r="B177" s="1" t="s">
        <v>971</v>
      </c>
      <c r="C177" s="1" t="s">
        <v>784</v>
      </c>
      <c r="D177" s="1" t="s">
        <v>1045</v>
      </c>
      <c r="E177" s="1" t="s">
        <v>1041</v>
      </c>
      <c r="F177" s="1"/>
      <c r="G177" s="1"/>
      <c r="H177" s="1">
        <f t="shared" si="4"/>
        <v>0</v>
      </c>
      <c r="I177" s="1">
        <f t="shared" si="5"/>
        <v>0</v>
      </c>
      <c r="J177" s="1">
        <v>2</v>
      </c>
      <c r="K177" s="207">
        <v>86298</v>
      </c>
      <c r="L177" s="136" t="s">
        <v>621</v>
      </c>
      <c r="M177" s="138">
        <v>447900</v>
      </c>
      <c r="N177" s="140" t="s">
        <v>621</v>
      </c>
      <c r="O177" s="1" t="s">
        <v>703</v>
      </c>
      <c r="Q177"/>
      <c r="R177" s="136"/>
    </row>
    <row r="178" spans="1:18" ht="25">
      <c r="A178" s="158" t="s">
        <v>1382</v>
      </c>
      <c r="B178" s="1" t="s">
        <v>971</v>
      </c>
      <c r="C178" s="1" t="s">
        <v>701</v>
      </c>
      <c r="D178" s="1" t="s">
        <v>1046</v>
      </c>
      <c r="E178" s="1" t="s">
        <v>968</v>
      </c>
      <c r="F178" s="1" t="s">
        <v>396</v>
      </c>
      <c r="G178" s="1" t="s">
        <v>396</v>
      </c>
      <c r="H178" s="1" t="str">
        <f t="shared" si="4"/>
        <v>A0010097999_ZGS003_071217</v>
      </c>
      <c r="I178" s="1" t="str">
        <f t="shared" si="5"/>
        <v>A0010097999_ZGS003_071217</v>
      </c>
      <c r="J178" s="1">
        <v>3</v>
      </c>
      <c r="K178" s="207">
        <v>485449</v>
      </c>
      <c r="L178" s="136">
        <v>112390324</v>
      </c>
      <c r="M178" s="138">
        <v>6107550</v>
      </c>
      <c r="N178" s="140" t="s">
        <v>621</v>
      </c>
      <c r="O178" s="1" t="s">
        <v>703</v>
      </c>
      <c r="Q178"/>
      <c r="R178" s="136"/>
    </row>
    <row r="179" spans="1:18" ht="14">
      <c r="A179" s="158" t="s">
        <v>1383</v>
      </c>
      <c r="B179" s="1" t="s">
        <v>971</v>
      </c>
      <c r="C179" s="1" t="s">
        <v>784</v>
      </c>
      <c r="D179" s="1" t="s">
        <v>1047</v>
      </c>
      <c r="E179" s="1" t="s">
        <v>1041</v>
      </c>
      <c r="F179" s="1"/>
      <c r="G179" s="1"/>
      <c r="H179" s="1">
        <f t="shared" si="4"/>
        <v>0</v>
      </c>
      <c r="I179" s="1">
        <f t="shared" si="5"/>
        <v>0</v>
      </c>
      <c r="J179" s="1">
        <v>2</v>
      </c>
      <c r="K179" s="207">
        <v>220162</v>
      </c>
      <c r="L179" s="136">
        <v>38136592</v>
      </c>
      <c r="M179" s="138">
        <v>2043000</v>
      </c>
      <c r="N179" s="140" t="s">
        <v>621</v>
      </c>
      <c r="O179" s="1" t="s">
        <v>703</v>
      </c>
      <c r="Q179"/>
      <c r="R179" s="136"/>
    </row>
    <row r="180" spans="1:18" ht="25">
      <c r="A180" s="158" t="s">
        <v>1384</v>
      </c>
      <c r="B180" s="1" t="s">
        <v>971</v>
      </c>
      <c r="C180" s="1" t="s">
        <v>784</v>
      </c>
      <c r="D180" s="1" t="s">
        <v>1048</v>
      </c>
      <c r="E180" s="1" t="s">
        <v>620</v>
      </c>
      <c r="F180" s="1" t="s">
        <v>395</v>
      </c>
      <c r="G180" s="1"/>
      <c r="H180" s="1" t="str">
        <f t="shared" si="4"/>
        <v>CHD-I-DSE-2058</v>
      </c>
      <c r="I180" s="1" t="str">
        <f t="shared" si="5"/>
        <v>CHD-I-DSE-2058</v>
      </c>
      <c r="J180" s="1">
        <v>1</v>
      </c>
      <c r="K180" s="207">
        <v>164915</v>
      </c>
      <c r="L180" s="136">
        <v>28602990</v>
      </c>
      <c r="M180" s="138">
        <v>1530925</v>
      </c>
      <c r="N180" s="140" t="s">
        <v>621</v>
      </c>
      <c r="O180" s="1" t="s">
        <v>703</v>
      </c>
      <c r="Q180"/>
      <c r="R180" s="136"/>
    </row>
    <row r="181" spans="1:18" ht="25">
      <c r="A181" s="158" t="s">
        <v>1385</v>
      </c>
      <c r="B181" s="1" t="s">
        <v>971</v>
      </c>
      <c r="C181" s="1" t="s">
        <v>784</v>
      </c>
      <c r="D181" s="1" t="s">
        <v>1049</v>
      </c>
      <c r="E181" s="1" t="s">
        <v>620</v>
      </c>
      <c r="F181" s="1" t="s">
        <v>395</v>
      </c>
      <c r="G181" s="1"/>
      <c r="H181" s="1" t="str">
        <f t="shared" si="4"/>
        <v>CHD-I-DSE-2058</v>
      </c>
      <c r="I181" s="1" t="str">
        <f t="shared" si="5"/>
        <v>CHD-I-DSE-2058</v>
      </c>
      <c r="J181" s="1">
        <v>1</v>
      </c>
      <c r="K181" s="207">
        <v>83394</v>
      </c>
      <c r="L181" s="136">
        <v>7442744</v>
      </c>
      <c r="M181" s="138">
        <v>342900</v>
      </c>
      <c r="N181" s="140" t="s">
        <v>621</v>
      </c>
      <c r="O181" s="1" t="s">
        <v>703</v>
      </c>
      <c r="Q181"/>
      <c r="R181" s="136"/>
    </row>
    <row r="182" spans="1:18" ht="14">
      <c r="A182" s="158" t="s">
        <v>1386</v>
      </c>
      <c r="B182" s="1" t="s">
        <v>1050</v>
      </c>
      <c r="C182" s="1" t="s">
        <v>139</v>
      </c>
      <c r="D182" s="1" t="s">
        <v>1051</v>
      </c>
      <c r="E182" s="1" t="s">
        <v>620</v>
      </c>
      <c r="F182" s="1" t="s">
        <v>397</v>
      </c>
      <c r="G182" s="1" t="s">
        <v>397</v>
      </c>
      <c r="H182" s="1" t="str">
        <f t="shared" si="4"/>
        <v>CHD-I-DSE-2043</v>
      </c>
      <c r="I182" s="1" t="str">
        <f t="shared" si="5"/>
        <v>CHD-I-DSE-2043</v>
      </c>
      <c r="J182" s="1">
        <v>1</v>
      </c>
      <c r="K182" s="207">
        <v>3339</v>
      </c>
      <c r="L182" s="136">
        <v>396243</v>
      </c>
      <c r="M182" s="138">
        <v>18200</v>
      </c>
      <c r="N182" s="140" t="s">
        <v>621</v>
      </c>
      <c r="O182" s="1" t="s">
        <v>703</v>
      </c>
      <c r="Q182"/>
      <c r="R182" s="136"/>
    </row>
    <row r="183" spans="1:18" ht="14">
      <c r="A183" s="158" t="s">
        <v>1052</v>
      </c>
      <c r="B183" s="1" t="s">
        <v>1050</v>
      </c>
      <c r="C183" s="1" t="s">
        <v>139</v>
      </c>
      <c r="D183" s="1" t="s">
        <v>1053</v>
      </c>
      <c r="E183" s="1" t="s">
        <v>620</v>
      </c>
      <c r="F183" s="1" t="s">
        <v>397</v>
      </c>
      <c r="G183" s="1" t="s">
        <v>397</v>
      </c>
      <c r="H183" s="1" t="str">
        <f t="shared" si="4"/>
        <v>CHD-I-DSE-2043</v>
      </c>
      <c r="I183" s="1" t="str">
        <f t="shared" si="5"/>
        <v>CHD-I-DSE-2043</v>
      </c>
      <c r="J183" s="1">
        <v>1</v>
      </c>
      <c r="K183" s="207">
        <v>4195</v>
      </c>
      <c r="L183" s="136">
        <v>505775</v>
      </c>
      <c r="M183" s="138">
        <v>23800</v>
      </c>
      <c r="N183" s="140" t="s">
        <v>621</v>
      </c>
      <c r="O183" s="1" t="s">
        <v>703</v>
      </c>
      <c r="Q183"/>
      <c r="R183" s="136"/>
    </row>
    <row r="184" spans="1:18" ht="14">
      <c r="A184" s="158" t="s">
        <v>1054</v>
      </c>
      <c r="B184" s="1" t="s">
        <v>1050</v>
      </c>
      <c r="C184" s="1" t="s">
        <v>139</v>
      </c>
      <c r="D184" s="1" t="s">
        <v>1055</v>
      </c>
      <c r="E184" s="1" t="s">
        <v>620</v>
      </c>
      <c r="F184" s="1" t="s">
        <v>398</v>
      </c>
      <c r="G184" s="1" t="s">
        <v>398</v>
      </c>
      <c r="H184" s="1" t="str">
        <f t="shared" si="4"/>
        <v xml:space="preserve">CHD-I-DSE-2042 </v>
      </c>
      <c r="I184" s="1" t="str">
        <f t="shared" si="5"/>
        <v xml:space="preserve">CHD-I-DSE-2042 </v>
      </c>
      <c r="J184" s="1">
        <v>1</v>
      </c>
      <c r="K184" s="207">
        <v>19494</v>
      </c>
      <c r="L184" s="136">
        <v>2406530</v>
      </c>
      <c r="M184" s="138">
        <v>109760</v>
      </c>
      <c r="N184" s="140" t="s">
        <v>621</v>
      </c>
      <c r="O184" s="1" t="s">
        <v>703</v>
      </c>
      <c r="Q184"/>
      <c r="R184" s="136"/>
    </row>
    <row r="185" spans="1:18" ht="14">
      <c r="A185" s="158" t="s">
        <v>1056</v>
      </c>
      <c r="B185" s="1" t="s">
        <v>1050</v>
      </c>
      <c r="C185" s="1" t="s">
        <v>139</v>
      </c>
      <c r="D185" s="1" t="s">
        <v>1057</v>
      </c>
      <c r="E185" s="1" t="s">
        <v>620</v>
      </c>
      <c r="F185" s="1" t="s">
        <v>399</v>
      </c>
      <c r="G185" s="1" t="s">
        <v>399</v>
      </c>
      <c r="H185" s="1" t="str">
        <f t="shared" si="4"/>
        <v>CHD-I-DSE-2028</v>
      </c>
      <c r="I185" s="1" t="str">
        <f t="shared" si="5"/>
        <v>CHD-I-DSE-2028</v>
      </c>
      <c r="J185" s="1">
        <v>1</v>
      </c>
      <c r="K185" s="207">
        <v>3410</v>
      </c>
      <c r="L185" s="136">
        <v>413560</v>
      </c>
      <c r="M185" s="138">
        <v>19600</v>
      </c>
      <c r="N185" s="140" t="s">
        <v>621</v>
      </c>
      <c r="O185" s="1" t="s">
        <v>703</v>
      </c>
      <c r="Q185"/>
      <c r="R185" s="136"/>
    </row>
    <row r="186" spans="1:18" ht="14">
      <c r="A186" s="158" t="s">
        <v>1058</v>
      </c>
      <c r="B186" s="1" t="s">
        <v>1050</v>
      </c>
      <c r="C186" s="1" t="s">
        <v>139</v>
      </c>
      <c r="D186" s="1" t="s">
        <v>1059</v>
      </c>
      <c r="E186" s="1" t="s">
        <v>620</v>
      </c>
      <c r="F186" s="1" t="s">
        <v>400</v>
      </c>
      <c r="G186" s="1" t="s">
        <v>400</v>
      </c>
      <c r="H186" s="1" t="str">
        <f t="shared" si="4"/>
        <v>CHD-I-DSE-2040</v>
      </c>
      <c r="I186" s="1" t="str">
        <f t="shared" si="5"/>
        <v>CHD-I-DSE-2040</v>
      </c>
      <c r="J186" s="1">
        <v>1</v>
      </c>
      <c r="K186" s="207">
        <v>5282</v>
      </c>
      <c r="L186" s="136">
        <v>624810</v>
      </c>
      <c r="M186" s="138">
        <v>29680</v>
      </c>
      <c r="N186" s="140" t="s">
        <v>621</v>
      </c>
      <c r="O186" s="1" t="s">
        <v>703</v>
      </c>
      <c r="Q186"/>
      <c r="R186" s="136"/>
    </row>
    <row r="187" spans="1:18" ht="14">
      <c r="A187" s="158" t="s">
        <v>1060</v>
      </c>
      <c r="B187" s="1" t="s">
        <v>1050</v>
      </c>
      <c r="C187" s="1" t="s">
        <v>139</v>
      </c>
      <c r="D187" s="1" t="s">
        <v>1061</v>
      </c>
      <c r="E187" s="1" t="s">
        <v>620</v>
      </c>
      <c r="F187" s="1" t="s">
        <v>401</v>
      </c>
      <c r="G187" s="1" t="s">
        <v>401</v>
      </c>
      <c r="H187" s="1" t="str">
        <f t="shared" si="4"/>
        <v>CHD-I-DSE-2027</v>
      </c>
      <c r="I187" s="1" t="str">
        <f t="shared" si="5"/>
        <v>CHD-I-DSE-2027</v>
      </c>
      <c r="J187" s="1">
        <v>1</v>
      </c>
      <c r="K187" s="207">
        <v>57860</v>
      </c>
      <c r="L187" s="136">
        <v>18816500</v>
      </c>
      <c r="M187" s="138" t="s">
        <v>621</v>
      </c>
      <c r="N187" s="140" t="s">
        <v>621</v>
      </c>
      <c r="O187" s="1" t="s">
        <v>703</v>
      </c>
      <c r="Q187"/>
      <c r="R187" s="136"/>
    </row>
    <row r="188" spans="1:18" ht="14">
      <c r="A188" s="158" t="s">
        <v>1062</v>
      </c>
      <c r="B188" s="1" t="s">
        <v>1050</v>
      </c>
      <c r="C188" s="1" t="s">
        <v>139</v>
      </c>
      <c r="D188" s="1" t="s">
        <v>1063</v>
      </c>
      <c r="E188" s="1" t="s">
        <v>620</v>
      </c>
      <c r="F188" s="1" t="s">
        <v>402</v>
      </c>
      <c r="G188" s="1" t="s">
        <v>402</v>
      </c>
      <c r="H188" s="1" t="str">
        <f t="shared" si="4"/>
        <v>CHD-I-DSE-2062</v>
      </c>
      <c r="I188" s="1" t="str">
        <f t="shared" si="5"/>
        <v>CHD-I-DSE-2062</v>
      </c>
      <c r="J188" s="1">
        <v>1</v>
      </c>
      <c r="K188" s="207">
        <v>108760</v>
      </c>
      <c r="L188" s="136" t="s">
        <v>621</v>
      </c>
      <c r="M188" s="138" t="s">
        <v>621</v>
      </c>
      <c r="N188" s="140" t="s">
        <v>621</v>
      </c>
      <c r="O188" s="1" t="s">
        <v>460</v>
      </c>
      <c r="Q188"/>
      <c r="R188" s="136"/>
    </row>
    <row r="189" spans="1:18" ht="14">
      <c r="A189" s="158" t="s">
        <v>1064</v>
      </c>
      <c r="B189" s="1" t="s">
        <v>1050</v>
      </c>
      <c r="C189" s="1" t="s">
        <v>139</v>
      </c>
      <c r="D189" s="1" t="s">
        <v>1065</v>
      </c>
      <c r="E189" s="1" t="s">
        <v>620</v>
      </c>
      <c r="F189" s="1" t="s">
        <v>402</v>
      </c>
      <c r="G189" s="1" t="s">
        <v>402</v>
      </c>
      <c r="H189" s="1" t="str">
        <f t="shared" si="4"/>
        <v>CHD-I-DSE-2062</v>
      </c>
      <c r="I189" s="1" t="str">
        <f t="shared" si="5"/>
        <v>CHD-I-DSE-2062</v>
      </c>
      <c r="J189" s="1">
        <v>1</v>
      </c>
      <c r="K189" s="207">
        <v>17100</v>
      </c>
      <c r="L189" s="136" t="s">
        <v>621</v>
      </c>
      <c r="M189" s="138" t="s">
        <v>621</v>
      </c>
      <c r="N189" s="140" t="s">
        <v>621</v>
      </c>
      <c r="O189" s="1" t="s">
        <v>460</v>
      </c>
      <c r="Q189"/>
      <c r="R189" s="136"/>
    </row>
    <row r="190" spans="1:18" ht="25">
      <c r="A190" s="158" t="s">
        <v>1066</v>
      </c>
      <c r="B190" s="1" t="s">
        <v>1050</v>
      </c>
      <c r="C190" s="1" t="s">
        <v>139</v>
      </c>
      <c r="D190" s="1" t="s">
        <v>1067</v>
      </c>
      <c r="E190" s="1" t="s">
        <v>620</v>
      </c>
      <c r="F190" s="1" t="s">
        <v>403</v>
      </c>
      <c r="G190" s="1" t="s">
        <v>403</v>
      </c>
      <c r="H190" s="1" t="str">
        <f t="shared" si="4"/>
        <v>CHD-I-DSE-2059</v>
      </c>
      <c r="I190" s="1" t="str">
        <f t="shared" si="5"/>
        <v>CHD-I-DSE-2059</v>
      </c>
      <c r="J190" s="1">
        <v>1</v>
      </c>
      <c r="K190" s="207">
        <v>15000</v>
      </c>
      <c r="L190" s="136">
        <v>1732380</v>
      </c>
      <c r="M190" s="138">
        <v>89600</v>
      </c>
      <c r="N190" s="140" t="s">
        <v>621</v>
      </c>
      <c r="O190" s="1" t="s">
        <v>703</v>
      </c>
      <c r="Q190"/>
      <c r="R190" s="136"/>
    </row>
    <row r="191" spans="1:18" ht="14">
      <c r="A191" s="158" t="s">
        <v>1068</v>
      </c>
      <c r="B191" s="1" t="s">
        <v>1050</v>
      </c>
      <c r="C191" s="1" t="s">
        <v>139</v>
      </c>
      <c r="D191" s="1" t="s">
        <v>1069</v>
      </c>
      <c r="E191" s="1" t="s">
        <v>620</v>
      </c>
      <c r="F191" s="1"/>
      <c r="G191" s="1"/>
      <c r="H191" s="1">
        <f t="shared" si="4"/>
        <v>0</v>
      </c>
      <c r="I191" s="1">
        <f t="shared" si="5"/>
        <v>0</v>
      </c>
      <c r="J191" s="1">
        <v>1</v>
      </c>
      <c r="K191" s="207">
        <v>17520</v>
      </c>
      <c r="L191" s="136">
        <v>2112500</v>
      </c>
      <c r="M191" s="138">
        <v>100800</v>
      </c>
      <c r="N191" s="140" t="s">
        <v>621</v>
      </c>
      <c r="O191" s="1" t="s">
        <v>703</v>
      </c>
      <c r="Q191"/>
      <c r="R191" s="136"/>
    </row>
    <row r="192" spans="1:18" ht="14">
      <c r="A192" s="158" t="s">
        <v>1070</v>
      </c>
      <c r="B192" s="1" t="s">
        <v>1050</v>
      </c>
      <c r="C192" s="1" t="s">
        <v>139</v>
      </c>
      <c r="D192" s="1" t="s">
        <v>1071</v>
      </c>
      <c r="E192" s="1" t="s">
        <v>620</v>
      </c>
      <c r="F192" s="1" t="s">
        <v>404</v>
      </c>
      <c r="G192" s="1" t="s">
        <v>404</v>
      </c>
      <c r="H192" s="1" t="str">
        <f t="shared" si="4"/>
        <v>CHD-I-DSE-2031</v>
      </c>
      <c r="I192" s="1" t="str">
        <f t="shared" si="5"/>
        <v>CHD-I-DSE-2031</v>
      </c>
      <c r="J192" s="1">
        <v>1</v>
      </c>
      <c r="K192" s="207">
        <v>3560</v>
      </c>
      <c r="L192" s="136">
        <v>413560</v>
      </c>
      <c r="M192" s="138">
        <v>19600</v>
      </c>
      <c r="N192" s="140" t="s">
        <v>621</v>
      </c>
      <c r="O192" s="1" t="s">
        <v>703</v>
      </c>
      <c r="Q192"/>
      <c r="R192" s="136"/>
    </row>
    <row r="193" spans="1:18" ht="14">
      <c r="A193" s="158" t="s">
        <v>1072</v>
      </c>
      <c r="B193" s="1" t="s">
        <v>1050</v>
      </c>
      <c r="C193" s="1" t="s">
        <v>139</v>
      </c>
      <c r="D193" s="1" t="s">
        <v>1073</v>
      </c>
      <c r="E193" s="1" t="s">
        <v>620</v>
      </c>
      <c r="F193" s="1" t="s">
        <v>405</v>
      </c>
      <c r="G193" s="1" t="s">
        <v>405</v>
      </c>
      <c r="H193" s="1" t="str">
        <f t="shared" si="4"/>
        <v>CHD-I-DSE-2045</v>
      </c>
      <c r="I193" s="1" t="str">
        <f t="shared" si="5"/>
        <v>CHD-I-DSE-2045</v>
      </c>
      <c r="J193" s="1">
        <v>1</v>
      </c>
      <c r="K193" s="207">
        <v>5980</v>
      </c>
      <c r="L193" s="136">
        <v>793680</v>
      </c>
      <c r="M193" s="138">
        <v>30800</v>
      </c>
      <c r="N193" s="140" t="s">
        <v>621</v>
      </c>
      <c r="O193" s="1" t="s">
        <v>703</v>
      </c>
      <c r="Q193"/>
      <c r="R193" s="136"/>
    </row>
    <row r="194" spans="1:18" ht="14">
      <c r="A194" s="158" t="s">
        <v>1074</v>
      </c>
      <c r="B194" s="1" t="s">
        <v>1050</v>
      </c>
      <c r="C194" s="1" t="s">
        <v>139</v>
      </c>
      <c r="D194" s="1" t="s">
        <v>1075</v>
      </c>
      <c r="E194" s="1" t="s">
        <v>620</v>
      </c>
      <c r="F194" s="1" t="s">
        <v>406</v>
      </c>
      <c r="G194" s="1" t="s">
        <v>406</v>
      </c>
      <c r="H194" s="1" t="str">
        <f t="shared" ref="H194:H257" si="6">F194</f>
        <v>CHD-I-DSE-2063</v>
      </c>
      <c r="I194" s="1" t="str">
        <f t="shared" ref="I194:I257" si="7">F194</f>
        <v>CHD-I-DSE-2063</v>
      </c>
      <c r="J194" s="1">
        <v>1</v>
      </c>
      <c r="K194" s="207">
        <v>1700</v>
      </c>
      <c r="L194" s="136">
        <v>234760</v>
      </c>
      <c r="M194" s="138">
        <v>8400</v>
      </c>
      <c r="N194" s="140" t="s">
        <v>621</v>
      </c>
      <c r="O194" s="1" t="s">
        <v>703</v>
      </c>
      <c r="Q194"/>
      <c r="R194" s="136"/>
    </row>
    <row r="195" spans="1:18" ht="50">
      <c r="A195" s="158" t="s">
        <v>1076</v>
      </c>
      <c r="B195" s="1" t="s">
        <v>1050</v>
      </c>
      <c r="C195" s="1" t="s">
        <v>701</v>
      </c>
      <c r="D195" s="1" t="s">
        <v>1077</v>
      </c>
      <c r="E195" s="1" t="s">
        <v>740</v>
      </c>
      <c r="F195" s="1" t="s">
        <v>407</v>
      </c>
      <c r="G195" s="1" t="s">
        <v>407</v>
      </c>
      <c r="H195" s="1" t="str">
        <f t="shared" si="6"/>
        <v xml:space="preserve">
ES28530-02 5.1
ES28990-01 5.1
</v>
      </c>
      <c r="I195" s="1" t="str">
        <f t="shared" si="7"/>
        <v xml:space="preserve">
ES28530-02 5.1
ES28990-01 5.1
</v>
      </c>
      <c r="J195" s="1">
        <v>1</v>
      </c>
      <c r="K195" s="207">
        <v>72584</v>
      </c>
      <c r="L195" s="136">
        <v>43256892.954457954</v>
      </c>
      <c r="M195" s="138" t="s">
        <v>621</v>
      </c>
      <c r="N195" s="140" t="s">
        <v>621</v>
      </c>
      <c r="O195" s="1" t="s">
        <v>703</v>
      </c>
      <c r="Q195"/>
      <c r="R195" s="136"/>
    </row>
    <row r="196" spans="1:18" ht="14">
      <c r="A196" s="158" t="s">
        <v>1078</v>
      </c>
      <c r="B196" s="1" t="s">
        <v>1050</v>
      </c>
      <c r="C196" s="1" t="s">
        <v>701</v>
      </c>
      <c r="D196" s="1" t="s">
        <v>1079</v>
      </c>
      <c r="E196" s="1" t="s">
        <v>740</v>
      </c>
      <c r="F196" s="1" t="s">
        <v>408</v>
      </c>
      <c r="G196" s="1" t="s">
        <v>408</v>
      </c>
      <c r="H196" s="1" t="str">
        <f t="shared" si="6"/>
        <v>ES28600-09 6.12</v>
      </c>
      <c r="I196" s="1" t="str">
        <f t="shared" si="7"/>
        <v>ES28600-09 6.12</v>
      </c>
      <c r="J196" s="1">
        <v>1</v>
      </c>
      <c r="K196" s="207">
        <v>39204</v>
      </c>
      <c r="L196" s="136">
        <v>14768620</v>
      </c>
      <c r="M196" s="138" t="s">
        <v>621</v>
      </c>
      <c r="N196" s="140" t="s">
        <v>621</v>
      </c>
      <c r="O196" s="1" t="s">
        <v>703</v>
      </c>
      <c r="Q196"/>
      <c r="R196" s="136"/>
    </row>
    <row r="197" spans="1:18" ht="25">
      <c r="A197" s="158" t="s">
        <v>1387</v>
      </c>
      <c r="B197" s="1" t="s">
        <v>1050</v>
      </c>
      <c r="C197" s="1" t="s">
        <v>701</v>
      </c>
      <c r="D197" s="1" t="s">
        <v>1080</v>
      </c>
      <c r="E197" s="1" t="s">
        <v>530</v>
      </c>
      <c r="F197" s="1" t="s">
        <v>409</v>
      </c>
      <c r="G197" s="1" t="s">
        <v>409</v>
      </c>
      <c r="H197" s="1" t="str">
        <f t="shared" si="6"/>
        <v>63 cycles acc. To GMW 14872</v>
      </c>
      <c r="I197" s="1" t="str">
        <f t="shared" si="7"/>
        <v>63 cycles acc. To GMW 14872</v>
      </c>
      <c r="J197" s="1">
        <v>1</v>
      </c>
      <c r="K197" s="207">
        <v>290936</v>
      </c>
      <c r="L197" s="136">
        <v>122933040</v>
      </c>
      <c r="M197" s="138" t="s">
        <v>621</v>
      </c>
      <c r="N197" s="140" t="s">
        <v>621</v>
      </c>
      <c r="O197" s="1" t="s">
        <v>703</v>
      </c>
      <c r="Q197"/>
      <c r="R197" s="136"/>
    </row>
    <row r="198" spans="1:18" ht="37.5">
      <c r="A198" s="158" t="s">
        <v>1388</v>
      </c>
      <c r="B198" s="1" t="s">
        <v>1050</v>
      </c>
      <c r="C198" s="1" t="s">
        <v>784</v>
      </c>
      <c r="D198" s="1" t="s">
        <v>1081</v>
      </c>
      <c r="E198" s="1" t="s">
        <v>620</v>
      </c>
      <c r="F198" s="1" t="s">
        <v>1082</v>
      </c>
      <c r="G198" s="1" t="s">
        <v>1082</v>
      </c>
      <c r="H198" s="1" t="str">
        <f t="shared" si="6"/>
        <v>FSE-P-DSE-U120- Post Analysis of Exhaust System Components</v>
      </c>
      <c r="I198" s="1" t="str">
        <f t="shared" si="7"/>
        <v>FSE-P-DSE-U120- Post Analysis of Exhaust System Components</v>
      </c>
      <c r="J198" s="1">
        <v>1</v>
      </c>
      <c r="K198" s="207">
        <v>15330</v>
      </c>
      <c r="L198" s="136">
        <v>1883370</v>
      </c>
      <c r="M198" s="138">
        <v>89600</v>
      </c>
      <c r="N198" s="140" t="s">
        <v>621</v>
      </c>
      <c r="O198" s="1" t="s">
        <v>703</v>
      </c>
      <c r="Q198"/>
      <c r="R198" s="136"/>
    </row>
    <row r="199" spans="1:18" ht="14">
      <c r="A199" s="158" t="s">
        <v>1389</v>
      </c>
      <c r="B199" s="1" t="s">
        <v>1083</v>
      </c>
      <c r="C199" s="1" t="s">
        <v>701</v>
      </c>
      <c r="D199" s="1" t="s">
        <v>1084</v>
      </c>
      <c r="E199" s="1" t="s">
        <v>740</v>
      </c>
      <c r="F199" s="1" t="s">
        <v>410</v>
      </c>
      <c r="G199" s="1" t="s">
        <v>410</v>
      </c>
      <c r="H199" s="1" t="str">
        <f t="shared" si="6"/>
        <v>ES28600-09 6.5</v>
      </c>
      <c r="I199" s="1" t="str">
        <f t="shared" si="7"/>
        <v>ES28600-09 6.5</v>
      </c>
      <c r="J199" s="1">
        <v>1</v>
      </c>
      <c r="K199" s="207">
        <v>866</v>
      </c>
      <c r="L199" s="136">
        <v>1182124.439655005</v>
      </c>
      <c r="M199" s="138">
        <v>14200</v>
      </c>
      <c r="N199" s="140" t="s">
        <v>621</v>
      </c>
      <c r="O199" s="1" t="s">
        <v>703</v>
      </c>
      <c r="Q199"/>
      <c r="R199" s="136"/>
    </row>
    <row r="200" spans="1:18" ht="14">
      <c r="A200" s="158" t="s">
        <v>1085</v>
      </c>
      <c r="B200" s="1" t="s">
        <v>1083</v>
      </c>
      <c r="C200" s="1" t="s">
        <v>701</v>
      </c>
      <c r="D200" s="1" t="s">
        <v>1086</v>
      </c>
      <c r="E200" s="1" t="s">
        <v>740</v>
      </c>
      <c r="F200" s="1" t="s">
        <v>411</v>
      </c>
      <c r="G200" s="1" t="s">
        <v>411</v>
      </c>
      <c r="H200" s="1" t="str">
        <f t="shared" si="6"/>
        <v>ES28600-09 6.9</v>
      </c>
      <c r="I200" s="1" t="str">
        <f t="shared" si="7"/>
        <v>ES28600-09 6.9</v>
      </c>
      <c r="J200" s="1">
        <v>3</v>
      </c>
      <c r="K200" s="207">
        <v>1249</v>
      </c>
      <c r="L200" s="136">
        <v>3070638.276583761</v>
      </c>
      <c r="M200" s="138">
        <v>28000</v>
      </c>
      <c r="N200" s="140" t="s">
        <v>621</v>
      </c>
      <c r="O200" s="1" t="s">
        <v>703</v>
      </c>
      <c r="Q200"/>
      <c r="R200" s="136"/>
    </row>
    <row r="201" spans="1:18" ht="14">
      <c r="A201" s="158" t="s">
        <v>1087</v>
      </c>
      <c r="B201" s="1" t="s">
        <v>1083</v>
      </c>
      <c r="C201" s="1" t="s">
        <v>701</v>
      </c>
      <c r="D201" s="1" t="s">
        <v>1088</v>
      </c>
      <c r="E201" s="1" t="s">
        <v>740</v>
      </c>
      <c r="F201" s="1" t="s">
        <v>412</v>
      </c>
      <c r="G201" s="1" t="s">
        <v>412</v>
      </c>
      <c r="H201" s="1" t="str">
        <f t="shared" si="6"/>
        <v>ES28600-09 6.11</v>
      </c>
      <c r="I201" s="1" t="str">
        <f t="shared" si="7"/>
        <v>ES28600-09 6.11</v>
      </c>
      <c r="J201" s="1">
        <v>3</v>
      </c>
      <c r="K201" s="207">
        <v>10911</v>
      </c>
      <c r="L201" s="136">
        <v>3209911.4167138468</v>
      </c>
      <c r="M201" s="138">
        <v>140400</v>
      </c>
      <c r="N201" s="140" t="s">
        <v>621</v>
      </c>
      <c r="O201" s="1" t="s">
        <v>703</v>
      </c>
      <c r="Q201"/>
      <c r="R201" s="136"/>
    </row>
    <row r="202" spans="1:18" ht="14">
      <c r="A202" s="158" t="s">
        <v>1089</v>
      </c>
      <c r="B202" s="1" t="s">
        <v>1083</v>
      </c>
      <c r="C202" s="1" t="s">
        <v>701</v>
      </c>
      <c r="D202" s="1" t="s">
        <v>1090</v>
      </c>
      <c r="E202" s="1" t="s">
        <v>620</v>
      </c>
      <c r="F202" s="1" t="s">
        <v>413</v>
      </c>
      <c r="G202" s="1" t="s">
        <v>413</v>
      </c>
      <c r="H202" s="1" t="str">
        <f t="shared" si="6"/>
        <v>CHD-I-DSE-2009</v>
      </c>
      <c r="I202" s="1" t="str">
        <f t="shared" si="7"/>
        <v>CHD-I-DSE-2009</v>
      </c>
      <c r="J202" s="1">
        <v>1</v>
      </c>
      <c r="K202" s="207">
        <v>3647</v>
      </c>
      <c r="L202" s="136">
        <v>1363260</v>
      </c>
      <c r="M202" s="138">
        <v>43800</v>
      </c>
      <c r="N202" s="140" t="s">
        <v>621</v>
      </c>
      <c r="O202" s="1" t="s">
        <v>703</v>
      </c>
      <c r="Q202"/>
      <c r="R202" s="136"/>
    </row>
    <row r="203" spans="1:18" ht="25">
      <c r="A203" s="158" t="s">
        <v>1091</v>
      </c>
      <c r="B203" s="1" t="s">
        <v>1083</v>
      </c>
      <c r="C203" s="1" t="s">
        <v>701</v>
      </c>
      <c r="D203" s="1" t="s">
        <v>1092</v>
      </c>
      <c r="E203" s="1" t="s">
        <v>620</v>
      </c>
      <c r="F203" s="1" t="s">
        <v>413</v>
      </c>
      <c r="G203" s="1" t="s">
        <v>413</v>
      </c>
      <c r="H203" s="1" t="str">
        <f t="shared" si="6"/>
        <v>CHD-I-DSE-2009</v>
      </c>
      <c r="I203" s="1" t="str">
        <f t="shared" si="7"/>
        <v>CHD-I-DSE-2009</v>
      </c>
      <c r="J203" s="1">
        <v>1</v>
      </c>
      <c r="K203" s="207">
        <v>5818</v>
      </c>
      <c r="L203" s="136">
        <v>2615030</v>
      </c>
      <c r="M203" s="138">
        <v>95800</v>
      </c>
      <c r="N203" s="140" t="s">
        <v>621</v>
      </c>
      <c r="O203" s="1" t="s">
        <v>703</v>
      </c>
      <c r="Q203"/>
      <c r="R203" s="136"/>
    </row>
    <row r="204" spans="1:18" ht="14">
      <c r="A204" s="158" t="s">
        <v>1093</v>
      </c>
      <c r="B204" s="1" t="s">
        <v>1083</v>
      </c>
      <c r="C204" s="1" t="s">
        <v>701</v>
      </c>
      <c r="D204" s="1" t="s">
        <v>1094</v>
      </c>
      <c r="E204" s="1" t="s">
        <v>530</v>
      </c>
      <c r="F204" s="1" t="s">
        <v>414</v>
      </c>
      <c r="G204" s="1" t="s">
        <v>414</v>
      </c>
      <c r="H204" s="1" t="str">
        <f t="shared" si="6"/>
        <v>GMW14202</v>
      </c>
      <c r="I204" s="1" t="str">
        <f t="shared" si="7"/>
        <v>GMW14202</v>
      </c>
      <c r="J204" s="1">
        <v>1</v>
      </c>
      <c r="K204" s="207">
        <v>4167</v>
      </c>
      <c r="L204" s="136">
        <v>1363260</v>
      </c>
      <c r="M204" s="138">
        <v>43800</v>
      </c>
      <c r="N204" s="140" t="s">
        <v>621</v>
      </c>
      <c r="O204" s="1" t="s">
        <v>703</v>
      </c>
      <c r="Q204"/>
      <c r="R204" s="136"/>
    </row>
    <row r="205" spans="1:18" ht="25">
      <c r="A205" s="158" t="s">
        <v>1095</v>
      </c>
      <c r="B205" s="1" t="s">
        <v>1083</v>
      </c>
      <c r="C205" s="1" t="s">
        <v>701</v>
      </c>
      <c r="D205" s="1" t="s">
        <v>1096</v>
      </c>
      <c r="E205" s="1" t="s">
        <v>530</v>
      </c>
      <c r="F205" s="1" t="s">
        <v>415</v>
      </c>
      <c r="G205" s="1" t="s">
        <v>415</v>
      </c>
      <c r="H205" s="1" t="str">
        <f t="shared" si="6"/>
        <v>GMW14182</v>
      </c>
      <c r="I205" s="1" t="str">
        <f t="shared" si="7"/>
        <v>GMW14182</v>
      </c>
      <c r="J205" s="1">
        <v>1</v>
      </c>
      <c r="K205" s="207">
        <v>2195.5</v>
      </c>
      <c r="L205" s="136">
        <v>580835</v>
      </c>
      <c r="M205" s="138">
        <v>17000</v>
      </c>
      <c r="N205" s="140" t="s">
        <v>621</v>
      </c>
      <c r="O205" s="1" t="s">
        <v>703</v>
      </c>
      <c r="Q205"/>
      <c r="R205" s="136"/>
    </row>
    <row r="206" spans="1:18" ht="14">
      <c r="A206" s="158" t="s">
        <v>1097</v>
      </c>
      <c r="B206" s="1" t="s">
        <v>1083</v>
      </c>
      <c r="C206" s="1" t="s">
        <v>701</v>
      </c>
      <c r="D206" s="1" t="s">
        <v>1098</v>
      </c>
      <c r="E206" s="1" t="s">
        <v>740</v>
      </c>
      <c r="F206" s="1"/>
      <c r="G206" s="1"/>
      <c r="H206" s="1">
        <f t="shared" si="6"/>
        <v>0</v>
      </c>
      <c r="I206" s="1">
        <f t="shared" si="7"/>
        <v>0</v>
      </c>
      <c r="J206" s="1">
        <v>1</v>
      </c>
      <c r="K206" s="207">
        <v>3331</v>
      </c>
      <c r="L206" s="136">
        <v>812550</v>
      </c>
      <c r="M206" s="138" t="s">
        <v>621</v>
      </c>
      <c r="N206" s="140" t="s">
        <v>621</v>
      </c>
      <c r="O206" s="1" t="s">
        <v>703</v>
      </c>
      <c r="Q206"/>
      <c r="R206" s="136"/>
    </row>
    <row r="207" spans="1:18" ht="14">
      <c r="A207" s="158" t="s">
        <v>1099</v>
      </c>
      <c r="B207" s="1" t="s">
        <v>1083</v>
      </c>
      <c r="C207" s="1" t="s">
        <v>701</v>
      </c>
      <c r="D207" s="1" t="s">
        <v>1090</v>
      </c>
      <c r="E207" s="1" t="s">
        <v>580</v>
      </c>
      <c r="F207" s="1" t="s">
        <v>416</v>
      </c>
      <c r="G207" s="1"/>
      <c r="H207" s="1" t="str">
        <f t="shared" si="6"/>
        <v>PF.90160 9.4</v>
      </c>
      <c r="I207" s="1" t="str">
        <f t="shared" si="7"/>
        <v>PF.90160 9.4</v>
      </c>
      <c r="J207" s="1">
        <v>1</v>
      </c>
      <c r="K207" s="207">
        <v>3647</v>
      </c>
      <c r="L207" s="136">
        <v>1363260</v>
      </c>
      <c r="M207" s="138">
        <v>43800</v>
      </c>
      <c r="N207" s="140" t="s">
        <v>621</v>
      </c>
      <c r="O207" s="1" t="s">
        <v>703</v>
      </c>
      <c r="Q207"/>
      <c r="R207" s="136"/>
    </row>
    <row r="208" spans="1:18" ht="14">
      <c r="A208" s="158" t="s">
        <v>1100</v>
      </c>
      <c r="B208" s="1" t="s">
        <v>1083</v>
      </c>
      <c r="C208" s="1" t="s">
        <v>701</v>
      </c>
      <c r="D208" s="1" t="s">
        <v>1101</v>
      </c>
      <c r="E208" s="1" t="s">
        <v>740</v>
      </c>
      <c r="F208" s="1"/>
      <c r="G208" s="1"/>
      <c r="H208" s="1">
        <f t="shared" si="6"/>
        <v>0</v>
      </c>
      <c r="I208" s="1">
        <f t="shared" si="7"/>
        <v>0</v>
      </c>
      <c r="J208" s="1">
        <v>1</v>
      </c>
      <c r="K208" s="207">
        <v>4235</v>
      </c>
      <c r="L208" s="136">
        <v>1179690</v>
      </c>
      <c r="M208" s="138" t="s">
        <v>621</v>
      </c>
      <c r="N208" s="140" t="s">
        <v>621</v>
      </c>
      <c r="O208" s="1" t="s">
        <v>703</v>
      </c>
      <c r="Q208"/>
      <c r="R208" s="136"/>
    </row>
    <row r="209" spans="1:18" ht="37.5">
      <c r="A209" s="158" t="s">
        <v>1102</v>
      </c>
      <c r="B209" s="1" t="s">
        <v>1083</v>
      </c>
      <c r="C209" s="1" t="s">
        <v>701</v>
      </c>
      <c r="D209" s="1" t="s">
        <v>788</v>
      </c>
      <c r="E209" s="1" t="s">
        <v>740</v>
      </c>
      <c r="F209" s="1" t="s">
        <v>417</v>
      </c>
      <c r="G209" s="1" t="s">
        <v>417</v>
      </c>
      <c r="H209" s="1" t="str">
        <f t="shared" si="6"/>
        <v>ES28530-01 5.2
ES28530-02 6.2
ES28990-01 6.1</v>
      </c>
      <c r="I209" s="1" t="str">
        <f t="shared" si="7"/>
        <v>ES28530-01 5.2
ES28530-02 6.2
ES28990-01 6.1</v>
      </c>
      <c r="J209" s="1">
        <v>1</v>
      </c>
      <c r="K209" s="207">
        <v>3785</v>
      </c>
      <c r="L209" s="136">
        <v>1367363.539040809</v>
      </c>
      <c r="M209" s="138">
        <v>30600</v>
      </c>
      <c r="N209" s="140" t="s">
        <v>621</v>
      </c>
      <c r="O209" s="1" t="s">
        <v>703</v>
      </c>
      <c r="Q209"/>
      <c r="R209" s="136"/>
    </row>
    <row r="210" spans="1:18" ht="25">
      <c r="A210" s="158" t="s">
        <v>1390</v>
      </c>
      <c r="B210" s="1" t="s">
        <v>1083</v>
      </c>
      <c r="C210" s="1" t="s">
        <v>701</v>
      </c>
      <c r="D210" s="1" t="s">
        <v>1103</v>
      </c>
      <c r="E210" s="1" t="s">
        <v>740</v>
      </c>
      <c r="F210" s="1"/>
      <c r="G210" s="1" t="s">
        <v>314</v>
      </c>
      <c r="H210" s="1">
        <f t="shared" si="6"/>
        <v>0</v>
      </c>
      <c r="I210" s="1">
        <f t="shared" si="7"/>
        <v>0</v>
      </c>
      <c r="J210" s="1">
        <v>3</v>
      </c>
      <c r="K210" s="207" t="s">
        <v>621</v>
      </c>
      <c r="L210" s="136">
        <v>2450575.4167138468</v>
      </c>
      <c r="M210" s="138" t="s">
        <v>621</v>
      </c>
      <c r="N210" s="140" t="s">
        <v>621</v>
      </c>
      <c r="O210" s="1" t="s">
        <v>93</v>
      </c>
      <c r="Q210"/>
      <c r="R210" s="136"/>
    </row>
    <row r="211" spans="1:18" ht="14">
      <c r="A211" s="158" t="s">
        <v>1391</v>
      </c>
      <c r="B211" s="1" t="s">
        <v>1104</v>
      </c>
      <c r="C211" s="1" t="s">
        <v>139</v>
      </c>
      <c r="D211" s="1" t="s">
        <v>1105</v>
      </c>
      <c r="E211" s="1" t="s">
        <v>620</v>
      </c>
      <c r="F211" s="1" t="s">
        <v>405</v>
      </c>
      <c r="G211" s="1" t="s">
        <v>405</v>
      </c>
      <c r="H211" s="1" t="str">
        <f t="shared" si="6"/>
        <v>CHD-I-DSE-2045</v>
      </c>
      <c r="I211" s="1" t="str">
        <f t="shared" si="7"/>
        <v>CHD-I-DSE-2045</v>
      </c>
      <c r="J211" s="1">
        <v>1</v>
      </c>
      <c r="K211" s="207">
        <v>1737</v>
      </c>
      <c r="L211" s="136">
        <v>483220</v>
      </c>
      <c r="M211" s="138">
        <v>17200</v>
      </c>
      <c r="N211" s="140" t="s">
        <v>621</v>
      </c>
      <c r="O211" s="1" t="s">
        <v>703</v>
      </c>
      <c r="Q211"/>
      <c r="R211" s="136"/>
    </row>
    <row r="212" spans="1:18" ht="14">
      <c r="A212" s="158" t="s">
        <v>1392</v>
      </c>
      <c r="B212" s="1" t="s">
        <v>1104</v>
      </c>
      <c r="C212" s="1" t="s">
        <v>701</v>
      </c>
      <c r="D212" s="1" t="s">
        <v>1106</v>
      </c>
      <c r="E212" s="1" t="s">
        <v>740</v>
      </c>
      <c r="F212" s="1" t="s">
        <v>418</v>
      </c>
      <c r="G212" s="1" t="s">
        <v>418</v>
      </c>
      <c r="H212" s="1" t="str">
        <f t="shared" si="6"/>
        <v>ES28600-25 6.1</v>
      </c>
      <c r="I212" s="1" t="str">
        <f t="shared" si="7"/>
        <v>ES28600-25 6.1</v>
      </c>
      <c r="J212" s="1">
        <v>5</v>
      </c>
      <c r="K212" s="207">
        <v>9286</v>
      </c>
      <c r="L212" s="136">
        <v>950450</v>
      </c>
      <c r="M212" s="138" t="s">
        <v>621</v>
      </c>
      <c r="N212" s="140" t="s">
        <v>621</v>
      </c>
      <c r="O212" s="1" t="s">
        <v>703</v>
      </c>
      <c r="Q212"/>
      <c r="R212" s="136"/>
    </row>
    <row r="213" spans="1:18" ht="14">
      <c r="A213" s="158" t="s">
        <v>1107</v>
      </c>
      <c r="B213" s="1" t="s">
        <v>1104</v>
      </c>
      <c r="C213" s="1" t="s">
        <v>701</v>
      </c>
      <c r="D213" s="1" t="s">
        <v>1108</v>
      </c>
      <c r="E213" s="1" t="s">
        <v>740</v>
      </c>
      <c r="F213" s="1" t="s">
        <v>419</v>
      </c>
      <c r="G213" s="1" t="s">
        <v>419</v>
      </c>
      <c r="H213" s="1" t="str">
        <f t="shared" si="6"/>
        <v>ES28600-25 6.2.4</v>
      </c>
      <c r="I213" s="1" t="str">
        <f t="shared" si="7"/>
        <v>ES28600-25 6.2.4</v>
      </c>
      <c r="J213" s="1">
        <v>1</v>
      </c>
      <c r="K213" s="207">
        <v>73931</v>
      </c>
      <c r="L213" s="136">
        <v>8163385</v>
      </c>
      <c r="M213" s="138" t="s">
        <v>621</v>
      </c>
      <c r="N213" s="140" t="s">
        <v>621</v>
      </c>
      <c r="O213" s="1" t="s">
        <v>703</v>
      </c>
      <c r="Q213"/>
      <c r="R213" s="136"/>
    </row>
    <row r="214" spans="1:18" ht="14">
      <c r="A214" s="158" t="s">
        <v>1109</v>
      </c>
      <c r="B214" s="1" t="s">
        <v>1104</v>
      </c>
      <c r="C214" s="1" t="s">
        <v>701</v>
      </c>
      <c r="D214" s="1" t="s">
        <v>1110</v>
      </c>
      <c r="E214" s="1" t="s">
        <v>740</v>
      </c>
      <c r="F214" s="1" t="s">
        <v>420</v>
      </c>
      <c r="G214" s="1" t="s">
        <v>420</v>
      </c>
      <c r="H214" s="1" t="str">
        <f t="shared" si="6"/>
        <v>ES28600-25 6.2.5</v>
      </c>
      <c r="I214" s="1" t="str">
        <f t="shared" si="7"/>
        <v>ES28600-25 6.2.5</v>
      </c>
      <c r="J214" s="1">
        <v>1</v>
      </c>
      <c r="K214" s="207">
        <v>61783</v>
      </c>
      <c r="L214" s="136">
        <v>9776530</v>
      </c>
      <c r="M214" s="138" t="s">
        <v>621</v>
      </c>
      <c r="N214" s="140" t="s">
        <v>621</v>
      </c>
      <c r="O214" s="1" t="s">
        <v>703</v>
      </c>
      <c r="Q214"/>
      <c r="R214" s="136"/>
    </row>
    <row r="215" spans="1:18" ht="14">
      <c r="A215" s="158" t="s">
        <v>1111</v>
      </c>
      <c r="B215" s="1" t="s">
        <v>1104</v>
      </c>
      <c r="C215" s="1" t="s">
        <v>701</v>
      </c>
      <c r="D215" s="1" t="s">
        <v>1112</v>
      </c>
      <c r="E215" s="1" t="s">
        <v>740</v>
      </c>
      <c r="F215" s="1" t="s">
        <v>421</v>
      </c>
      <c r="G215" s="1" t="s">
        <v>421</v>
      </c>
      <c r="H215" s="1" t="str">
        <f t="shared" si="6"/>
        <v>ES28600-26 6</v>
      </c>
      <c r="I215" s="1" t="str">
        <f t="shared" si="7"/>
        <v>ES28600-26 6</v>
      </c>
      <c r="J215" s="1">
        <v>1</v>
      </c>
      <c r="K215" s="207">
        <v>5295</v>
      </c>
      <c r="L215" s="136">
        <v>917850</v>
      </c>
      <c r="M215" s="138" t="s">
        <v>621</v>
      </c>
      <c r="N215" s="140" t="s">
        <v>621</v>
      </c>
      <c r="O215" s="1" t="s">
        <v>703</v>
      </c>
      <c r="Q215"/>
      <c r="R215" s="136"/>
    </row>
    <row r="216" spans="1:18" ht="25">
      <c r="A216" s="158" t="s">
        <v>1113</v>
      </c>
      <c r="B216" s="1" t="s">
        <v>1104</v>
      </c>
      <c r="C216" s="1" t="s">
        <v>701</v>
      </c>
      <c r="D216" s="1" t="s">
        <v>1114</v>
      </c>
      <c r="E216" s="1" t="s">
        <v>740</v>
      </c>
      <c r="F216" s="1" t="s">
        <v>422</v>
      </c>
      <c r="G216" s="1" t="s">
        <v>422</v>
      </c>
      <c r="H216" s="1" t="str">
        <f t="shared" si="6"/>
        <v>ES28600-26 7</v>
      </c>
      <c r="I216" s="1" t="str">
        <f t="shared" si="7"/>
        <v>ES28600-26 7</v>
      </c>
      <c r="J216" s="1">
        <v>1</v>
      </c>
      <c r="K216" s="207">
        <v>5295</v>
      </c>
      <c r="L216" s="136">
        <v>917850</v>
      </c>
      <c r="M216" s="138" t="s">
        <v>621</v>
      </c>
      <c r="N216" s="140" t="s">
        <v>621</v>
      </c>
      <c r="O216" s="1" t="s">
        <v>703</v>
      </c>
      <c r="Q216"/>
      <c r="R216" s="136"/>
    </row>
    <row r="217" spans="1:18" ht="25">
      <c r="A217" s="158" t="s">
        <v>1115</v>
      </c>
      <c r="B217" s="1" t="s">
        <v>1104</v>
      </c>
      <c r="C217" s="1" t="s">
        <v>139</v>
      </c>
      <c r="D217" s="1" t="s">
        <v>1116</v>
      </c>
      <c r="E217" s="1" t="s">
        <v>620</v>
      </c>
      <c r="F217" s="1" t="s">
        <v>423</v>
      </c>
      <c r="G217" s="1"/>
      <c r="H217" s="1" t="str">
        <f t="shared" si="6"/>
        <v>CHD-I-DSE-2070</v>
      </c>
      <c r="I217" s="1" t="str">
        <f t="shared" si="7"/>
        <v>CHD-I-DSE-2070</v>
      </c>
      <c r="J217" s="1">
        <v>1</v>
      </c>
      <c r="K217" s="207">
        <v>68580</v>
      </c>
      <c r="L217" s="136" t="s">
        <v>621</v>
      </c>
      <c r="M217" s="138" t="s">
        <v>621</v>
      </c>
      <c r="N217" s="140" t="s">
        <v>621</v>
      </c>
      <c r="O217" s="1" t="s">
        <v>460</v>
      </c>
      <c r="Q217"/>
      <c r="R217" s="136"/>
    </row>
    <row r="218" spans="1:18" ht="25">
      <c r="A218" s="158" t="s">
        <v>1117</v>
      </c>
      <c r="B218" s="1" t="s">
        <v>1104</v>
      </c>
      <c r="C218" s="1" t="s">
        <v>139</v>
      </c>
      <c r="D218" s="1" t="s">
        <v>1118</v>
      </c>
      <c r="E218" s="1" t="s">
        <v>620</v>
      </c>
      <c r="F218" s="1"/>
      <c r="G218" s="1"/>
      <c r="H218" s="1">
        <f t="shared" si="6"/>
        <v>0</v>
      </c>
      <c r="I218" s="1">
        <f t="shared" si="7"/>
        <v>0</v>
      </c>
      <c r="J218" s="1">
        <v>1</v>
      </c>
      <c r="K218" s="207">
        <v>63446</v>
      </c>
      <c r="L218" s="136" t="s">
        <v>621</v>
      </c>
      <c r="M218" s="138" t="s">
        <v>621</v>
      </c>
      <c r="N218" s="140" t="s">
        <v>621</v>
      </c>
      <c r="O218" s="1" t="s">
        <v>460</v>
      </c>
      <c r="Q218"/>
      <c r="R218" s="136"/>
    </row>
    <row r="219" spans="1:18" ht="25">
      <c r="A219" s="158" t="s">
        <v>1119</v>
      </c>
      <c r="B219" s="1" t="s">
        <v>1104</v>
      </c>
      <c r="C219" s="1" t="s">
        <v>139</v>
      </c>
      <c r="D219" s="1" t="s">
        <v>1120</v>
      </c>
      <c r="E219" s="1" t="s">
        <v>620</v>
      </c>
      <c r="F219" s="1" t="s">
        <v>423</v>
      </c>
      <c r="G219" s="1"/>
      <c r="H219" s="1" t="str">
        <f t="shared" si="6"/>
        <v>CHD-I-DSE-2070</v>
      </c>
      <c r="I219" s="1" t="str">
        <f t="shared" si="7"/>
        <v>CHD-I-DSE-2070</v>
      </c>
      <c r="J219" s="1">
        <v>1</v>
      </c>
      <c r="K219" s="207">
        <v>149136</v>
      </c>
      <c r="L219" s="136" t="s">
        <v>621</v>
      </c>
      <c r="M219" s="138" t="s">
        <v>621</v>
      </c>
      <c r="N219" s="140" t="s">
        <v>621</v>
      </c>
      <c r="O219" s="1" t="s">
        <v>460</v>
      </c>
      <c r="Q219"/>
      <c r="R219" s="136"/>
    </row>
    <row r="220" spans="1:18" ht="14">
      <c r="A220" s="158" t="s">
        <v>1121</v>
      </c>
      <c r="B220" s="1" t="s">
        <v>1104</v>
      </c>
      <c r="C220" s="1" t="s">
        <v>784</v>
      </c>
      <c r="D220" s="1" t="s">
        <v>1122</v>
      </c>
      <c r="E220" s="1" t="s">
        <v>1041</v>
      </c>
      <c r="F220" s="1"/>
      <c r="G220" s="1"/>
      <c r="H220" s="1">
        <f t="shared" si="6"/>
        <v>0</v>
      </c>
      <c r="I220" s="1">
        <f t="shared" si="7"/>
        <v>0</v>
      </c>
      <c r="J220" s="1">
        <v>1</v>
      </c>
      <c r="K220" s="207">
        <v>81914</v>
      </c>
      <c r="L220" s="136" t="s">
        <v>621</v>
      </c>
      <c r="M220" s="138" t="s">
        <v>621</v>
      </c>
      <c r="N220" s="140" t="s">
        <v>621</v>
      </c>
      <c r="O220" s="1" t="s">
        <v>460</v>
      </c>
      <c r="Q220"/>
      <c r="R220" s="136"/>
    </row>
    <row r="221" spans="1:18" ht="25">
      <c r="A221" s="158" t="s">
        <v>1123</v>
      </c>
      <c r="B221" s="1" t="s">
        <v>1124</v>
      </c>
      <c r="C221" s="1" t="s">
        <v>701</v>
      </c>
      <c r="D221" s="1" t="s">
        <v>1125</v>
      </c>
      <c r="E221" s="1" t="s">
        <v>620</v>
      </c>
      <c r="F221" s="1" t="s">
        <v>424</v>
      </c>
      <c r="G221" s="1" t="s">
        <v>424</v>
      </c>
      <c r="H221" s="1" t="str">
        <f t="shared" si="6"/>
        <v>CHD-I-DSE-2038</v>
      </c>
      <c r="I221" s="1" t="str">
        <f t="shared" si="7"/>
        <v>CHD-I-DSE-2038</v>
      </c>
      <c r="J221" s="1">
        <v>1</v>
      </c>
      <c r="K221" s="207">
        <v>87450</v>
      </c>
      <c r="L221" s="136">
        <v>6982400</v>
      </c>
      <c r="M221" s="138" t="s">
        <v>621</v>
      </c>
      <c r="N221" s="140" t="s">
        <v>621</v>
      </c>
      <c r="O221" s="1" t="s">
        <v>703</v>
      </c>
      <c r="Q221"/>
      <c r="R221" s="136"/>
    </row>
    <row r="222" spans="1:18" ht="14">
      <c r="A222" s="158" t="s">
        <v>1126</v>
      </c>
      <c r="B222" s="1" t="s">
        <v>1124</v>
      </c>
      <c r="C222" s="1" t="s">
        <v>139</v>
      </c>
      <c r="D222" s="1" t="s">
        <v>1127</v>
      </c>
      <c r="E222" s="1" t="s">
        <v>620</v>
      </c>
      <c r="F222" s="1" t="s">
        <v>397</v>
      </c>
      <c r="G222" s="1" t="s">
        <v>397</v>
      </c>
      <c r="H222" s="1" t="str">
        <f t="shared" si="6"/>
        <v>CHD-I-DSE-2043</v>
      </c>
      <c r="I222" s="1" t="str">
        <f t="shared" si="7"/>
        <v>CHD-I-DSE-2043</v>
      </c>
      <c r="J222" s="1">
        <v>1</v>
      </c>
      <c r="K222" s="207">
        <v>769</v>
      </c>
      <c r="L222" s="136">
        <v>261840</v>
      </c>
      <c r="M222" s="138">
        <v>6600</v>
      </c>
      <c r="N222" s="140" t="s">
        <v>621</v>
      </c>
      <c r="O222" s="1" t="s">
        <v>703</v>
      </c>
      <c r="Q222"/>
      <c r="R222" s="136"/>
    </row>
    <row r="223" spans="1:18" ht="25">
      <c r="A223" s="158" t="s">
        <v>1393</v>
      </c>
      <c r="B223" s="1" t="s">
        <v>1128</v>
      </c>
      <c r="C223" s="1" t="s">
        <v>701</v>
      </c>
      <c r="D223" s="1" t="s">
        <v>1129</v>
      </c>
      <c r="E223" s="1" t="s">
        <v>620</v>
      </c>
      <c r="F223" s="1" t="s">
        <v>425</v>
      </c>
      <c r="G223" s="1" t="s">
        <v>425</v>
      </c>
      <c r="H223" s="1" t="str">
        <f t="shared" si="6"/>
        <v>CHD-I-DSE-2037</v>
      </c>
      <c r="I223" s="1" t="str">
        <f t="shared" si="7"/>
        <v>CHD-I-DSE-2037</v>
      </c>
      <c r="J223" s="1">
        <v>2</v>
      </c>
      <c r="K223" s="207">
        <v>115255</v>
      </c>
      <c r="L223" s="136">
        <v>25480488</v>
      </c>
      <c r="M223" s="138" t="s">
        <v>621</v>
      </c>
      <c r="N223" s="140" t="s">
        <v>621</v>
      </c>
      <c r="O223" s="1" t="s">
        <v>703</v>
      </c>
      <c r="Q223"/>
      <c r="R223" s="136"/>
    </row>
    <row r="224" spans="1:18" ht="14">
      <c r="A224" s="158" t="s">
        <v>1130</v>
      </c>
      <c r="B224" s="1" t="s">
        <v>1128</v>
      </c>
      <c r="C224" s="1" t="s">
        <v>701</v>
      </c>
      <c r="D224" s="1" t="s">
        <v>1131</v>
      </c>
      <c r="E224" s="1" t="s">
        <v>530</v>
      </c>
      <c r="F224" s="1" t="s">
        <v>426</v>
      </c>
      <c r="G224" s="1" t="s">
        <v>426</v>
      </c>
      <c r="H224" s="1" t="str">
        <f t="shared" si="6"/>
        <v>GMW14566</v>
      </c>
      <c r="I224" s="1" t="str">
        <f t="shared" si="7"/>
        <v>GMW14566</v>
      </c>
      <c r="J224" s="1">
        <v>2</v>
      </c>
      <c r="K224" s="207">
        <v>110380</v>
      </c>
      <c r="L224" s="136">
        <v>24857643</v>
      </c>
      <c r="M224" s="138" t="s">
        <v>621</v>
      </c>
      <c r="N224" s="140" t="s">
        <v>621</v>
      </c>
      <c r="O224" s="1" t="s">
        <v>703</v>
      </c>
      <c r="Q224"/>
      <c r="R224" s="136"/>
    </row>
    <row r="225" spans="1:18" ht="14">
      <c r="A225" s="158" t="s">
        <v>1132</v>
      </c>
      <c r="B225" s="1" t="s">
        <v>1128</v>
      </c>
      <c r="C225" s="1" t="s">
        <v>701</v>
      </c>
      <c r="D225" s="1" t="s">
        <v>1131</v>
      </c>
      <c r="E225" s="1" t="s">
        <v>740</v>
      </c>
      <c r="F225" s="1" t="s">
        <v>359</v>
      </c>
      <c r="G225" s="1" t="s">
        <v>359</v>
      </c>
      <c r="H225" s="1" t="str">
        <f t="shared" si="6"/>
        <v>ES28600-22</v>
      </c>
      <c r="I225" s="1" t="str">
        <f t="shared" si="7"/>
        <v>ES28600-22</v>
      </c>
      <c r="J225" s="1">
        <v>1</v>
      </c>
      <c r="K225" s="207">
        <v>100000</v>
      </c>
      <c r="L225" s="136">
        <v>20741201.655533351</v>
      </c>
      <c r="M225" s="138" t="s">
        <v>621</v>
      </c>
      <c r="N225" s="140" t="s">
        <v>621</v>
      </c>
      <c r="O225" s="1" t="s">
        <v>703</v>
      </c>
      <c r="Q225"/>
      <c r="R225" s="136"/>
    </row>
    <row r="226" spans="1:18" ht="14">
      <c r="A226" s="158" t="s">
        <v>1133</v>
      </c>
      <c r="B226" s="1" t="s">
        <v>1128</v>
      </c>
      <c r="C226" s="1" t="s">
        <v>701</v>
      </c>
      <c r="D226" s="1" t="s">
        <v>1134</v>
      </c>
      <c r="E226" s="1" t="s">
        <v>1135</v>
      </c>
      <c r="F226" s="1" t="s">
        <v>427</v>
      </c>
      <c r="G226" s="1"/>
      <c r="H226" s="1" t="str">
        <f t="shared" si="6"/>
        <v>ES4007</v>
      </c>
      <c r="I226" s="1" t="str">
        <f t="shared" si="7"/>
        <v>ES4007</v>
      </c>
      <c r="J226" s="1">
        <v>1</v>
      </c>
      <c r="K226" s="207">
        <v>190002</v>
      </c>
      <c r="L226" s="136" t="s">
        <v>621</v>
      </c>
      <c r="M226" s="138" t="s">
        <v>621</v>
      </c>
      <c r="N226" s="140" t="s">
        <v>621</v>
      </c>
      <c r="O226" s="1" t="s">
        <v>460</v>
      </c>
      <c r="Q226"/>
      <c r="R226" s="136"/>
    </row>
    <row r="227" spans="1:18" ht="14">
      <c r="A227" s="158" t="s">
        <v>1136</v>
      </c>
      <c r="B227" s="1" t="s">
        <v>1128</v>
      </c>
      <c r="C227" s="1" t="s">
        <v>701</v>
      </c>
      <c r="D227" s="1" t="s">
        <v>1137</v>
      </c>
      <c r="E227" s="1" t="s">
        <v>1135</v>
      </c>
      <c r="F227" s="1" t="s">
        <v>428</v>
      </c>
      <c r="G227" s="1"/>
      <c r="H227" s="1" t="str">
        <f t="shared" si="6"/>
        <v>ES4008</v>
      </c>
      <c r="I227" s="1" t="str">
        <f t="shared" si="7"/>
        <v>ES4008</v>
      </c>
      <c r="J227" s="1">
        <v>1</v>
      </c>
      <c r="K227" s="207">
        <v>81642</v>
      </c>
      <c r="L227" s="136" t="s">
        <v>621</v>
      </c>
      <c r="M227" s="138" t="s">
        <v>621</v>
      </c>
      <c r="N227" s="140" t="s">
        <v>621</v>
      </c>
      <c r="O227" s="1" t="s">
        <v>460</v>
      </c>
      <c r="Q227"/>
      <c r="R227" s="136"/>
    </row>
    <row r="228" spans="1:18" ht="25">
      <c r="A228" s="158" t="s">
        <v>1138</v>
      </c>
      <c r="B228" s="1" t="s">
        <v>1128</v>
      </c>
      <c r="C228" s="1" t="s">
        <v>701</v>
      </c>
      <c r="D228" s="1" t="s">
        <v>1139</v>
      </c>
      <c r="E228" s="1" t="s">
        <v>580</v>
      </c>
      <c r="F228" s="1" t="s">
        <v>429</v>
      </c>
      <c r="G228" s="1"/>
      <c r="H228" s="1" t="str">
        <f t="shared" si="6"/>
        <v>PF.90160 9.3.6</v>
      </c>
      <c r="I228" s="1" t="str">
        <f t="shared" si="7"/>
        <v>PF.90160 9.3.6</v>
      </c>
      <c r="J228" s="1">
        <v>2</v>
      </c>
      <c r="K228" s="207">
        <v>407732</v>
      </c>
      <c r="L228" s="136" t="s">
        <v>621</v>
      </c>
      <c r="M228" s="138" t="s">
        <v>621</v>
      </c>
      <c r="N228" s="140" t="s">
        <v>621</v>
      </c>
      <c r="O228" s="1" t="s">
        <v>460</v>
      </c>
      <c r="Q228"/>
      <c r="R228" s="136"/>
    </row>
    <row r="229" spans="1:18" ht="14">
      <c r="A229" s="158" t="s">
        <v>1394</v>
      </c>
      <c r="B229" s="1" t="s">
        <v>1140</v>
      </c>
      <c r="C229" s="1" t="s">
        <v>701</v>
      </c>
      <c r="D229" s="1" t="s">
        <v>1141</v>
      </c>
      <c r="E229" s="1" t="s">
        <v>740</v>
      </c>
      <c r="F229" s="1" t="s">
        <v>430</v>
      </c>
      <c r="G229" s="1" t="s">
        <v>430</v>
      </c>
      <c r="H229" s="1" t="str">
        <f t="shared" si="6"/>
        <v>ES28600-09 6.7</v>
      </c>
      <c r="I229" s="1" t="str">
        <f t="shared" si="7"/>
        <v>ES28600-09 6.7</v>
      </c>
      <c r="J229" s="1">
        <v>1</v>
      </c>
      <c r="K229" s="207">
        <v>38744</v>
      </c>
      <c r="L229" s="136">
        <v>5771159.7988457102</v>
      </c>
      <c r="M229" s="138">
        <v>257400</v>
      </c>
      <c r="N229" s="140" t="s">
        <v>621</v>
      </c>
      <c r="O229" s="1" t="s">
        <v>703</v>
      </c>
      <c r="Q229"/>
      <c r="R229" s="136"/>
    </row>
    <row r="230" spans="1:18" ht="62.5">
      <c r="A230" s="158" t="s">
        <v>1142</v>
      </c>
      <c r="B230" s="1" t="s">
        <v>1140</v>
      </c>
      <c r="C230" s="1" t="s">
        <v>701</v>
      </c>
      <c r="D230" s="1" t="s">
        <v>1143</v>
      </c>
      <c r="E230" s="1" t="s">
        <v>914</v>
      </c>
      <c r="F230" s="1" t="s">
        <v>177</v>
      </c>
      <c r="G230" s="1"/>
      <c r="H230" s="1" t="str">
        <f t="shared" si="6"/>
        <v>Non-standard</v>
      </c>
      <c r="I230" s="1" t="str">
        <f t="shared" si="7"/>
        <v>Non-standard</v>
      </c>
      <c r="J230" s="1">
        <v>2</v>
      </c>
      <c r="K230" s="207">
        <v>218725</v>
      </c>
      <c r="L230" s="136">
        <v>24250283.33333334</v>
      </c>
      <c r="M230" s="138">
        <v>1409833.333333333</v>
      </c>
      <c r="N230" s="140" t="s">
        <v>621</v>
      </c>
      <c r="O230" s="1" t="s">
        <v>703</v>
      </c>
      <c r="Q230"/>
      <c r="R230" s="136"/>
    </row>
    <row r="231" spans="1:18" ht="62.5">
      <c r="A231" s="158" t="s">
        <v>1144</v>
      </c>
      <c r="B231" s="1" t="s">
        <v>1140</v>
      </c>
      <c r="C231" s="1" t="s">
        <v>701</v>
      </c>
      <c r="D231" s="1" t="s">
        <v>1145</v>
      </c>
      <c r="E231" s="1" t="s">
        <v>914</v>
      </c>
      <c r="F231" s="1" t="s">
        <v>177</v>
      </c>
      <c r="G231" s="1"/>
      <c r="H231" s="1" t="str">
        <f t="shared" si="6"/>
        <v>Non-standard</v>
      </c>
      <c r="I231" s="1" t="str">
        <f t="shared" si="7"/>
        <v>Non-standard</v>
      </c>
      <c r="J231" s="1">
        <v>2</v>
      </c>
      <c r="K231" s="207">
        <v>118528</v>
      </c>
      <c r="L231" s="136">
        <v>12875203.33333333</v>
      </c>
      <c r="M231" s="138">
        <v>734433.33333333326</v>
      </c>
      <c r="N231" s="140" t="s">
        <v>621</v>
      </c>
      <c r="O231" s="1" t="s">
        <v>703</v>
      </c>
      <c r="Q231"/>
      <c r="R231" s="136"/>
    </row>
    <row r="232" spans="1:18" ht="62.5">
      <c r="A232" s="158" t="s">
        <v>1146</v>
      </c>
      <c r="B232" s="1" t="s">
        <v>1140</v>
      </c>
      <c r="C232" s="1" t="s">
        <v>701</v>
      </c>
      <c r="D232" s="1" t="s">
        <v>1147</v>
      </c>
      <c r="E232" s="1" t="s">
        <v>914</v>
      </c>
      <c r="F232" s="1" t="s">
        <v>177</v>
      </c>
      <c r="G232" s="1"/>
      <c r="H232" s="1" t="str">
        <f t="shared" si="6"/>
        <v>Non-standard</v>
      </c>
      <c r="I232" s="1" t="str">
        <f t="shared" si="7"/>
        <v>Non-standard</v>
      </c>
      <c r="J232" s="1">
        <v>2</v>
      </c>
      <c r="K232" s="207">
        <v>178370</v>
      </c>
      <c r="L232" s="136">
        <v>19660056.66666666</v>
      </c>
      <c r="M232" s="138">
        <v>1137766.666666667</v>
      </c>
      <c r="N232" s="140" t="s">
        <v>621</v>
      </c>
      <c r="O232" s="1" t="s">
        <v>703</v>
      </c>
      <c r="Q232"/>
      <c r="R232" s="136"/>
    </row>
    <row r="233" spans="1:18" ht="62.5">
      <c r="A233" s="158" t="s">
        <v>1148</v>
      </c>
      <c r="B233" s="1" t="s">
        <v>1140</v>
      </c>
      <c r="C233" s="1" t="s">
        <v>701</v>
      </c>
      <c r="D233" s="1" t="s">
        <v>1149</v>
      </c>
      <c r="E233" s="1" t="s">
        <v>914</v>
      </c>
      <c r="F233" s="1" t="s">
        <v>177</v>
      </c>
      <c r="G233" s="1"/>
      <c r="H233" s="1" t="str">
        <f t="shared" si="6"/>
        <v>Non-standard</v>
      </c>
      <c r="I233" s="1" t="str">
        <f t="shared" si="7"/>
        <v>Non-standard</v>
      </c>
      <c r="J233" s="1">
        <v>2</v>
      </c>
      <c r="K233" s="207">
        <v>178370</v>
      </c>
      <c r="L233" s="136">
        <v>19660056.66666666</v>
      </c>
      <c r="M233" s="138">
        <v>1137766.666666667</v>
      </c>
      <c r="N233" s="140" t="s">
        <v>621</v>
      </c>
      <c r="O233" s="1" t="s">
        <v>703</v>
      </c>
      <c r="Q233"/>
      <c r="R233" s="136"/>
    </row>
    <row r="234" spans="1:18" ht="62.5">
      <c r="A234" s="158" t="s">
        <v>1150</v>
      </c>
      <c r="B234" s="1" t="s">
        <v>1140</v>
      </c>
      <c r="C234" s="1" t="s">
        <v>701</v>
      </c>
      <c r="D234" s="1" t="s">
        <v>1143</v>
      </c>
      <c r="E234" s="1" t="s">
        <v>587</v>
      </c>
      <c r="F234" s="1" t="s">
        <v>177</v>
      </c>
      <c r="G234" s="1"/>
      <c r="H234" s="1" t="str">
        <f t="shared" si="6"/>
        <v>Non-standard</v>
      </c>
      <c r="I234" s="1" t="str">
        <f t="shared" si="7"/>
        <v>Non-standard</v>
      </c>
      <c r="J234" s="1">
        <v>2</v>
      </c>
      <c r="K234" s="207">
        <v>218725</v>
      </c>
      <c r="L234" s="136">
        <v>24250283.33333334</v>
      </c>
      <c r="M234" s="138">
        <v>1409833.333333333</v>
      </c>
      <c r="N234" s="140" t="s">
        <v>621</v>
      </c>
      <c r="O234" s="1" t="s">
        <v>703</v>
      </c>
      <c r="Q234"/>
      <c r="R234" s="136"/>
    </row>
    <row r="235" spans="1:18" ht="62.5">
      <c r="A235" s="158" t="s">
        <v>1151</v>
      </c>
      <c r="B235" s="1" t="s">
        <v>1140</v>
      </c>
      <c r="C235" s="1" t="s">
        <v>701</v>
      </c>
      <c r="D235" s="1" t="s">
        <v>1145</v>
      </c>
      <c r="E235" s="1" t="s">
        <v>587</v>
      </c>
      <c r="F235" s="1" t="s">
        <v>177</v>
      </c>
      <c r="G235" s="1"/>
      <c r="H235" s="1" t="str">
        <f t="shared" si="6"/>
        <v>Non-standard</v>
      </c>
      <c r="I235" s="1" t="str">
        <f t="shared" si="7"/>
        <v>Non-standard</v>
      </c>
      <c r="J235" s="1">
        <v>2</v>
      </c>
      <c r="K235" s="207">
        <v>118528</v>
      </c>
      <c r="L235" s="136">
        <v>12875203.33333333</v>
      </c>
      <c r="M235" s="138">
        <v>734433.33333333326</v>
      </c>
      <c r="N235" s="140" t="s">
        <v>621</v>
      </c>
      <c r="O235" s="1" t="s">
        <v>703</v>
      </c>
      <c r="Q235"/>
      <c r="R235" s="136"/>
    </row>
    <row r="236" spans="1:18" ht="62.5">
      <c r="A236" s="158" t="s">
        <v>1152</v>
      </c>
      <c r="B236" s="1" t="s">
        <v>1140</v>
      </c>
      <c r="C236" s="1" t="s">
        <v>701</v>
      </c>
      <c r="D236" s="1" t="s">
        <v>1147</v>
      </c>
      <c r="E236" s="1" t="s">
        <v>587</v>
      </c>
      <c r="F236" s="1" t="s">
        <v>177</v>
      </c>
      <c r="G236" s="1"/>
      <c r="H236" s="1" t="str">
        <f t="shared" si="6"/>
        <v>Non-standard</v>
      </c>
      <c r="I236" s="1" t="str">
        <f t="shared" si="7"/>
        <v>Non-standard</v>
      </c>
      <c r="J236" s="1">
        <v>2</v>
      </c>
      <c r="K236" s="207">
        <v>178370</v>
      </c>
      <c r="L236" s="136">
        <v>19660056.66666666</v>
      </c>
      <c r="M236" s="138">
        <v>1137766.666666667</v>
      </c>
      <c r="N236" s="140" t="s">
        <v>621</v>
      </c>
      <c r="O236" s="1" t="s">
        <v>703</v>
      </c>
      <c r="Q236"/>
      <c r="R236" s="136"/>
    </row>
    <row r="237" spans="1:18" ht="62.5">
      <c r="A237" s="158" t="s">
        <v>1153</v>
      </c>
      <c r="B237" s="1" t="s">
        <v>1140</v>
      </c>
      <c r="C237" s="1" t="s">
        <v>701</v>
      </c>
      <c r="D237" s="1" t="s">
        <v>1149</v>
      </c>
      <c r="E237" s="1" t="s">
        <v>587</v>
      </c>
      <c r="F237" s="1" t="s">
        <v>177</v>
      </c>
      <c r="G237" s="1"/>
      <c r="H237" s="1" t="str">
        <f t="shared" si="6"/>
        <v>Non-standard</v>
      </c>
      <c r="I237" s="1" t="str">
        <f t="shared" si="7"/>
        <v>Non-standard</v>
      </c>
      <c r="J237" s="1">
        <v>2</v>
      </c>
      <c r="K237" s="207">
        <v>178370</v>
      </c>
      <c r="L237" s="136">
        <v>19660056.66666666</v>
      </c>
      <c r="M237" s="138">
        <v>1137766.666666667</v>
      </c>
      <c r="N237" s="140" t="s">
        <v>621</v>
      </c>
      <c r="O237" s="1" t="s">
        <v>703</v>
      </c>
      <c r="Q237"/>
      <c r="R237" s="136"/>
    </row>
    <row r="238" spans="1:18" ht="14">
      <c r="A238" s="158" t="s">
        <v>1154</v>
      </c>
      <c r="B238" s="1" t="s">
        <v>1140</v>
      </c>
      <c r="C238" s="1" t="s">
        <v>701</v>
      </c>
      <c r="D238" s="1" t="s">
        <v>1155</v>
      </c>
      <c r="E238" s="1" t="s">
        <v>740</v>
      </c>
      <c r="F238" s="1" t="s">
        <v>431</v>
      </c>
      <c r="G238" s="1" t="s">
        <v>431</v>
      </c>
      <c r="H238" s="1" t="str">
        <f t="shared" si="6"/>
        <v>ES28530-01 4.3.2</v>
      </c>
      <c r="I238" s="1" t="str">
        <f t="shared" si="7"/>
        <v>ES28530-01 4.3.2</v>
      </c>
      <c r="J238" s="1">
        <v>1</v>
      </c>
      <c r="K238" s="207">
        <v>81806</v>
      </c>
      <c r="L238" s="136">
        <v>11261325.418795809</v>
      </c>
      <c r="M238" s="138">
        <v>546700</v>
      </c>
      <c r="N238" s="140" t="s">
        <v>621</v>
      </c>
      <c r="O238" s="1" t="s">
        <v>703</v>
      </c>
      <c r="Q238"/>
      <c r="R238" s="136"/>
    </row>
    <row r="239" spans="1:18" ht="14">
      <c r="A239" s="158" t="s">
        <v>1156</v>
      </c>
      <c r="B239" s="1" t="s">
        <v>1140</v>
      </c>
      <c r="C239" s="1" t="s">
        <v>701</v>
      </c>
      <c r="D239" s="1" t="s">
        <v>1157</v>
      </c>
      <c r="E239" s="1" t="s">
        <v>740</v>
      </c>
      <c r="F239" s="1" t="s">
        <v>432</v>
      </c>
      <c r="G239" s="1" t="s">
        <v>432</v>
      </c>
      <c r="H239" s="1" t="str">
        <f t="shared" si="6"/>
        <v>ES28530-01 4.3.3</v>
      </c>
      <c r="I239" s="1" t="str">
        <f t="shared" si="7"/>
        <v>ES28530-01 4.3.3</v>
      </c>
      <c r="J239" s="1">
        <v>1</v>
      </c>
      <c r="K239" s="207">
        <v>11174</v>
      </c>
      <c r="L239" s="136">
        <v>2281661.1529629412</v>
      </c>
      <c r="M239" s="138">
        <v>72050</v>
      </c>
      <c r="N239" s="140" t="s">
        <v>621</v>
      </c>
      <c r="O239" s="1" t="s">
        <v>703</v>
      </c>
      <c r="Q239"/>
      <c r="R239" s="136"/>
    </row>
    <row r="240" spans="1:18" ht="25">
      <c r="A240" s="158" t="s">
        <v>1158</v>
      </c>
      <c r="B240" s="1" t="s">
        <v>1140</v>
      </c>
      <c r="C240" s="1" t="s">
        <v>701</v>
      </c>
      <c r="D240" s="1" t="s">
        <v>1159</v>
      </c>
      <c r="E240" s="1" t="s">
        <v>740</v>
      </c>
      <c r="F240" s="1" t="s">
        <v>433</v>
      </c>
      <c r="G240" s="1" t="s">
        <v>433</v>
      </c>
      <c r="H240" s="1" t="str">
        <f t="shared" si="6"/>
        <v>ES28530-02 4.3.3
ES28990-01 4.3.3</v>
      </c>
      <c r="I240" s="1" t="str">
        <f t="shared" si="7"/>
        <v>ES28530-02 4.3.3
ES28990-01 4.3.3</v>
      </c>
      <c r="J240" s="1">
        <v>1</v>
      </c>
      <c r="K240" s="207">
        <v>11174</v>
      </c>
      <c r="L240" s="136">
        <v>2281661.1529629412</v>
      </c>
      <c r="M240" s="138">
        <v>72050</v>
      </c>
      <c r="N240" s="140" t="s">
        <v>621</v>
      </c>
      <c r="O240" s="1" t="s">
        <v>703</v>
      </c>
      <c r="Q240"/>
      <c r="R240" s="136"/>
    </row>
    <row r="241" spans="1:18" ht="25">
      <c r="A241" s="158" t="s">
        <v>1160</v>
      </c>
      <c r="B241" s="1" t="s">
        <v>1140</v>
      </c>
      <c r="C241" s="1" t="s">
        <v>701</v>
      </c>
      <c r="D241" s="1" t="s">
        <v>1161</v>
      </c>
      <c r="E241" s="1" t="s">
        <v>740</v>
      </c>
      <c r="F241" s="1" t="s">
        <v>434</v>
      </c>
      <c r="G241" s="1" t="s">
        <v>434</v>
      </c>
      <c r="H241" s="1" t="str">
        <f t="shared" si="6"/>
        <v>ES28530-02 4.3.2
ES28990-01 4.3.2</v>
      </c>
      <c r="I241" s="1" t="str">
        <f t="shared" si="7"/>
        <v>ES28530-02 4.3.2
ES28990-01 4.3.2</v>
      </c>
      <c r="J241" s="1">
        <v>1</v>
      </c>
      <c r="K241" s="207">
        <v>81806</v>
      </c>
      <c r="L241" s="136">
        <v>11261325.418795809</v>
      </c>
      <c r="M241" s="138">
        <v>546700</v>
      </c>
      <c r="N241" s="140" t="s">
        <v>621</v>
      </c>
      <c r="O241" s="1" t="s">
        <v>703</v>
      </c>
      <c r="Q241"/>
      <c r="R241" s="136"/>
    </row>
    <row r="242" spans="1:18" ht="25">
      <c r="A242" s="158" t="s">
        <v>1162</v>
      </c>
      <c r="B242" s="1" t="s">
        <v>1140</v>
      </c>
      <c r="C242" s="1" t="s">
        <v>701</v>
      </c>
      <c r="D242" s="1" t="s">
        <v>1163</v>
      </c>
      <c r="E242" s="1" t="s">
        <v>620</v>
      </c>
      <c r="F242" s="1" t="s">
        <v>435</v>
      </c>
      <c r="G242" s="1" t="s">
        <v>435</v>
      </c>
      <c r="H242" s="1" t="str">
        <f t="shared" si="6"/>
        <v>CHD-I-DSE-2026</v>
      </c>
      <c r="I242" s="1" t="str">
        <f t="shared" si="7"/>
        <v>CHD-I-DSE-2026</v>
      </c>
      <c r="J242" s="1">
        <v>3</v>
      </c>
      <c r="K242" s="207">
        <v>91059</v>
      </c>
      <c r="L242" s="136">
        <v>8814970</v>
      </c>
      <c r="M242" s="138">
        <v>513700</v>
      </c>
      <c r="N242" s="140" t="s">
        <v>621</v>
      </c>
      <c r="O242" s="1" t="s">
        <v>703</v>
      </c>
      <c r="Q242"/>
      <c r="R242" s="136"/>
    </row>
    <row r="243" spans="1:18" ht="25">
      <c r="A243" s="158" t="s">
        <v>1164</v>
      </c>
      <c r="B243" s="1" t="s">
        <v>1140</v>
      </c>
      <c r="C243" s="1" t="s">
        <v>701</v>
      </c>
      <c r="D243" s="1" t="s">
        <v>1165</v>
      </c>
      <c r="E243" s="1" t="s">
        <v>530</v>
      </c>
      <c r="F243" s="1" t="s">
        <v>436</v>
      </c>
      <c r="G243" s="1" t="s">
        <v>436</v>
      </c>
      <c r="H243" s="1" t="str">
        <f t="shared" si="6"/>
        <v>Converter Appendix C2 13Aug14 rev 1.0 3.2.4</v>
      </c>
      <c r="I243" s="1" t="str">
        <f t="shared" si="7"/>
        <v>Converter Appendix C2 13Aug14 rev 1.0 3.2.4</v>
      </c>
      <c r="J243" s="1">
        <v>2</v>
      </c>
      <c r="K243" s="207">
        <v>22156</v>
      </c>
      <c r="L243" s="136">
        <v>1806750</v>
      </c>
      <c r="M243" s="138">
        <v>89100</v>
      </c>
      <c r="N243" s="140" t="s">
        <v>621</v>
      </c>
      <c r="O243" s="1" t="s">
        <v>703</v>
      </c>
      <c r="Q243"/>
      <c r="R243" s="136"/>
    </row>
    <row r="244" spans="1:18" ht="25">
      <c r="A244" s="158" t="s">
        <v>1166</v>
      </c>
      <c r="B244" s="1" t="s">
        <v>1140</v>
      </c>
      <c r="C244" s="1" t="s">
        <v>701</v>
      </c>
      <c r="D244" s="1" t="s">
        <v>1167</v>
      </c>
      <c r="E244" s="1" t="s">
        <v>530</v>
      </c>
      <c r="F244" s="1" t="s">
        <v>437</v>
      </c>
      <c r="G244" s="1" t="s">
        <v>437</v>
      </c>
      <c r="H244" s="1" t="str">
        <f t="shared" si="6"/>
        <v>Converter Appendix C2 13Aug14 rev 1.0 3.2.3</v>
      </c>
      <c r="I244" s="1" t="str">
        <f t="shared" si="7"/>
        <v>Converter Appendix C2 13Aug14 rev 1.0 3.2.3</v>
      </c>
      <c r="J244" s="1">
        <v>2</v>
      </c>
      <c r="K244" s="207">
        <v>298590</v>
      </c>
      <c r="L244" s="136">
        <v>31784760</v>
      </c>
      <c r="M244" s="138">
        <v>1940400</v>
      </c>
      <c r="N244" s="140" t="s">
        <v>621</v>
      </c>
      <c r="O244" s="1" t="s">
        <v>703</v>
      </c>
      <c r="Q244"/>
      <c r="R244" s="136"/>
    </row>
    <row r="245" spans="1:18" ht="25">
      <c r="A245" s="158" t="s">
        <v>1168</v>
      </c>
      <c r="B245" s="1" t="s">
        <v>1140</v>
      </c>
      <c r="C245" s="1" t="s">
        <v>701</v>
      </c>
      <c r="D245" s="1" t="s">
        <v>1163</v>
      </c>
      <c r="E245" s="1" t="s">
        <v>530</v>
      </c>
      <c r="F245" s="1" t="s">
        <v>438</v>
      </c>
      <c r="G245" s="1" t="s">
        <v>438</v>
      </c>
      <c r="H245" s="1" t="str">
        <f t="shared" si="6"/>
        <v>GMW14380-2011</v>
      </c>
      <c r="I245" s="1" t="str">
        <f t="shared" si="7"/>
        <v>GMW14380-2011</v>
      </c>
      <c r="J245" s="1">
        <v>6</v>
      </c>
      <c r="K245" s="207">
        <v>177465</v>
      </c>
      <c r="L245" s="136">
        <v>16454675</v>
      </c>
      <c r="M245" s="138">
        <v>992750</v>
      </c>
      <c r="N245" s="140" t="s">
        <v>621</v>
      </c>
      <c r="O245" s="1" t="s">
        <v>703</v>
      </c>
      <c r="Q245"/>
      <c r="R245" s="136"/>
    </row>
    <row r="246" spans="1:18" ht="14">
      <c r="A246" s="158" t="s">
        <v>1169</v>
      </c>
      <c r="B246" s="1" t="s">
        <v>1140</v>
      </c>
      <c r="C246" s="1" t="s">
        <v>701</v>
      </c>
      <c r="D246" s="1" t="s">
        <v>1170</v>
      </c>
      <c r="E246" s="1" t="s">
        <v>807</v>
      </c>
      <c r="F246" s="1" t="s">
        <v>439</v>
      </c>
      <c r="G246" s="1" t="s">
        <v>439</v>
      </c>
      <c r="H246" s="1" t="str">
        <f t="shared" si="6"/>
        <v>34-05-084</v>
      </c>
      <c r="I246" s="1" t="str">
        <f t="shared" si="7"/>
        <v>34-05-084</v>
      </c>
      <c r="J246" s="1">
        <v>2</v>
      </c>
      <c r="K246" s="207">
        <v>55387</v>
      </c>
      <c r="L246" s="136">
        <v>6733895</v>
      </c>
      <c r="M246" s="138">
        <v>365750</v>
      </c>
      <c r="N246" s="140" t="s">
        <v>621</v>
      </c>
      <c r="O246" s="1" t="s">
        <v>703</v>
      </c>
      <c r="Q246"/>
      <c r="R246" s="136"/>
    </row>
    <row r="247" spans="1:18" ht="14">
      <c r="A247" s="158" t="s">
        <v>1171</v>
      </c>
      <c r="B247" s="1" t="s">
        <v>1140</v>
      </c>
      <c r="C247" s="1" t="s">
        <v>701</v>
      </c>
      <c r="D247" s="1" t="s">
        <v>1172</v>
      </c>
      <c r="E247" s="1" t="s">
        <v>807</v>
      </c>
      <c r="F247" s="1" t="s">
        <v>439</v>
      </c>
      <c r="G247" s="1" t="s">
        <v>439</v>
      </c>
      <c r="H247" s="1" t="str">
        <f t="shared" si="6"/>
        <v>34-05-084</v>
      </c>
      <c r="I247" s="1" t="str">
        <f t="shared" si="7"/>
        <v>34-05-084</v>
      </c>
      <c r="J247" s="1">
        <v>2</v>
      </c>
      <c r="K247" s="207">
        <v>55387</v>
      </c>
      <c r="L247" s="136">
        <v>6733895</v>
      </c>
      <c r="M247" s="138">
        <v>365750</v>
      </c>
      <c r="N247" s="140" t="s">
        <v>621</v>
      </c>
      <c r="O247" s="1" t="s">
        <v>703</v>
      </c>
      <c r="Q247"/>
      <c r="R247" s="136"/>
    </row>
    <row r="248" spans="1:18" ht="25">
      <c r="A248" s="158" t="s">
        <v>1173</v>
      </c>
      <c r="B248" s="1" t="s">
        <v>1140</v>
      </c>
      <c r="C248" s="1" t="s">
        <v>701</v>
      </c>
      <c r="D248" s="1" t="s">
        <v>1174</v>
      </c>
      <c r="E248" s="1" t="s">
        <v>807</v>
      </c>
      <c r="F248" s="1" t="s">
        <v>440</v>
      </c>
      <c r="G248" s="1" t="s">
        <v>440</v>
      </c>
      <c r="H248" s="1" t="str">
        <f t="shared" si="6"/>
        <v>34-05-803/H-3.4</v>
      </c>
      <c r="I248" s="1" t="str">
        <f t="shared" si="7"/>
        <v>34-05-803/H-3.4</v>
      </c>
      <c r="J248" s="1">
        <v>2</v>
      </c>
      <c r="K248" s="207">
        <v>100767</v>
      </c>
      <c r="L248" s="136">
        <v>10571045</v>
      </c>
      <c r="M248" s="138">
        <v>613250</v>
      </c>
      <c r="N248" s="140" t="s">
        <v>621</v>
      </c>
      <c r="O248" s="1" t="s">
        <v>703</v>
      </c>
      <c r="Q248"/>
      <c r="R248" s="136"/>
    </row>
    <row r="249" spans="1:18" ht="14">
      <c r="A249" s="158" t="s">
        <v>1175</v>
      </c>
      <c r="B249" s="1" t="s">
        <v>1140</v>
      </c>
      <c r="C249" s="1" t="s">
        <v>701</v>
      </c>
      <c r="D249" s="1" t="s">
        <v>1176</v>
      </c>
      <c r="E249" s="1" t="s">
        <v>595</v>
      </c>
      <c r="F249" s="1" t="s">
        <v>441</v>
      </c>
      <c r="G249" s="1"/>
      <c r="H249" s="1" t="str">
        <f t="shared" si="6"/>
        <v>CETP 09.00-E-306</v>
      </c>
      <c r="I249" s="1" t="str">
        <f t="shared" si="7"/>
        <v>CETP 09.00-E-306</v>
      </c>
      <c r="J249" s="1">
        <v>2</v>
      </c>
      <c r="K249" s="207">
        <v>83576</v>
      </c>
      <c r="L249" s="136">
        <v>8473890</v>
      </c>
      <c r="M249" s="138">
        <v>491700</v>
      </c>
      <c r="N249" s="140" t="s">
        <v>621</v>
      </c>
      <c r="O249" s="1" t="s">
        <v>703</v>
      </c>
      <c r="Q249"/>
      <c r="R249" s="136"/>
    </row>
    <row r="250" spans="1:18" ht="25">
      <c r="A250" s="158" t="s">
        <v>1177</v>
      </c>
      <c r="B250" s="1" t="s">
        <v>1140</v>
      </c>
      <c r="C250" s="1" t="s">
        <v>701</v>
      </c>
      <c r="D250" s="1" t="s">
        <v>1178</v>
      </c>
      <c r="E250" s="1" t="s">
        <v>595</v>
      </c>
      <c r="F250" s="1" t="s">
        <v>442</v>
      </c>
      <c r="G250" s="1"/>
      <c r="H250" s="1" t="str">
        <f t="shared" si="6"/>
        <v>CETP 09.02-E-300</v>
      </c>
      <c r="I250" s="1" t="str">
        <f t="shared" si="7"/>
        <v>CETP 09.02-E-300</v>
      </c>
      <c r="J250" s="1">
        <v>1</v>
      </c>
      <c r="K250" s="207">
        <v>18377</v>
      </c>
      <c r="L250" s="136">
        <v>1384420</v>
      </c>
      <c r="M250" s="138">
        <v>55000</v>
      </c>
      <c r="N250" s="140" t="s">
        <v>621</v>
      </c>
      <c r="O250" s="1" t="s">
        <v>703</v>
      </c>
      <c r="Q250"/>
      <c r="R250" s="136"/>
    </row>
    <row r="251" spans="1:18" ht="14">
      <c r="A251" s="158" t="s">
        <v>1179</v>
      </c>
      <c r="B251" s="1" t="s">
        <v>1140</v>
      </c>
      <c r="C251" s="1" t="s">
        <v>701</v>
      </c>
      <c r="D251" s="1" t="s">
        <v>1180</v>
      </c>
      <c r="E251" s="1" t="s">
        <v>530</v>
      </c>
      <c r="F251" s="1" t="s">
        <v>443</v>
      </c>
      <c r="G251" s="1" t="s">
        <v>443</v>
      </c>
      <c r="H251" s="1" t="str">
        <f t="shared" si="6"/>
        <v>ITE-000458</v>
      </c>
      <c r="I251" s="1" t="str">
        <f t="shared" si="7"/>
        <v>ITE-000458</v>
      </c>
      <c r="J251" s="1">
        <v>1</v>
      </c>
      <c r="K251" s="207">
        <v>169544</v>
      </c>
      <c r="L251" s="136">
        <v>18602505</v>
      </c>
      <c r="M251" s="138">
        <v>1103850</v>
      </c>
      <c r="N251" s="140" t="s">
        <v>621</v>
      </c>
      <c r="O251" s="1" t="s">
        <v>703</v>
      </c>
      <c r="Q251"/>
      <c r="R251" s="136"/>
    </row>
    <row r="252" spans="1:18" ht="25">
      <c r="A252" s="158" t="s">
        <v>1181</v>
      </c>
      <c r="B252" s="1" t="s">
        <v>1140</v>
      </c>
      <c r="C252" s="1" t="s">
        <v>784</v>
      </c>
      <c r="D252" s="1" t="s">
        <v>1182</v>
      </c>
      <c r="E252" s="1" t="s">
        <v>620</v>
      </c>
      <c r="F252" s="1" t="s">
        <v>394</v>
      </c>
      <c r="G252" s="1"/>
      <c r="H252" s="1" t="str">
        <f t="shared" si="6"/>
        <v>CHD-I-DSE-2060</v>
      </c>
      <c r="I252" s="1" t="str">
        <f t="shared" si="7"/>
        <v>CHD-I-DSE-2060</v>
      </c>
      <c r="J252" s="1">
        <v>2</v>
      </c>
      <c r="K252" s="207">
        <v>81148</v>
      </c>
      <c r="L252" s="136">
        <v>8713620</v>
      </c>
      <c r="M252" s="138">
        <v>534600</v>
      </c>
      <c r="N252" s="140" t="s">
        <v>621</v>
      </c>
      <c r="O252" s="1" t="s">
        <v>703</v>
      </c>
      <c r="Q252"/>
      <c r="R252" s="136"/>
    </row>
    <row r="253" spans="1:18" ht="14">
      <c r="A253" s="158" t="s">
        <v>1183</v>
      </c>
      <c r="B253" s="1" t="s">
        <v>1140</v>
      </c>
      <c r="C253" s="1" t="s">
        <v>701</v>
      </c>
      <c r="D253" s="1" t="s">
        <v>1184</v>
      </c>
      <c r="E253" s="1" t="s">
        <v>580</v>
      </c>
      <c r="F253" s="1" t="s">
        <v>445</v>
      </c>
      <c r="G253" s="1"/>
      <c r="H253" s="1" t="str">
        <f t="shared" si="6"/>
        <v>PF.90160 9.7</v>
      </c>
      <c r="I253" s="1" t="str">
        <f t="shared" si="7"/>
        <v>PF.90160 9.7</v>
      </c>
      <c r="J253" s="1">
        <v>6</v>
      </c>
      <c r="K253" s="207">
        <v>351264</v>
      </c>
      <c r="L253" s="136">
        <v>35637990</v>
      </c>
      <c r="M253" s="138">
        <v>2161500</v>
      </c>
      <c r="N253" s="140" t="s">
        <v>621</v>
      </c>
      <c r="O253" s="1" t="s">
        <v>703</v>
      </c>
      <c r="Q253"/>
      <c r="R253" s="136"/>
    </row>
    <row r="254" spans="1:18" ht="14">
      <c r="A254" s="158" t="s">
        <v>1185</v>
      </c>
      <c r="B254" s="1" t="s">
        <v>1140</v>
      </c>
      <c r="C254" s="1" t="s">
        <v>701</v>
      </c>
      <c r="D254" s="1" t="s">
        <v>1186</v>
      </c>
      <c r="E254" s="1" t="s">
        <v>959</v>
      </c>
      <c r="F254" s="1"/>
      <c r="G254" s="1"/>
      <c r="H254" s="1">
        <f t="shared" si="6"/>
        <v>0</v>
      </c>
      <c r="I254" s="1">
        <f t="shared" si="7"/>
        <v>0</v>
      </c>
      <c r="J254" s="1">
        <v>1</v>
      </c>
      <c r="K254" s="207">
        <v>141503</v>
      </c>
      <c r="L254" s="136">
        <v>15924540</v>
      </c>
      <c r="M254" s="138">
        <v>917400</v>
      </c>
      <c r="N254" s="140" t="s">
        <v>621</v>
      </c>
      <c r="O254" s="1" t="s">
        <v>703</v>
      </c>
      <c r="Q254"/>
      <c r="R254" s="136"/>
    </row>
    <row r="255" spans="1:18" ht="14">
      <c r="A255" s="158" t="s">
        <v>1187</v>
      </c>
      <c r="B255" s="1" t="s">
        <v>1140</v>
      </c>
      <c r="C255" s="1" t="s">
        <v>701</v>
      </c>
      <c r="D255" s="1" t="s">
        <v>1188</v>
      </c>
      <c r="E255" s="1" t="s">
        <v>959</v>
      </c>
      <c r="F255" s="1"/>
      <c r="G255" s="1"/>
      <c r="H255" s="1">
        <f t="shared" si="6"/>
        <v>0</v>
      </c>
      <c r="I255" s="1">
        <f t="shared" si="7"/>
        <v>0</v>
      </c>
      <c r="J255" s="1">
        <v>3</v>
      </c>
      <c r="K255" s="207">
        <v>8112</v>
      </c>
      <c r="L255" s="136">
        <v>1209860</v>
      </c>
      <c r="M255" s="138">
        <v>50600</v>
      </c>
      <c r="N255" s="140" t="s">
        <v>621</v>
      </c>
      <c r="O255" s="1" t="s">
        <v>703</v>
      </c>
      <c r="Q255"/>
      <c r="R255" s="136"/>
    </row>
    <row r="256" spans="1:18" ht="14">
      <c r="A256" s="158" t="s">
        <v>1189</v>
      </c>
      <c r="B256" s="1" t="s">
        <v>1140</v>
      </c>
      <c r="C256" s="1" t="s">
        <v>701</v>
      </c>
      <c r="D256" s="1" t="s">
        <v>1190</v>
      </c>
      <c r="E256" s="1" t="s">
        <v>959</v>
      </c>
      <c r="F256" s="1"/>
      <c r="G256" s="1"/>
      <c r="H256" s="1">
        <f t="shared" si="6"/>
        <v>0</v>
      </c>
      <c r="I256" s="1">
        <f t="shared" si="7"/>
        <v>0</v>
      </c>
      <c r="J256" s="1">
        <v>1</v>
      </c>
      <c r="K256" s="207">
        <v>4524</v>
      </c>
      <c r="L256" s="136">
        <v>868780</v>
      </c>
      <c r="M256" s="138">
        <v>28600</v>
      </c>
      <c r="N256" s="140" t="s">
        <v>621</v>
      </c>
      <c r="O256" s="1" t="s">
        <v>703</v>
      </c>
      <c r="Q256"/>
      <c r="R256" s="136"/>
    </row>
    <row r="257" spans="1:18" ht="14">
      <c r="A257" s="158" t="s">
        <v>1191</v>
      </c>
      <c r="B257" s="1" t="s">
        <v>1140</v>
      </c>
      <c r="C257" s="1" t="s">
        <v>701</v>
      </c>
      <c r="D257" s="1" t="s">
        <v>1192</v>
      </c>
      <c r="E257" s="1" t="s">
        <v>959</v>
      </c>
      <c r="F257" s="1"/>
      <c r="G257" s="1"/>
      <c r="H257" s="1">
        <f t="shared" si="6"/>
        <v>0</v>
      </c>
      <c r="I257" s="1">
        <f t="shared" si="7"/>
        <v>0</v>
      </c>
      <c r="J257" s="1">
        <v>1</v>
      </c>
      <c r="K257" s="207">
        <v>94698</v>
      </c>
      <c r="L257" s="136">
        <v>10575065</v>
      </c>
      <c r="M257" s="138">
        <v>606650</v>
      </c>
      <c r="N257" s="140" t="s">
        <v>621</v>
      </c>
      <c r="O257" s="1" t="s">
        <v>703</v>
      </c>
      <c r="Q257"/>
      <c r="R257" s="136"/>
    </row>
    <row r="258" spans="1:18" ht="14">
      <c r="A258" s="158" t="s">
        <v>1193</v>
      </c>
      <c r="B258" s="1" t="s">
        <v>1140</v>
      </c>
      <c r="C258" s="1" t="s">
        <v>701</v>
      </c>
      <c r="D258" s="1" t="s">
        <v>1194</v>
      </c>
      <c r="E258" s="1" t="s">
        <v>595</v>
      </c>
      <c r="F258" s="1" t="s">
        <v>441</v>
      </c>
      <c r="G258" s="1"/>
      <c r="H258" s="1" t="str">
        <f t="shared" ref="H258:H264" si="8">F258</f>
        <v>CETP 09.00-E-306</v>
      </c>
      <c r="I258" s="1" t="str">
        <f t="shared" ref="I258:I264" si="9">F258</f>
        <v>CETP 09.00-E-306</v>
      </c>
      <c r="J258" s="1">
        <v>2</v>
      </c>
      <c r="K258" s="207">
        <v>332150</v>
      </c>
      <c r="L258" s="136">
        <v>35991130</v>
      </c>
      <c r="M258" s="138">
        <v>2163700</v>
      </c>
      <c r="N258" s="140" t="s">
        <v>621</v>
      </c>
      <c r="O258" s="1" t="s">
        <v>703</v>
      </c>
      <c r="Q258"/>
      <c r="R258" s="136"/>
    </row>
    <row r="259" spans="1:18" ht="14">
      <c r="A259" s="158" t="s">
        <v>1195</v>
      </c>
      <c r="B259" s="1" t="s">
        <v>1140</v>
      </c>
      <c r="C259" s="1" t="s">
        <v>701</v>
      </c>
      <c r="D259" s="1" t="s">
        <v>1196</v>
      </c>
      <c r="E259" s="1" t="s">
        <v>1197</v>
      </c>
      <c r="F259" s="1" t="s">
        <v>446</v>
      </c>
      <c r="G259" s="1"/>
      <c r="H259" s="1" t="str">
        <f t="shared" si="8"/>
        <v>Q/JL J163015-2015</v>
      </c>
      <c r="I259" s="1" t="str">
        <f t="shared" si="9"/>
        <v>Q/JL J163015-2015</v>
      </c>
      <c r="J259" s="1">
        <v>1</v>
      </c>
      <c r="K259" s="207">
        <v>19690</v>
      </c>
      <c r="L259" s="136">
        <v>1550940</v>
      </c>
      <c r="M259" s="138">
        <v>72600</v>
      </c>
      <c r="N259" s="140" t="s">
        <v>621</v>
      </c>
      <c r="O259" s="1" t="s">
        <v>703</v>
      </c>
      <c r="Q259"/>
      <c r="R259" s="136"/>
    </row>
    <row r="260" spans="1:18" ht="14">
      <c r="A260" s="158" t="s">
        <v>1198</v>
      </c>
      <c r="B260" s="1" t="s">
        <v>1140</v>
      </c>
      <c r="C260" s="1" t="s">
        <v>701</v>
      </c>
      <c r="D260" s="1" t="s">
        <v>1199</v>
      </c>
      <c r="E260" s="1" t="s">
        <v>1197</v>
      </c>
      <c r="F260" s="1" t="s">
        <v>446</v>
      </c>
      <c r="G260" s="1"/>
      <c r="H260" s="1" t="str">
        <f t="shared" si="8"/>
        <v>Q/JL J163015-2015</v>
      </c>
      <c r="I260" s="1" t="str">
        <f t="shared" si="9"/>
        <v>Q/JL J163015-2015</v>
      </c>
      <c r="J260" s="1">
        <v>1</v>
      </c>
      <c r="K260" s="207">
        <v>40168</v>
      </c>
      <c r="L260" s="136">
        <v>2237120</v>
      </c>
      <c r="M260" s="138">
        <v>110000</v>
      </c>
      <c r="N260" s="140" t="s">
        <v>621</v>
      </c>
      <c r="O260" s="1" t="s">
        <v>460</v>
      </c>
      <c r="Q260"/>
      <c r="R260" s="136"/>
    </row>
    <row r="261" spans="1:18" ht="50">
      <c r="A261" s="158" t="s">
        <v>1200</v>
      </c>
      <c r="B261" s="1" t="s">
        <v>1140</v>
      </c>
      <c r="C261" s="1" t="s">
        <v>701</v>
      </c>
      <c r="D261" s="1" t="s">
        <v>1201</v>
      </c>
      <c r="E261" s="1" t="s">
        <v>740</v>
      </c>
      <c r="F261" s="1" t="s">
        <v>447</v>
      </c>
      <c r="G261" s="1" t="s">
        <v>447</v>
      </c>
      <c r="H261" s="1" t="str">
        <f t="shared" si="8"/>
        <v xml:space="preserve">
ES28530-02 5.2
ES28990-01 5.2
</v>
      </c>
      <c r="I261" s="1" t="str">
        <f t="shared" si="9"/>
        <v xml:space="preserve">
ES28530-02 5.2
ES28990-01 5.2
</v>
      </c>
      <c r="J261" s="1">
        <v>1</v>
      </c>
      <c r="K261" s="207">
        <v>113174</v>
      </c>
      <c r="L261" s="136">
        <v>14844963.175604301</v>
      </c>
      <c r="M261" s="138" t="s">
        <v>621</v>
      </c>
      <c r="N261" s="140" t="s">
        <v>621</v>
      </c>
      <c r="O261" s="1" t="s">
        <v>703</v>
      </c>
      <c r="Q261"/>
      <c r="R261" s="136"/>
    </row>
    <row r="262" spans="1:18" ht="14">
      <c r="A262" s="158" t="s">
        <v>1395</v>
      </c>
      <c r="B262" s="1" t="s">
        <v>1140</v>
      </c>
      <c r="C262" s="1" t="s">
        <v>784</v>
      </c>
      <c r="D262" s="1" t="s">
        <v>1202</v>
      </c>
      <c r="E262" s="1" t="s">
        <v>1041</v>
      </c>
      <c r="F262" s="1"/>
      <c r="G262" s="1"/>
      <c r="H262" s="1">
        <f t="shared" si="8"/>
        <v>0</v>
      </c>
      <c r="I262" s="1">
        <f t="shared" si="9"/>
        <v>0</v>
      </c>
      <c r="J262" s="1">
        <v>1</v>
      </c>
      <c r="K262" s="207">
        <v>105315</v>
      </c>
      <c r="L262" s="136" t="s">
        <v>621</v>
      </c>
      <c r="M262" s="138" t="s">
        <v>621</v>
      </c>
      <c r="N262" s="140" t="s">
        <v>621</v>
      </c>
      <c r="O262" s="1" t="s">
        <v>460</v>
      </c>
      <c r="Q262"/>
      <c r="R262" s="136"/>
    </row>
    <row r="263" spans="1:18" ht="14">
      <c r="A263" s="158" t="s">
        <v>1396</v>
      </c>
      <c r="B263" s="1" t="s">
        <v>1140</v>
      </c>
      <c r="C263" s="1" t="s">
        <v>784</v>
      </c>
      <c r="D263" s="1" t="s">
        <v>1203</v>
      </c>
      <c r="E263" s="1" t="s">
        <v>1041</v>
      </c>
      <c r="F263" s="1"/>
      <c r="G263" s="1"/>
      <c r="H263" s="1">
        <f t="shared" si="8"/>
        <v>0</v>
      </c>
      <c r="I263" s="1">
        <f t="shared" si="9"/>
        <v>0</v>
      </c>
      <c r="J263" s="1">
        <v>1</v>
      </c>
      <c r="K263" s="207">
        <v>73602</v>
      </c>
      <c r="L263" s="136" t="s">
        <v>621</v>
      </c>
      <c r="M263" s="138" t="s">
        <v>621</v>
      </c>
      <c r="N263" s="140" t="s">
        <v>621</v>
      </c>
      <c r="O263" s="1" t="s">
        <v>460</v>
      </c>
      <c r="Q263"/>
      <c r="R263" s="136"/>
    </row>
    <row r="264" spans="1:18" ht="14">
      <c r="A264" s="158" t="s">
        <v>1397</v>
      </c>
      <c r="B264" s="1" t="s">
        <v>1140</v>
      </c>
      <c r="C264" s="1" t="s">
        <v>784</v>
      </c>
      <c r="D264" s="1" t="s">
        <v>1204</v>
      </c>
      <c r="E264" s="1" t="s">
        <v>1041</v>
      </c>
      <c r="F264" s="1"/>
      <c r="G264" s="1"/>
      <c r="H264" s="1">
        <f t="shared" si="8"/>
        <v>0</v>
      </c>
      <c r="I264" s="1">
        <f t="shared" si="9"/>
        <v>0</v>
      </c>
      <c r="J264" s="1">
        <v>1</v>
      </c>
      <c r="K264" s="207">
        <v>184902</v>
      </c>
      <c r="L264" s="136" t="s">
        <v>621</v>
      </c>
      <c r="M264" s="138" t="s">
        <v>621</v>
      </c>
      <c r="N264" s="140" t="s">
        <v>621</v>
      </c>
      <c r="O264" s="1" t="s">
        <v>460</v>
      </c>
      <c r="Q264"/>
      <c r="R264" s="136"/>
    </row>
    <row r="265" spans="1:18" ht="37.5">
      <c r="A265" s="158" t="s">
        <v>1205</v>
      </c>
      <c r="B265" s="1" t="s">
        <v>1128</v>
      </c>
      <c r="C265" s="1" t="s">
        <v>701</v>
      </c>
      <c r="D265" s="1" t="s">
        <v>1206</v>
      </c>
      <c r="E265" s="1" t="s">
        <v>620</v>
      </c>
      <c r="F265" s="1"/>
      <c r="J265" s="1">
        <v>1</v>
      </c>
      <c r="K265" s="207">
        <v>45720</v>
      </c>
      <c r="L265" s="136">
        <v>7775720</v>
      </c>
      <c r="M265" s="138" t="s">
        <v>621</v>
      </c>
      <c r="N265" s="140" t="s">
        <v>621</v>
      </c>
      <c r="O265" s="1" t="s">
        <v>460</v>
      </c>
      <c r="Q265"/>
      <c r="R265" s="136"/>
    </row>
    <row r="266" spans="1:18" ht="25">
      <c r="A266" s="158" t="s">
        <v>1207</v>
      </c>
      <c r="B266" s="1" t="s">
        <v>1140</v>
      </c>
      <c r="C266" s="1" t="s">
        <v>701</v>
      </c>
      <c r="D266" s="1" t="s">
        <v>1208</v>
      </c>
      <c r="E266" s="1" t="s">
        <v>620</v>
      </c>
      <c r="F266" s="1"/>
      <c r="J266" s="1">
        <v>1</v>
      </c>
      <c r="K266" s="207">
        <v>161195</v>
      </c>
      <c r="L266" s="136">
        <v>51063869.903520212</v>
      </c>
      <c r="M266" s="138" t="s">
        <v>621</v>
      </c>
      <c r="N266" s="140" t="s">
        <v>621</v>
      </c>
      <c r="O266" s="1" t="s">
        <v>460</v>
      </c>
      <c r="Q266"/>
      <c r="R266" s="136"/>
    </row>
    <row r="267" spans="1:18" ht="25">
      <c r="A267" s="158" t="s">
        <v>1209</v>
      </c>
      <c r="B267" s="1" t="s">
        <v>971</v>
      </c>
      <c r="C267" s="1" t="s">
        <v>701</v>
      </c>
      <c r="D267" s="1" t="s">
        <v>1210</v>
      </c>
      <c r="E267" s="1" t="s">
        <v>620</v>
      </c>
      <c r="F267" s="1"/>
      <c r="J267" s="1">
        <v>1</v>
      </c>
      <c r="K267" s="207">
        <v>74863</v>
      </c>
      <c r="L267" s="136">
        <v>12441648</v>
      </c>
      <c r="M267" s="138" t="s">
        <v>621</v>
      </c>
      <c r="N267" s="140" t="s">
        <v>621</v>
      </c>
      <c r="O267" s="1" t="s">
        <v>460</v>
      </c>
      <c r="Q267"/>
      <c r="R267" s="136"/>
    </row>
    <row r="268" spans="1:18" ht="37.5">
      <c r="A268" s="158" t="s">
        <v>1211</v>
      </c>
      <c r="B268" s="1" t="s">
        <v>903</v>
      </c>
      <c r="C268" s="1" t="s">
        <v>701</v>
      </c>
      <c r="D268" s="1" t="s">
        <v>1212</v>
      </c>
      <c r="E268" s="1" t="s">
        <v>530</v>
      </c>
      <c r="F268" s="1" t="s">
        <v>1213</v>
      </c>
      <c r="J268" s="1">
        <v>6</v>
      </c>
      <c r="K268" s="207">
        <v>61240</v>
      </c>
      <c r="L268" s="136">
        <v>13578184</v>
      </c>
      <c r="M268" s="138" t="s">
        <v>621</v>
      </c>
      <c r="N268" s="140" t="s">
        <v>621</v>
      </c>
      <c r="O268" s="1" t="s">
        <v>460</v>
      </c>
      <c r="Q268"/>
      <c r="R268" s="136"/>
    </row>
    <row r="269" spans="1:18" ht="37.5">
      <c r="A269" s="158" t="s">
        <v>1214</v>
      </c>
      <c r="B269" s="1" t="s">
        <v>903</v>
      </c>
      <c r="C269" s="1" t="s">
        <v>701</v>
      </c>
      <c r="D269" s="1" t="s">
        <v>1215</v>
      </c>
      <c r="E269" s="1" t="s">
        <v>530</v>
      </c>
      <c r="F269" s="1" t="s">
        <v>1216</v>
      </c>
      <c r="J269" s="1">
        <v>6</v>
      </c>
      <c r="K269" s="207">
        <v>63240</v>
      </c>
      <c r="L269" s="136">
        <v>13578184</v>
      </c>
      <c r="M269" s="138" t="s">
        <v>621</v>
      </c>
      <c r="N269" s="140" t="s">
        <v>621</v>
      </c>
      <c r="O269" s="1" t="s">
        <v>460</v>
      </c>
      <c r="Q269"/>
      <c r="R269" s="136"/>
    </row>
    <row r="270" spans="1:18" ht="27">
      <c r="A270" s="158" t="s">
        <v>1217</v>
      </c>
      <c r="B270" s="158" t="s">
        <v>1124</v>
      </c>
      <c r="C270" s="158" t="s">
        <v>701</v>
      </c>
      <c r="D270" s="159" t="s">
        <v>1218</v>
      </c>
      <c r="E270" s="158" t="s">
        <v>620</v>
      </c>
      <c r="F270" s="158" t="s">
        <v>1219</v>
      </c>
      <c r="J270" s="158">
        <v>3</v>
      </c>
      <c r="K270" s="206">
        <v>22700</v>
      </c>
      <c r="L270" s="136">
        <v>6109600</v>
      </c>
      <c r="M270" s="138" t="s">
        <v>621</v>
      </c>
      <c r="N270" s="140" t="s">
        <v>621</v>
      </c>
      <c r="O270" s="1" t="s">
        <v>460</v>
      </c>
      <c r="Q270"/>
      <c r="R270" s="136"/>
    </row>
  </sheetData>
  <autoFilter ref="A1:O270" xr:uid="{00000000-0001-0000-0C00-000000000000}"/>
  <phoneticPr fontId="22" type="noConversion"/>
  <pageMargins left="0.7" right="0.7" top="0.75" bottom="0.75" header="0.3" footer="0.3"/>
  <pageSetup paperSize="9" orientation="portrait" r:id="rId1"/>
  <headerFooter>
    <oddHeader>&amp;R&amp;"Calibri"&amp;8&amp;K808080 INTERNAL &amp; PARTNERS&amp;1#_x000D_</oddHeader>
    <oddFooter>&amp;R_x000D_&amp;1#&amp;"Calibri"&amp;2&amp;KFFFFFF 5acXjzUk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8EFF4-970C-4CDC-B68F-E6D3551D6FD9}">
  <sheetPr codeName="Sheet14"/>
  <dimension ref="A1:F21"/>
  <sheetViews>
    <sheetView zoomScale="70" zoomScaleNormal="70" workbookViewId="0">
      <pane ySplit="5" topLeftCell="A6" activePane="bottomLeft" state="frozen"/>
      <selection pane="bottomLeft" activeCell="C18" sqref="C18"/>
    </sheetView>
  </sheetViews>
  <sheetFormatPr defaultRowHeight="14"/>
  <cols>
    <col min="1" max="1" width="28.1796875" customWidth="1"/>
    <col min="2" max="2" width="41.81640625" customWidth="1"/>
    <col min="3" max="3" width="38.1796875" customWidth="1"/>
    <col min="4" max="4" width="47.26953125" customWidth="1"/>
    <col min="5" max="5" width="41.81640625" customWidth="1"/>
    <col min="6" max="6" width="16.453125" customWidth="1"/>
  </cols>
  <sheetData>
    <row r="1" spans="1:6" ht="14.5">
      <c r="A1" s="284" t="s">
        <v>1220</v>
      </c>
      <c r="B1" s="285"/>
      <c r="C1" s="285"/>
      <c r="D1" s="285"/>
      <c r="E1" s="285"/>
      <c r="F1" s="285"/>
    </row>
    <row r="2" spans="1:6" ht="29">
      <c r="A2" s="228" t="s">
        <v>1221</v>
      </c>
      <c r="B2" s="228" t="s">
        <v>1222</v>
      </c>
      <c r="C2" s="228"/>
      <c r="D2" s="228"/>
      <c r="E2" s="228"/>
      <c r="F2" s="228"/>
    </row>
    <row r="3" spans="1:6" ht="43.5">
      <c r="A3" s="228" t="s">
        <v>1223</v>
      </c>
      <c r="B3" s="228" t="s">
        <v>1224</v>
      </c>
      <c r="C3" s="228"/>
      <c r="D3" s="228"/>
      <c r="E3" s="228"/>
      <c r="F3" s="228"/>
    </row>
    <row r="4" spans="1:6" ht="14.5">
      <c r="A4" s="228"/>
      <c r="B4" s="228"/>
      <c r="C4" s="228"/>
      <c r="D4" s="228"/>
      <c r="E4" s="228"/>
      <c r="F4" s="228"/>
    </row>
    <row r="5" spans="1:6" ht="14.5">
      <c r="A5" s="229" t="s">
        <v>1225</v>
      </c>
      <c r="B5" s="229" t="s">
        <v>1226</v>
      </c>
      <c r="C5" s="229" t="s">
        <v>1227</v>
      </c>
      <c r="D5" s="229" t="s">
        <v>1228</v>
      </c>
      <c r="E5" s="229" t="s">
        <v>1229</v>
      </c>
      <c r="F5" s="229" t="s">
        <v>1230</v>
      </c>
    </row>
    <row r="6" spans="1:6" ht="43.5">
      <c r="A6" s="228" t="s">
        <v>1231</v>
      </c>
      <c r="B6" s="228" t="s">
        <v>1232</v>
      </c>
      <c r="C6" s="228" t="s">
        <v>1233</v>
      </c>
      <c r="D6" s="228" t="s">
        <v>1234</v>
      </c>
      <c r="E6" s="228" t="s">
        <v>1235</v>
      </c>
      <c r="F6" s="228" t="s">
        <v>1236</v>
      </c>
    </row>
    <row r="7" spans="1:6" ht="58">
      <c r="A7" s="228" t="s">
        <v>1237</v>
      </c>
      <c r="B7" s="228" t="s">
        <v>1238</v>
      </c>
      <c r="C7" s="228" t="s">
        <v>1239</v>
      </c>
      <c r="D7" s="228" t="s">
        <v>1240</v>
      </c>
      <c r="E7" s="228" t="s">
        <v>1241</v>
      </c>
      <c r="F7" s="228" t="s">
        <v>1236</v>
      </c>
    </row>
    <row r="8" spans="1:6" ht="43.5">
      <c r="A8" s="228" t="s">
        <v>1242</v>
      </c>
      <c r="B8" s="228" t="s">
        <v>1243</v>
      </c>
      <c r="C8" s="228" t="s">
        <v>1244</v>
      </c>
      <c r="D8" s="228" t="s">
        <v>1245</v>
      </c>
      <c r="E8" s="228" t="s">
        <v>1246</v>
      </c>
      <c r="F8" s="228" t="s">
        <v>1236</v>
      </c>
    </row>
    <row r="9" spans="1:6" ht="29">
      <c r="A9" s="228" t="s">
        <v>1247</v>
      </c>
      <c r="B9" s="228" t="s">
        <v>1248</v>
      </c>
      <c r="C9" s="228" t="s">
        <v>1249</v>
      </c>
      <c r="D9" s="228" t="s">
        <v>1250</v>
      </c>
      <c r="E9" s="228" t="s">
        <v>1251</v>
      </c>
      <c r="F9" s="228" t="s">
        <v>1252</v>
      </c>
    </row>
    <row r="10" spans="1:6" ht="43.5">
      <c r="A10" s="228" t="s">
        <v>133</v>
      </c>
      <c r="B10" s="228" t="s">
        <v>1253</v>
      </c>
      <c r="C10" s="228" t="s">
        <v>1254</v>
      </c>
      <c r="D10" s="228" t="s">
        <v>1255</v>
      </c>
      <c r="E10" s="228" t="s">
        <v>1256</v>
      </c>
      <c r="F10" s="228" t="s">
        <v>1236</v>
      </c>
    </row>
    <row r="11" spans="1:6" ht="29">
      <c r="A11" s="228" t="s">
        <v>1257</v>
      </c>
      <c r="B11" s="228" t="s">
        <v>1258</v>
      </c>
      <c r="C11" s="228" t="s">
        <v>1254</v>
      </c>
      <c r="D11" s="228" t="s">
        <v>1259</v>
      </c>
      <c r="E11" s="228" t="s">
        <v>1260</v>
      </c>
      <c r="F11" s="228" t="s">
        <v>1236</v>
      </c>
    </row>
    <row r="12" spans="1:6" ht="43.5">
      <c r="A12" s="228" t="s">
        <v>109</v>
      </c>
      <c r="B12" s="228" t="s">
        <v>1261</v>
      </c>
      <c r="C12" s="228" t="s">
        <v>1262</v>
      </c>
      <c r="D12" s="228" t="s">
        <v>1263</v>
      </c>
      <c r="E12" s="228" t="s">
        <v>1264</v>
      </c>
      <c r="F12" s="228" t="s">
        <v>1236</v>
      </c>
    </row>
    <row r="13" spans="1:6" ht="29">
      <c r="A13" s="228" t="s">
        <v>1265</v>
      </c>
      <c r="B13" s="228" t="s">
        <v>1266</v>
      </c>
      <c r="C13" s="228" t="s">
        <v>1254</v>
      </c>
      <c r="D13" s="228" t="s">
        <v>1267</v>
      </c>
      <c r="E13" s="228" t="s">
        <v>1268</v>
      </c>
      <c r="F13" s="228" t="s">
        <v>1236</v>
      </c>
    </row>
    <row r="14" spans="1:6" ht="29">
      <c r="A14" s="228" t="s">
        <v>1269</v>
      </c>
      <c r="B14" s="228" t="s">
        <v>1270</v>
      </c>
      <c r="C14" s="228" t="s">
        <v>1254</v>
      </c>
      <c r="D14" s="228" t="s">
        <v>1271</v>
      </c>
      <c r="E14" s="228" t="s">
        <v>1272</v>
      </c>
      <c r="F14" s="228" t="s">
        <v>1236</v>
      </c>
    </row>
    <row r="15" spans="1:6" ht="29">
      <c r="A15" s="228" t="s">
        <v>1273</v>
      </c>
      <c r="B15" s="228" t="s">
        <v>1274</v>
      </c>
      <c r="C15" s="228" t="s">
        <v>1254</v>
      </c>
      <c r="D15" s="228" t="s">
        <v>1275</v>
      </c>
      <c r="E15" s="228" t="s">
        <v>1276</v>
      </c>
      <c r="F15" s="228" t="s">
        <v>1236</v>
      </c>
    </row>
    <row r="16" spans="1:6" ht="29">
      <c r="A16" s="228" t="s">
        <v>1277</v>
      </c>
      <c r="B16" s="228" t="s">
        <v>1278</v>
      </c>
      <c r="C16" s="228" t="s">
        <v>1254</v>
      </c>
      <c r="D16" s="228" t="s">
        <v>1279</v>
      </c>
      <c r="E16" s="228" t="s">
        <v>1280</v>
      </c>
      <c r="F16" s="228" t="s">
        <v>1236</v>
      </c>
    </row>
    <row r="17" spans="1:6" ht="29">
      <c r="A17" s="228" t="s">
        <v>1281</v>
      </c>
      <c r="B17" s="228" t="s">
        <v>1282</v>
      </c>
      <c r="C17" s="228" t="s">
        <v>1283</v>
      </c>
      <c r="D17" s="228" t="s">
        <v>1284</v>
      </c>
      <c r="E17" s="228" t="s">
        <v>1285</v>
      </c>
      <c r="F17" s="228" t="s">
        <v>1236</v>
      </c>
    </row>
    <row r="18" spans="1:6" ht="43.5">
      <c r="A18" s="228" t="s">
        <v>1286</v>
      </c>
      <c r="B18" s="228" t="s">
        <v>1287</v>
      </c>
      <c r="C18" s="228" t="s">
        <v>1288</v>
      </c>
      <c r="D18" s="228" t="s">
        <v>1289</v>
      </c>
      <c r="E18" s="228" t="s">
        <v>1290</v>
      </c>
      <c r="F18" s="228" t="s">
        <v>1291</v>
      </c>
    </row>
    <row r="19" spans="1:6" ht="14.5">
      <c r="A19" s="228"/>
      <c r="B19" s="228"/>
      <c r="C19" s="228"/>
      <c r="D19" s="228"/>
      <c r="E19" s="228"/>
      <c r="F19" s="228"/>
    </row>
    <row r="20" spans="1:6" ht="43.5">
      <c r="A20" s="228" t="s">
        <v>1292</v>
      </c>
      <c r="B20" s="228" t="s">
        <v>1293</v>
      </c>
      <c r="C20" s="228" t="s">
        <v>1294</v>
      </c>
      <c r="D20" s="228" t="s">
        <v>1295</v>
      </c>
      <c r="E20" s="228" t="s">
        <v>1296</v>
      </c>
      <c r="F20" s="228" t="s">
        <v>1297</v>
      </c>
    </row>
    <row r="21" spans="1:6" ht="101.5">
      <c r="A21" s="228" t="s">
        <v>1298</v>
      </c>
      <c r="B21" s="228" t="s">
        <v>1299</v>
      </c>
      <c r="C21" s="228"/>
      <c r="D21" s="228"/>
      <c r="E21" s="228"/>
      <c r="F21" s="228" t="s">
        <v>1300</v>
      </c>
    </row>
  </sheetData>
  <mergeCells count="1">
    <mergeCell ref="A1:F1"/>
  </mergeCells>
  <phoneticPr fontId="2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2152ec2e-c0c1-4834-9aa1-dc782ab0e2aa" origin="userSelected">
  <element uid="id_classification_confidential" value=""/>
</sisl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413877F412B7941AC8B6FAAC7A7D35E" ma:contentTypeVersion="31" ma:contentTypeDescription="Create a new document." ma:contentTypeScope="" ma:versionID="7230198f187081b56cf5cb891ad7844d">
  <xsd:schema xmlns:xsd="http://www.w3.org/2001/XMLSchema" xmlns:xs="http://www.w3.org/2001/XMLSchema" xmlns:p="http://schemas.microsoft.com/office/2006/metadata/properties" xmlns:ns2="e9ed6142-f50d-4d43-8594-e4a9e1dffb1e" xmlns:ns3="6cc2cd54-5ac5-4cf9-8c74-93f78a3ddf72" targetNamespace="http://schemas.microsoft.com/office/2006/metadata/properties" ma:root="true" ma:fieldsID="1b73e3260d8269301a4096cc31d0953e" ns2:_="" ns3:_="">
    <xsd:import namespace="e9ed6142-f50d-4d43-8594-e4a9e1dffb1e"/>
    <xsd:import namespace="6cc2cd54-5ac5-4cf9-8c74-93f78a3ddf72"/>
    <xsd:element name="properties">
      <xsd:complexType>
        <xsd:sequence>
          <xsd:element name="documentManagement">
            <xsd:complexType>
              <xsd:all>
                <xsd:element ref="ns2:Owner"/>
                <xsd:element ref="ns2:Vehicle" minOccurs="0"/>
                <xsd:element ref="ns2:Area" minOccurs="0"/>
                <xsd:element ref="ns2:Document_x0020_type" minOccurs="0"/>
                <xsd:element ref="ns2:Revision"/>
                <xsd:element ref="ns2:Reference_x0020_code" minOccurs="0"/>
                <xsd:element ref="ns2:MediaServiceMetadata" minOccurs="0"/>
                <xsd:element ref="ns2:MediaServiceFastMetadata" minOccurs="0"/>
                <xsd:element ref="ns2:Functional_x0020_team" minOccurs="0"/>
                <xsd:element ref="ns2:Release_x0020_date"/>
                <xsd:element ref="ns2:MediaServiceObjectDetectorVersions" minOccurs="0"/>
                <xsd:element ref="ns2:Archived_x003f_" minOccurs="0"/>
                <xsd:element ref="ns3:SharedWithUsers" minOccurs="0"/>
                <xsd:element ref="ns3:SharedWithDetails" minOccurs="0"/>
                <xsd:element ref="ns2:MediaServiceSearchProperties" minOccurs="0"/>
                <xsd:element ref="ns2:Release_x002f_archivecomment" minOccurs="0"/>
                <xsd:element ref="ns2:_x0033_Yreview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9ed6142-f50d-4d43-8594-e4a9e1dffb1e" elementFormDefault="qualified">
    <xsd:import namespace="http://schemas.microsoft.com/office/2006/documentManagement/types"/>
    <xsd:import namespace="http://schemas.microsoft.com/office/infopath/2007/PartnerControls"/>
    <xsd:element name="Owner" ma:index="8" ma:displayName="Owner" ma:list="UserInfo" ma:SharePointGroup="0" ma:internalName="Owner" ma:readOnly="false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Vehicle" ma:index="9" nillable="true" ma:displayName="Vehicle" ma:internalName="Vehicle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ULE"/>
                    <xsd:enumeration value="CVI"/>
                    <xsd:enumeration value="ZE"/>
                  </xsd:restriction>
                </xsd:simpleType>
              </xsd:element>
            </xsd:sequence>
          </xsd:extension>
        </xsd:complexContent>
      </xsd:complexType>
    </xsd:element>
    <xsd:element name="Area" ma:index="10" nillable="true" ma:displayName="Area" ma:internalName="Area" ma:requiredMultiChoice="true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Global"/>
                    <xsd:enumeration value="Asia"/>
                    <xsd:enumeration value="China"/>
                    <xsd:enumeration value="Korea"/>
                    <xsd:enumeration value="India"/>
                    <xsd:enumeration value="Japan"/>
                  </xsd:restriction>
                </xsd:simpleType>
              </xsd:element>
            </xsd:sequence>
          </xsd:extension>
        </xsd:complexContent>
      </xsd:complexType>
    </xsd:element>
    <xsd:element name="Document_x0020_type" ma:index="11" nillable="true" ma:displayName="Document type" ma:format="Dropdown" ma:internalName="Document_x0020_type">
      <xsd:simpleType>
        <xsd:restriction base="dms:Choice">
          <xsd:enumeration value="BOM"/>
          <xsd:enumeration value="Database"/>
          <xsd:enumeration value="DSS"/>
          <xsd:enumeration value="DCS"/>
          <xsd:enumeration value="FEM"/>
          <xsd:enumeration value="FORM"/>
          <xsd:enumeration value="GD"/>
          <xsd:enumeration value="GENERIC_DFMEA"/>
          <xsd:enumeration value="GENERIC_DVP"/>
          <xsd:enumeration value="GENERIC_KPC_KCC_LIST"/>
          <xsd:enumeration value="GENERIC_PFMEA"/>
          <xsd:enumeration value="GENERIC_PROD_CONTROL_PLAN"/>
          <xsd:enumeration value="GENERAL_SPECIFICATION"/>
          <xsd:enumeration value="INPUT_SHEET"/>
          <xsd:enumeration value="INSTRUCTION"/>
          <xsd:enumeration value="PROCESS_SPEC"/>
          <xsd:enumeration value="PRODUCT_SPEC"/>
          <xsd:enumeration value="PRODUCT_DEV_METHODS"/>
          <xsd:enumeration value="REPORT_TEMPLATE"/>
          <xsd:enumeration value="SIMULATION_METHOD"/>
          <xsd:enumeration value="STD_T_AND_E_SPEC"/>
          <xsd:enumeration value="TEMPLATE"/>
          <xsd:enumeration value="Technical_Manual"/>
          <xsd:enumeration value="T_AND_E_SUPPLIER_PANEL"/>
          <xsd:enumeration value="TRAINING_MATERIAL"/>
          <xsd:enumeration value="TESTING_METHOD"/>
          <xsd:enumeration value="USER_GUIDE"/>
          <xsd:enumeration value="WORK_INSTRUCTION"/>
        </xsd:restriction>
      </xsd:simpleType>
    </xsd:element>
    <xsd:element name="Revision" ma:index="12" ma:displayName="Revision" ma:format="Dropdown" ma:internalName="Revision">
      <xsd:simpleType>
        <xsd:restriction base="dms:Text">
          <xsd:maxLength value="12"/>
        </xsd:restriction>
      </xsd:simpleType>
    </xsd:element>
    <xsd:element name="Reference_x0020_code" ma:index="13" nillable="true" ma:displayName="Reference code" ma:indexed="true" ma:internalName="Reference_x0020_code">
      <xsd:simpleType>
        <xsd:restriction base="dms:Text">
          <xsd:maxLength value="255"/>
        </xsd:restriction>
      </xsd:simpleType>
    </xsd:element>
    <xsd:element name="MediaServiceMetadata" ma:index="14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5" nillable="true" ma:displayName="MediaServiceFastMetadata" ma:hidden="true" ma:internalName="MediaServiceFastMetadata" ma:readOnly="true">
      <xsd:simpleType>
        <xsd:restriction base="dms:Note"/>
      </xsd:simpleType>
    </xsd:element>
    <xsd:element name="Functional_x0020_team" ma:index="16" nillable="true" ma:displayName="Functional team" ma:internalName="Functional_x0020_team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Durability"/>
                    <xsd:enumeration value="Application"/>
                    <xsd:enumeration value="Testing"/>
                    <xsd:enumeration value="CAE"/>
                    <xsd:enumeration value="CAD"/>
                    <xsd:enumeration value="NVH"/>
                    <xsd:enumeration value="Mixer"/>
                    <xsd:enumeration value="RPS"/>
                  </xsd:restriction>
                </xsd:simpleType>
              </xsd:element>
            </xsd:sequence>
          </xsd:extension>
        </xsd:complexContent>
      </xsd:complexType>
    </xsd:element>
    <xsd:element name="Release_x0020_date" ma:index="17" ma:displayName="Release date" ma:format="DateOnly" ma:internalName="Release_x0020_date">
      <xsd:simpleType>
        <xsd:restriction base="dms:DateTime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Archived_x003f_" ma:index="20" nillable="true" ma:displayName="Archived?" ma:default="0" ma:indexed="true" ma:internalName="Archived_x003f_">
      <xsd:simpleType>
        <xsd:restriction base="dms:Boolean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Release_x002f_archivecomment" ma:index="24" nillable="true" ma:displayName="Release/archive comment" ma:format="Dropdown" ma:internalName="Release_x002f_archivecomment">
      <xsd:simpleType>
        <xsd:restriction base="dms:Text">
          <xsd:maxLength value="255"/>
        </xsd:restriction>
      </xsd:simpleType>
    </xsd:element>
    <xsd:element name="_x0033_Yreview" ma:index="25" nillable="true" ma:displayName="3Y review" ma:format="DateOnly" ma:internalName="_x0033_Yreview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c2cd54-5ac5-4cf9-8c74-93f78a3ddf72" elementFormDefault="qualified">
    <xsd:import namespace="http://schemas.microsoft.com/office/2006/documentManagement/types"/>
    <xsd:import namespace="http://schemas.microsoft.com/office/infopath/2007/PartnerControls"/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Owner xmlns="e9ed6142-f50d-4d43-8594-e4a9e1dffb1e">
      <UserInfo>
        <DisplayName>PEI Jing</DisplayName>
        <AccountId>55</AccountId>
        <AccountType/>
      </UserInfo>
    </Owner>
    <Reference_x0020_code xmlns="e9ed6142-f50d-4d43-8594-e4a9e1dffb1e">ESA-F-DSS-0001</Reference_x0020_code>
    <Revision xmlns="e9ed6142-f50d-4d43-8594-e4a9e1dffb1e">8.4.7</Revision>
    <Functional_x0020_team xmlns="e9ed6142-f50d-4d43-8594-e4a9e1dffb1e">
      <Value>Application</Value>
    </Functional_x0020_team>
    <Release_x0020_date xmlns="e9ed6142-f50d-4d43-8594-e4a9e1dffb1e">2025-07-03T15:00:00+00:00</Release_x0020_date>
    <Document_x0020_type xmlns="e9ed6142-f50d-4d43-8594-e4a9e1dffb1e">TEMPLATE</Document_x0020_type>
    <Archived_x003f_ xmlns="e9ed6142-f50d-4d43-8594-e4a9e1dffb1e">false</Archived_x003f_>
    <Area xmlns="e9ed6142-f50d-4d43-8594-e4a9e1dffb1e">
      <Value>Asia</Value>
    </Area>
    <Vehicle xmlns="e9ed6142-f50d-4d43-8594-e4a9e1dffb1e">
      <Value>CVI</Value>
      <Value>ULE</Value>
    </Vehicle>
    <Release_x002f_archivecomment xmlns="e9ed6142-f50d-4d43-8594-e4a9e1dffb1e" xsi:nil="true"/>
    <_x0033_Yreview xmlns="e9ed6142-f50d-4d43-8594-e4a9e1dffb1e" xsi:nil="true"/>
  </documentManagement>
</p:properties>
</file>

<file path=customXml/itemProps1.xml><?xml version="1.0" encoding="utf-8"?>
<ds:datastoreItem xmlns:ds="http://schemas.openxmlformats.org/officeDocument/2006/customXml" ds:itemID="{45E0289F-D00B-42A6-A7FC-016C4A664155}">
  <ds:schemaRefs>
    <ds:schemaRef ds:uri="http://www.w3.org/2001/XMLSchema"/>
    <ds:schemaRef ds:uri="http://www.boldonjames.com/2008/01/sie/internal/label"/>
  </ds:schemaRefs>
</ds:datastoreItem>
</file>

<file path=customXml/itemProps2.xml><?xml version="1.0" encoding="utf-8"?>
<ds:datastoreItem xmlns:ds="http://schemas.openxmlformats.org/officeDocument/2006/customXml" ds:itemID="{73A8AAB0-CF18-4FBE-ACEC-04CEA62C2BA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9ed6142-f50d-4d43-8594-e4a9e1dffb1e"/>
    <ds:schemaRef ds:uri="6cc2cd54-5ac5-4cf9-8c74-93f78a3ddf7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8415A2D-8A65-44D7-927E-30BDA7C7BF9C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6823D4D-FA40-4586-9A97-189093455D9E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6cc2cd54-5ac5-4cf9-8c74-93f78a3ddf72"/>
    <ds:schemaRef ds:uri="http://schemas.openxmlformats.org/package/2006/metadata/core-properties"/>
    <ds:schemaRef ds:uri="http://purl.org/dc/dcmitype/"/>
    <ds:schemaRef ds:uri="http://www.w3.org/XML/1998/namespace"/>
    <ds:schemaRef ds:uri="e9ed6142-f50d-4d43-8594-e4a9e1dffb1e"/>
    <ds:schemaRef ds:uri="http://schemas.microsoft.com/office/2006/metadata/properties"/>
    <ds:schemaRef ds:uri="http://purl.org/dc/terms/"/>
  </ds:schemaRefs>
</ds:datastoreItem>
</file>

<file path=docMetadata/LabelInfo.xml><?xml version="1.0" encoding="utf-8"?>
<clbl:labelList xmlns:clbl="http://schemas.microsoft.com/office/2020/mipLabelMetadata">
  <clbl:label id="{eafdac3b-4115-4c64-bf62-f9099ec36d84}" enabled="1" method="Privileged" siteId="{5047bca2-da88-442e-a09a-d9b8af692adc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Cover</vt:lpstr>
      <vt:lpstr>Modification log</vt:lpstr>
      <vt:lpstr>How to use</vt:lpstr>
      <vt:lpstr>Project information</vt:lpstr>
      <vt:lpstr>D&amp;D cost quotation</vt:lpstr>
      <vt:lpstr>D&amp;D Cost for plant with margin</vt:lpstr>
      <vt:lpstr>For Finance Control</vt:lpstr>
      <vt:lpstr>Base</vt:lpstr>
      <vt:lpstr>CVI</vt:lpstr>
      <vt:lpstr>'Eng Cost for CBU_2026-07-20'!Print_Area</vt:lpstr>
      <vt:lpstr>'Eng Cost for CBU_2026-7-20'!Print_Area</vt:lpstr>
      <vt:lpstr>'Project information'!Print_Area</vt:lpstr>
      <vt:lpstr>z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PEI Jing</dc:creator>
  <cp:keywords/>
  <dc:description/>
  <cp:lastModifiedBy>PEI Jing</cp:lastModifiedBy>
  <cp:revision/>
  <dcterms:created xsi:type="dcterms:W3CDTF">2018-10-19T05:25:41Z</dcterms:created>
  <dcterms:modified xsi:type="dcterms:W3CDTF">2026-07-22T05:15:08Z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Vendor Id">
    <vt:lpwstr>is68pU9DD7b8NCNa</vt:lpwstr>
  </property>
  <property fmtid="{D5CDD505-2E9C-101B-9397-08002B2CF9AE}" pid="3" name="ContentTypeId">
    <vt:lpwstr>0x0101002413877F412B7941AC8B6FAAC7A7D35E</vt:lpwstr>
  </property>
  <property fmtid="{D5CDD505-2E9C-101B-9397-08002B2CF9AE}" pid="4" name="MSIP_Label_eafdac3b-4115-4c64-bf62-f9099ec36d84_Enabled">
    <vt:lpwstr>true</vt:lpwstr>
  </property>
  <property fmtid="{D5CDD505-2E9C-101B-9397-08002B2CF9AE}" pid="5" name="MSIP_Label_eafdac3b-4115-4c64-bf62-f9099ec36d84_SetDate">
    <vt:lpwstr>2023-11-14T03:00:00Z</vt:lpwstr>
  </property>
  <property fmtid="{D5CDD505-2E9C-101B-9397-08002B2CF9AE}" pid="6" name="MSIP_Label_eafdac3b-4115-4c64-bf62-f9099ec36d84_Method">
    <vt:lpwstr>Privileged</vt:lpwstr>
  </property>
  <property fmtid="{D5CDD505-2E9C-101B-9397-08002B2CF9AE}" pid="7" name="MSIP_Label_eafdac3b-4115-4c64-bf62-f9099ec36d84_Name">
    <vt:lpwstr>InternalAndPartners</vt:lpwstr>
  </property>
  <property fmtid="{D5CDD505-2E9C-101B-9397-08002B2CF9AE}" pid="8" name="MSIP_Label_eafdac3b-4115-4c64-bf62-f9099ec36d84_SiteId">
    <vt:lpwstr>5047bca2-da88-442e-a09a-d9b8af692adc</vt:lpwstr>
  </property>
  <property fmtid="{D5CDD505-2E9C-101B-9397-08002B2CF9AE}" pid="9" name="MSIP_Label_eafdac3b-4115-4c64-bf62-f9099ec36d84_ActionId">
    <vt:lpwstr>9e3be530-fa87-492e-9f70-dc5f8f3085fd</vt:lpwstr>
  </property>
  <property fmtid="{D5CDD505-2E9C-101B-9397-08002B2CF9AE}" pid="10" name="MSIP_Label_eafdac3b-4115-4c64-bf62-f9099ec36d84_ContentBits">
    <vt:lpwstr>3</vt:lpwstr>
  </property>
  <property fmtid="{D5CDD505-2E9C-101B-9397-08002B2CF9AE}" pid="11" name="SV_QUERY_LIST_4F35BF76-6C0D-4D9B-82B2-816C12CF3733">
    <vt:lpwstr>empty_477D106A-C0D6-4607-AEBD-E2C9D60EA279</vt:lpwstr>
  </property>
  <property fmtid="{D5CDD505-2E9C-101B-9397-08002B2CF9AE}" pid="12" name="SV_HIDDEN_GRID_QUERY_LIST_4F35BF76-6C0D-4D9B-82B2-816C12CF3733">
    <vt:lpwstr>empty_477D106A-C0D6-4607-AEBD-E2C9D60EA279</vt:lpwstr>
  </property>
  <property fmtid="{D5CDD505-2E9C-101B-9397-08002B2CF9AE}" pid="13" name="Archive?">
    <vt:bool>false</vt:bool>
  </property>
</Properties>
</file>